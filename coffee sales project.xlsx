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6.xml" ContentType="application/vnd.openxmlformats-officedocument.spreadsheetml.pivotTab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7.xml" ContentType="application/vnd.openxmlformats-officedocument.drawingml.chartshapes+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C:\Users\Ranjit Yadav\Downloads\EXCEL\"/>
    </mc:Choice>
  </mc:AlternateContent>
  <xr:revisionPtr revIDLastSave="0" documentId="13_ncr:1_{AA017C7C-C685-4701-AB08-D359FFB9CA57}" xr6:coauthVersionLast="47" xr6:coauthVersionMax="47" xr10:uidLastSave="{00000000-0000-0000-0000-000000000000}"/>
  <bookViews>
    <workbookView xWindow="-108" yWindow="-108" windowWidth="23256" windowHeight="13896" firstSheet="5" activeTab="7" xr2:uid="{A09BD754-7E9F-435C-87B0-0592EBE489E6}"/>
  </bookViews>
  <sheets>
    <sheet name="total sale " sheetId="2" r:id="rId1"/>
    <sheet name="sales by month " sheetId="4" r:id="rId2"/>
    <sheet name="sales by weekday " sheetId="5" r:id="rId3"/>
    <sheet name="cash VS card" sheetId="3" r:id="rId4"/>
    <sheet name="sum of hours &amp; money" sheetId="11" r:id="rId5"/>
    <sheet name="cofee sales " sheetId="1" r:id="rId6"/>
    <sheet name="KPI" sheetId="7" r:id="rId7"/>
    <sheet name="Dashboard" sheetId="10" r:id="rId8"/>
  </sheets>
  <definedNames>
    <definedName name="Slicer_coffee_name">#N/A</definedName>
    <definedName name="Slicer_hour_of_day">#N/A</definedName>
    <definedName name="Slicer_money">#N/A</definedName>
    <definedName name="Slicer_Time_of_Day">#N/A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7" l="1"/>
  <c r="A7" i="7"/>
  <c r="C7" i="7"/>
  <c r="B7" i="7"/>
  <c r="L2001" i="1"/>
  <c r="K2001" i="1"/>
  <c r="J2001" i="1"/>
  <c r="I2001" i="1"/>
  <c r="C2001" i="1"/>
  <c r="H2001" i="1" s="1"/>
  <c r="L2000" i="1"/>
  <c r="K2000" i="1"/>
  <c r="J2000" i="1"/>
  <c r="I2000" i="1"/>
  <c r="C2000" i="1"/>
  <c r="H2000" i="1" s="1"/>
  <c r="L1999" i="1"/>
  <c r="K1999" i="1"/>
  <c r="J1999" i="1"/>
  <c r="I1999" i="1"/>
  <c r="C1999" i="1"/>
  <c r="H1999" i="1" s="1"/>
  <c r="L1998" i="1"/>
  <c r="K1998" i="1"/>
  <c r="J1998" i="1"/>
  <c r="I1998" i="1"/>
  <c r="C1998" i="1"/>
  <c r="H1998" i="1" s="1"/>
  <c r="L1997" i="1"/>
  <c r="K1997" i="1"/>
  <c r="J1997" i="1"/>
  <c r="I1997" i="1"/>
  <c r="C1997" i="1"/>
  <c r="H1997" i="1" s="1"/>
  <c r="L1996" i="1"/>
  <c r="K1996" i="1"/>
  <c r="J1996" i="1"/>
  <c r="I1996" i="1"/>
  <c r="C1996" i="1"/>
  <c r="H1996" i="1" s="1"/>
  <c r="L1995" i="1"/>
  <c r="K1995" i="1"/>
  <c r="J1995" i="1"/>
  <c r="I1995" i="1"/>
  <c r="C1995" i="1"/>
  <c r="H1995" i="1" s="1"/>
  <c r="L1994" i="1"/>
  <c r="K1994" i="1"/>
  <c r="J1994" i="1"/>
  <c r="I1994" i="1"/>
  <c r="C1994" i="1"/>
  <c r="H1994" i="1" s="1"/>
  <c r="L1993" i="1"/>
  <c r="K1993" i="1"/>
  <c r="J1993" i="1"/>
  <c r="I1993" i="1"/>
  <c r="C1993" i="1"/>
  <c r="H1993" i="1" s="1"/>
  <c r="L1992" i="1"/>
  <c r="K1992" i="1"/>
  <c r="J1992" i="1"/>
  <c r="I1992" i="1"/>
  <c r="C1992" i="1"/>
  <c r="H1992" i="1" s="1"/>
  <c r="L1991" i="1"/>
  <c r="K1991" i="1"/>
  <c r="J1991" i="1"/>
  <c r="I1991" i="1"/>
  <c r="C1991" i="1"/>
  <c r="H1991" i="1" s="1"/>
  <c r="L1990" i="1"/>
  <c r="K1990" i="1"/>
  <c r="J1990" i="1"/>
  <c r="I1990" i="1"/>
  <c r="C1990" i="1"/>
  <c r="H1990" i="1" s="1"/>
  <c r="L1989" i="1"/>
  <c r="K1989" i="1"/>
  <c r="J1989" i="1"/>
  <c r="I1989" i="1"/>
  <c r="C1989" i="1"/>
  <c r="H1989" i="1" s="1"/>
  <c r="L1988" i="1"/>
  <c r="K1988" i="1"/>
  <c r="J1988" i="1"/>
  <c r="I1988" i="1"/>
  <c r="C1988" i="1"/>
  <c r="H1988" i="1" s="1"/>
  <c r="L1987" i="1"/>
  <c r="K1987" i="1"/>
  <c r="J1987" i="1"/>
  <c r="I1987" i="1"/>
  <c r="C1987" i="1"/>
  <c r="H1987" i="1" s="1"/>
  <c r="L1986" i="1"/>
  <c r="K1986" i="1"/>
  <c r="J1986" i="1"/>
  <c r="I1986" i="1"/>
  <c r="H1986" i="1"/>
  <c r="C1986" i="1"/>
  <c r="L1985" i="1"/>
  <c r="K1985" i="1"/>
  <c r="J1985" i="1"/>
  <c r="I1985" i="1"/>
  <c r="C1985" i="1"/>
  <c r="H1985" i="1" s="1"/>
  <c r="L1984" i="1"/>
  <c r="K1984" i="1"/>
  <c r="J1984" i="1"/>
  <c r="I1984" i="1"/>
  <c r="C1984" i="1"/>
  <c r="H1984" i="1" s="1"/>
  <c r="L1983" i="1"/>
  <c r="K1983" i="1"/>
  <c r="J1983" i="1"/>
  <c r="I1983" i="1"/>
  <c r="C1983" i="1"/>
  <c r="H1983" i="1" s="1"/>
  <c r="L1982" i="1"/>
  <c r="K1982" i="1"/>
  <c r="J1982" i="1"/>
  <c r="I1982" i="1"/>
  <c r="C1982" i="1"/>
  <c r="H1982" i="1" s="1"/>
  <c r="L1981" i="1"/>
  <c r="K1981" i="1"/>
  <c r="J1981" i="1"/>
  <c r="I1981" i="1"/>
  <c r="C1981" i="1"/>
  <c r="H1981" i="1" s="1"/>
  <c r="L1980" i="1"/>
  <c r="K1980" i="1"/>
  <c r="J1980" i="1"/>
  <c r="I1980" i="1"/>
  <c r="C1980" i="1"/>
  <c r="H1980" i="1" s="1"/>
  <c r="L1979" i="1"/>
  <c r="K1979" i="1"/>
  <c r="J1979" i="1"/>
  <c r="I1979" i="1"/>
  <c r="C1979" i="1"/>
  <c r="H1979" i="1" s="1"/>
  <c r="L1978" i="1"/>
  <c r="K1978" i="1"/>
  <c r="J1978" i="1"/>
  <c r="I1978" i="1"/>
  <c r="C1978" i="1"/>
  <c r="H1978" i="1" s="1"/>
  <c r="L1977" i="1"/>
  <c r="K1977" i="1"/>
  <c r="J1977" i="1"/>
  <c r="I1977" i="1"/>
  <c r="C1977" i="1"/>
  <c r="H1977" i="1" s="1"/>
  <c r="L1976" i="1"/>
  <c r="K1976" i="1"/>
  <c r="J1976" i="1"/>
  <c r="I1976" i="1"/>
  <c r="C1976" i="1"/>
  <c r="H1976" i="1" s="1"/>
  <c r="L1975" i="1"/>
  <c r="K1975" i="1"/>
  <c r="J1975" i="1"/>
  <c r="I1975" i="1"/>
  <c r="C1975" i="1"/>
  <c r="H1975" i="1" s="1"/>
  <c r="L1974" i="1"/>
  <c r="K1974" i="1"/>
  <c r="J1974" i="1"/>
  <c r="I1974" i="1"/>
  <c r="C1974" i="1"/>
  <c r="H1974" i="1" s="1"/>
  <c r="L1973" i="1"/>
  <c r="K1973" i="1"/>
  <c r="J1973" i="1"/>
  <c r="I1973" i="1"/>
  <c r="C1973" i="1"/>
  <c r="H1973" i="1" s="1"/>
  <c r="L1972" i="1"/>
  <c r="K1972" i="1"/>
  <c r="J1972" i="1"/>
  <c r="I1972" i="1"/>
  <c r="C1972" i="1"/>
  <c r="H1972" i="1" s="1"/>
  <c r="L1971" i="1"/>
  <c r="K1971" i="1"/>
  <c r="J1971" i="1"/>
  <c r="I1971" i="1"/>
  <c r="C1971" i="1"/>
  <c r="H1971" i="1" s="1"/>
  <c r="L1970" i="1"/>
  <c r="K1970" i="1"/>
  <c r="J1970" i="1"/>
  <c r="I1970" i="1"/>
  <c r="C1970" i="1"/>
  <c r="H1970" i="1" s="1"/>
  <c r="L1969" i="1"/>
  <c r="K1969" i="1"/>
  <c r="J1969" i="1"/>
  <c r="I1969" i="1"/>
  <c r="C1969" i="1"/>
  <c r="H1969" i="1" s="1"/>
  <c r="L1968" i="1"/>
  <c r="K1968" i="1"/>
  <c r="J1968" i="1"/>
  <c r="I1968" i="1"/>
  <c r="C1968" i="1"/>
  <c r="H1968" i="1" s="1"/>
  <c r="L1967" i="1"/>
  <c r="K1967" i="1"/>
  <c r="J1967" i="1"/>
  <c r="I1967" i="1"/>
  <c r="C1967" i="1"/>
  <c r="H1967" i="1" s="1"/>
  <c r="L1966" i="1"/>
  <c r="K1966" i="1"/>
  <c r="J1966" i="1"/>
  <c r="I1966" i="1"/>
  <c r="C1966" i="1"/>
  <c r="H1966" i="1" s="1"/>
  <c r="L1965" i="1"/>
  <c r="K1965" i="1"/>
  <c r="J1965" i="1"/>
  <c r="I1965" i="1"/>
  <c r="C1965" i="1"/>
  <c r="H1965" i="1" s="1"/>
  <c r="L1964" i="1"/>
  <c r="K1964" i="1"/>
  <c r="J1964" i="1"/>
  <c r="I1964" i="1"/>
  <c r="C1964" i="1"/>
  <c r="H1964" i="1" s="1"/>
  <c r="L1963" i="1"/>
  <c r="K1963" i="1"/>
  <c r="J1963" i="1"/>
  <c r="I1963" i="1"/>
  <c r="C1963" i="1"/>
  <c r="H1963" i="1" s="1"/>
  <c r="L1962" i="1"/>
  <c r="K1962" i="1"/>
  <c r="J1962" i="1"/>
  <c r="I1962" i="1"/>
  <c r="C1962" i="1"/>
  <c r="H1962" i="1" s="1"/>
  <c r="L1961" i="1"/>
  <c r="K1961" i="1"/>
  <c r="J1961" i="1"/>
  <c r="I1961" i="1"/>
  <c r="C1961" i="1"/>
  <c r="H1961" i="1" s="1"/>
  <c r="L1960" i="1"/>
  <c r="K1960" i="1"/>
  <c r="J1960" i="1"/>
  <c r="I1960" i="1"/>
  <c r="C1960" i="1"/>
  <c r="H1960" i="1" s="1"/>
  <c r="L1959" i="1"/>
  <c r="K1959" i="1"/>
  <c r="J1959" i="1"/>
  <c r="I1959" i="1"/>
  <c r="C1959" i="1"/>
  <c r="H1959" i="1" s="1"/>
  <c r="L1958" i="1"/>
  <c r="K1958" i="1"/>
  <c r="J1958" i="1"/>
  <c r="I1958" i="1"/>
  <c r="C1958" i="1"/>
  <c r="H1958" i="1" s="1"/>
  <c r="L1957" i="1"/>
  <c r="K1957" i="1"/>
  <c r="J1957" i="1"/>
  <c r="I1957" i="1"/>
  <c r="C1957" i="1"/>
  <c r="H1957" i="1" s="1"/>
  <c r="L1956" i="1"/>
  <c r="K1956" i="1"/>
  <c r="J1956" i="1"/>
  <c r="I1956" i="1"/>
  <c r="C1956" i="1"/>
  <c r="H1956" i="1" s="1"/>
  <c r="L1955" i="1"/>
  <c r="K1955" i="1"/>
  <c r="J1955" i="1"/>
  <c r="I1955" i="1"/>
  <c r="C1955" i="1"/>
  <c r="H1955" i="1" s="1"/>
  <c r="L1954" i="1"/>
  <c r="K1954" i="1"/>
  <c r="J1954" i="1"/>
  <c r="I1954" i="1"/>
  <c r="C1954" i="1"/>
  <c r="H1954" i="1" s="1"/>
  <c r="L1953" i="1"/>
  <c r="K1953" i="1"/>
  <c r="J1953" i="1"/>
  <c r="I1953" i="1"/>
  <c r="C1953" i="1"/>
  <c r="H1953" i="1" s="1"/>
  <c r="L1952" i="1"/>
  <c r="K1952" i="1"/>
  <c r="J1952" i="1"/>
  <c r="I1952" i="1"/>
  <c r="C1952" i="1"/>
  <c r="H1952" i="1" s="1"/>
  <c r="L1951" i="1"/>
  <c r="K1951" i="1"/>
  <c r="J1951" i="1"/>
  <c r="I1951" i="1"/>
  <c r="C1951" i="1"/>
  <c r="H1951" i="1" s="1"/>
  <c r="L1950" i="1"/>
  <c r="K1950" i="1"/>
  <c r="J1950" i="1"/>
  <c r="I1950" i="1"/>
  <c r="C1950" i="1"/>
  <c r="H1950" i="1" s="1"/>
  <c r="L1949" i="1"/>
  <c r="K1949" i="1"/>
  <c r="J1949" i="1"/>
  <c r="I1949" i="1"/>
  <c r="C1949" i="1"/>
  <c r="H1949" i="1" s="1"/>
  <c r="L1948" i="1"/>
  <c r="K1948" i="1"/>
  <c r="J1948" i="1"/>
  <c r="I1948" i="1"/>
  <c r="C1948" i="1"/>
  <c r="H1948" i="1" s="1"/>
  <c r="L1947" i="1"/>
  <c r="K1947" i="1"/>
  <c r="J1947" i="1"/>
  <c r="I1947" i="1"/>
  <c r="C1947" i="1"/>
  <c r="H1947" i="1" s="1"/>
  <c r="L1946" i="1"/>
  <c r="K1946" i="1"/>
  <c r="J1946" i="1"/>
  <c r="I1946" i="1"/>
  <c r="C1946" i="1"/>
  <c r="H1946" i="1" s="1"/>
  <c r="L1945" i="1"/>
  <c r="K1945" i="1"/>
  <c r="J1945" i="1"/>
  <c r="I1945" i="1"/>
  <c r="C1945" i="1"/>
  <c r="H1945" i="1" s="1"/>
  <c r="L1944" i="1"/>
  <c r="K1944" i="1"/>
  <c r="J1944" i="1"/>
  <c r="I1944" i="1"/>
  <c r="C1944" i="1"/>
  <c r="H1944" i="1" s="1"/>
  <c r="L1943" i="1"/>
  <c r="K1943" i="1"/>
  <c r="J1943" i="1"/>
  <c r="I1943" i="1"/>
  <c r="C1943" i="1"/>
  <c r="H1943" i="1" s="1"/>
  <c r="L1942" i="1"/>
  <c r="K1942" i="1"/>
  <c r="J1942" i="1"/>
  <c r="I1942" i="1"/>
  <c r="C1942" i="1"/>
  <c r="H1942" i="1" s="1"/>
  <c r="L1941" i="1"/>
  <c r="K1941" i="1"/>
  <c r="J1941" i="1"/>
  <c r="I1941" i="1"/>
  <c r="C1941" i="1"/>
  <c r="H1941" i="1" s="1"/>
  <c r="L1940" i="1"/>
  <c r="K1940" i="1"/>
  <c r="J1940" i="1"/>
  <c r="I1940" i="1"/>
  <c r="C1940" i="1"/>
  <c r="H1940" i="1" s="1"/>
  <c r="L1939" i="1"/>
  <c r="K1939" i="1"/>
  <c r="J1939" i="1"/>
  <c r="I1939" i="1"/>
  <c r="C1939" i="1"/>
  <c r="H1939" i="1" s="1"/>
  <c r="L1938" i="1"/>
  <c r="K1938" i="1"/>
  <c r="J1938" i="1"/>
  <c r="I1938" i="1"/>
  <c r="C1938" i="1"/>
  <c r="H1938" i="1" s="1"/>
  <c r="L1937" i="1"/>
  <c r="K1937" i="1"/>
  <c r="J1937" i="1"/>
  <c r="I1937" i="1"/>
  <c r="C1937" i="1"/>
  <c r="H1937" i="1" s="1"/>
  <c r="L1936" i="1"/>
  <c r="K1936" i="1"/>
  <c r="J1936" i="1"/>
  <c r="I1936" i="1"/>
  <c r="C1936" i="1"/>
  <c r="H1936" i="1" s="1"/>
  <c r="L1935" i="1"/>
  <c r="K1935" i="1"/>
  <c r="J1935" i="1"/>
  <c r="I1935" i="1"/>
  <c r="C1935" i="1"/>
  <c r="H1935" i="1" s="1"/>
  <c r="L1934" i="1"/>
  <c r="K1934" i="1"/>
  <c r="J1934" i="1"/>
  <c r="I1934" i="1"/>
  <c r="C1934" i="1"/>
  <c r="H1934" i="1" s="1"/>
  <c r="L1933" i="1"/>
  <c r="K1933" i="1"/>
  <c r="J1933" i="1"/>
  <c r="I1933" i="1"/>
  <c r="C1933" i="1"/>
  <c r="H1933" i="1" s="1"/>
  <c r="L1932" i="1"/>
  <c r="K1932" i="1"/>
  <c r="J1932" i="1"/>
  <c r="I1932" i="1"/>
  <c r="C1932" i="1"/>
  <c r="H1932" i="1" s="1"/>
  <c r="L1931" i="1"/>
  <c r="K1931" i="1"/>
  <c r="J1931" i="1"/>
  <c r="I1931" i="1"/>
  <c r="C1931" i="1"/>
  <c r="H1931" i="1" s="1"/>
  <c r="L1930" i="1"/>
  <c r="K1930" i="1"/>
  <c r="J1930" i="1"/>
  <c r="I1930" i="1"/>
  <c r="C1930" i="1"/>
  <c r="H1930" i="1" s="1"/>
  <c r="L1929" i="1"/>
  <c r="K1929" i="1"/>
  <c r="J1929" i="1"/>
  <c r="I1929" i="1"/>
  <c r="C1929" i="1"/>
  <c r="H1929" i="1" s="1"/>
  <c r="L1928" i="1"/>
  <c r="K1928" i="1"/>
  <c r="J1928" i="1"/>
  <c r="I1928" i="1"/>
  <c r="C1928" i="1"/>
  <c r="H1928" i="1" s="1"/>
  <c r="L1927" i="1"/>
  <c r="K1927" i="1"/>
  <c r="J1927" i="1"/>
  <c r="I1927" i="1"/>
  <c r="C1927" i="1"/>
  <c r="H1927" i="1" s="1"/>
  <c r="L1926" i="1"/>
  <c r="K1926" i="1"/>
  <c r="J1926" i="1"/>
  <c r="I1926" i="1"/>
  <c r="C1926" i="1"/>
  <c r="H1926" i="1" s="1"/>
  <c r="L1925" i="1"/>
  <c r="K1925" i="1"/>
  <c r="J1925" i="1"/>
  <c r="I1925" i="1"/>
  <c r="C1925" i="1"/>
  <c r="H1925" i="1" s="1"/>
  <c r="L1924" i="1"/>
  <c r="K1924" i="1"/>
  <c r="J1924" i="1"/>
  <c r="I1924" i="1"/>
  <c r="C1924" i="1"/>
  <c r="H1924" i="1" s="1"/>
  <c r="L1923" i="1"/>
  <c r="K1923" i="1"/>
  <c r="J1923" i="1"/>
  <c r="I1923" i="1"/>
  <c r="C1923" i="1"/>
  <c r="H1923" i="1" s="1"/>
  <c r="L1922" i="1"/>
  <c r="K1922" i="1"/>
  <c r="J1922" i="1"/>
  <c r="I1922" i="1"/>
  <c r="C1922" i="1"/>
  <c r="H1922" i="1" s="1"/>
  <c r="L1921" i="1"/>
  <c r="K1921" i="1"/>
  <c r="J1921" i="1"/>
  <c r="I1921" i="1"/>
  <c r="C1921" i="1"/>
  <c r="H1921" i="1" s="1"/>
  <c r="L1920" i="1"/>
  <c r="K1920" i="1"/>
  <c r="J1920" i="1"/>
  <c r="I1920" i="1"/>
  <c r="C1920" i="1"/>
  <c r="H1920" i="1" s="1"/>
  <c r="L1919" i="1"/>
  <c r="K1919" i="1"/>
  <c r="J1919" i="1"/>
  <c r="I1919" i="1"/>
  <c r="C1919" i="1"/>
  <c r="H1919" i="1" s="1"/>
  <c r="L1918" i="1"/>
  <c r="K1918" i="1"/>
  <c r="J1918" i="1"/>
  <c r="I1918" i="1"/>
  <c r="C1918" i="1"/>
  <c r="H1918" i="1" s="1"/>
  <c r="L1917" i="1"/>
  <c r="K1917" i="1"/>
  <c r="J1917" i="1"/>
  <c r="I1917" i="1"/>
  <c r="C1917" i="1"/>
  <c r="H1917" i="1" s="1"/>
  <c r="L1916" i="1"/>
  <c r="K1916" i="1"/>
  <c r="J1916" i="1"/>
  <c r="I1916" i="1"/>
  <c r="C1916" i="1"/>
  <c r="H1916" i="1" s="1"/>
  <c r="L1915" i="1"/>
  <c r="K1915" i="1"/>
  <c r="J1915" i="1"/>
  <c r="I1915" i="1"/>
  <c r="C1915" i="1"/>
  <c r="H1915" i="1" s="1"/>
  <c r="L1914" i="1"/>
  <c r="K1914" i="1"/>
  <c r="J1914" i="1"/>
  <c r="I1914" i="1"/>
  <c r="C1914" i="1"/>
  <c r="H1914" i="1" s="1"/>
  <c r="L1913" i="1"/>
  <c r="K1913" i="1"/>
  <c r="J1913" i="1"/>
  <c r="I1913" i="1"/>
  <c r="C1913" i="1"/>
  <c r="H1913" i="1" s="1"/>
  <c r="L1912" i="1"/>
  <c r="K1912" i="1"/>
  <c r="J1912" i="1"/>
  <c r="I1912" i="1"/>
  <c r="C1912" i="1"/>
  <c r="H1912" i="1" s="1"/>
  <c r="L1911" i="1"/>
  <c r="K1911" i="1"/>
  <c r="J1911" i="1"/>
  <c r="I1911" i="1"/>
  <c r="C1911" i="1"/>
  <c r="H1911" i="1" s="1"/>
  <c r="L1910" i="1"/>
  <c r="K1910" i="1"/>
  <c r="J1910" i="1"/>
  <c r="I1910" i="1"/>
  <c r="C1910" i="1"/>
  <c r="H1910" i="1" s="1"/>
  <c r="L1909" i="1"/>
  <c r="K1909" i="1"/>
  <c r="J1909" i="1"/>
  <c r="I1909" i="1"/>
  <c r="C1909" i="1"/>
  <c r="H1909" i="1" s="1"/>
  <c r="L1908" i="1"/>
  <c r="K1908" i="1"/>
  <c r="J1908" i="1"/>
  <c r="I1908" i="1"/>
  <c r="C1908" i="1"/>
  <c r="H1908" i="1" s="1"/>
  <c r="L1907" i="1"/>
  <c r="K1907" i="1"/>
  <c r="J1907" i="1"/>
  <c r="I1907" i="1"/>
  <c r="C1907" i="1"/>
  <c r="H1907" i="1" s="1"/>
  <c r="L1906" i="1"/>
  <c r="K1906" i="1"/>
  <c r="J1906" i="1"/>
  <c r="I1906" i="1"/>
  <c r="C1906" i="1"/>
  <c r="H1906" i="1" s="1"/>
  <c r="L1905" i="1"/>
  <c r="K1905" i="1"/>
  <c r="J1905" i="1"/>
  <c r="I1905" i="1"/>
  <c r="C1905" i="1"/>
  <c r="H1905" i="1" s="1"/>
  <c r="L1904" i="1"/>
  <c r="K1904" i="1"/>
  <c r="J1904" i="1"/>
  <c r="I1904" i="1"/>
  <c r="C1904" i="1"/>
  <c r="H1904" i="1" s="1"/>
  <c r="L1903" i="1"/>
  <c r="K1903" i="1"/>
  <c r="J1903" i="1"/>
  <c r="I1903" i="1"/>
  <c r="C1903" i="1"/>
  <c r="H1903" i="1" s="1"/>
  <c r="L1902" i="1"/>
  <c r="K1902" i="1"/>
  <c r="J1902" i="1"/>
  <c r="I1902" i="1"/>
  <c r="C1902" i="1"/>
  <c r="H1902" i="1" s="1"/>
  <c r="L1901" i="1"/>
  <c r="K1901" i="1"/>
  <c r="J1901" i="1"/>
  <c r="I1901" i="1"/>
  <c r="C1901" i="1"/>
  <c r="H1901" i="1" s="1"/>
  <c r="L1900" i="1"/>
  <c r="K1900" i="1"/>
  <c r="J1900" i="1"/>
  <c r="I1900" i="1"/>
  <c r="C1900" i="1"/>
  <c r="H1900" i="1" s="1"/>
  <c r="L1899" i="1"/>
  <c r="K1899" i="1"/>
  <c r="J1899" i="1"/>
  <c r="I1899" i="1"/>
  <c r="C1899" i="1"/>
  <c r="H1899" i="1" s="1"/>
  <c r="L1898" i="1"/>
  <c r="K1898" i="1"/>
  <c r="J1898" i="1"/>
  <c r="I1898" i="1"/>
  <c r="C1898" i="1"/>
  <c r="H1898" i="1" s="1"/>
  <c r="L1897" i="1"/>
  <c r="K1897" i="1"/>
  <c r="J1897" i="1"/>
  <c r="I1897" i="1"/>
  <c r="C1897" i="1"/>
  <c r="H1897" i="1" s="1"/>
  <c r="L1896" i="1"/>
  <c r="K1896" i="1"/>
  <c r="J1896" i="1"/>
  <c r="I1896" i="1"/>
  <c r="C1896" i="1"/>
  <c r="H1896" i="1" s="1"/>
  <c r="L1895" i="1"/>
  <c r="K1895" i="1"/>
  <c r="J1895" i="1"/>
  <c r="I1895" i="1"/>
  <c r="C1895" i="1"/>
  <c r="H1895" i="1" s="1"/>
  <c r="L1894" i="1"/>
  <c r="K1894" i="1"/>
  <c r="J1894" i="1"/>
  <c r="I1894" i="1"/>
  <c r="C1894" i="1"/>
  <c r="H1894" i="1" s="1"/>
  <c r="L1893" i="1"/>
  <c r="K1893" i="1"/>
  <c r="J1893" i="1"/>
  <c r="I1893" i="1"/>
  <c r="C1893" i="1"/>
  <c r="H1893" i="1" s="1"/>
  <c r="L1892" i="1"/>
  <c r="K1892" i="1"/>
  <c r="J1892" i="1"/>
  <c r="I1892" i="1"/>
  <c r="C1892" i="1"/>
  <c r="H1892" i="1" s="1"/>
  <c r="L1891" i="1"/>
  <c r="K1891" i="1"/>
  <c r="J1891" i="1"/>
  <c r="I1891" i="1"/>
  <c r="C1891" i="1"/>
  <c r="H1891" i="1" s="1"/>
  <c r="L1890" i="1"/>
  <c r="K1890" i="1"/>
  <c r="J1890" i="1"/>
  <c r="I1890" i="1"/>
  <c r="C1890" i="1"/>
  <c r="H1890" i="1" s="1"/>
  <c r="L1889" i="1"/>
  <c r="K1889" i="1"/>
  <c r="J1889" i="1"/>
  <c r="I1889" i="1"/>
  <c r="C1889" i="1"/>
  <c r="H1889" i="1" s="1"/>
  <c r="L1888" i="1"/>
  <c r="K1888" i="1"/>
  <c r="J1888" i="1"/>
  <c r="I1888" i="1"/>
  <c r="C1888" i="1"/>
  <c r="H1888" i="1" s="1"/>
  <c r="L1887" i="1"/>
  <c r="K1887" i="1"/>
  <c r="J1887" i="1"/>
  <c r="I1887" i="1"/>
  <c r="C1887" i="1"/>
  <c r="H1887" i="1" s="1"/>
  <c r="L1886" i="1"/>
  <c r="K1886" i="1"/>
  <c r="J1886" i="1"/>
  <c r="I1886" i="1"/>
  <c r="C1886" i="1"/>
  <c r="H1886" i="1" s="1"/>
  <c r="L1885" i="1"/>
  <c r="K1885" i="1"/>
  <c r="J1885" i="1"/>
  <c r="I1885" i="1"/>
  <c r="C1885" i="1"/>
  <c r="H1885" i="1" s="1"/>
  <c r="L1884" i="1"/>
  <c r="K1884" i="1"/>
  <c r="J1884" i="1"/>
  <c r="I1884" i="1"/>
  <c r="C1884" i="1"/>
  <c r="H1884" i="1" s="1"/>
  <c r="L1883" i="1"/>
  <c r="K1883" i="1"/>
  <c r="J1883" i="1"/>
  <c r="I1883" i="1"/>
  <c r="C1883" i="1"/>
  <c r="H1883" i="1" s="1"/>
  <c r="L1882" i="1"/>
  <c r="K1882" i="1"/>
  <c r="J1882" i="1"/>
  <c r="I1882" i="1"/>
  <c r="C1882" i="1"/>
  <c r="H1882" i="1" s="1"/>
  <c r="L1881" i="1"/>
  <c r="K1881" i="1"/>
  <c r="J1881" i="1"/>
  <c r="I1881" i="1"/>
  <c r="C1881" i="1"/>
  <c r="H1881" i="1" s="1"/>
  <c r="L1880" i="1"/>
  <c r="K1880" i="1"/>
  <c r="J1880" i="1"/>
  <c r="I1880" i="1"/>
  <c r="C1880" i="1"/>
  <c r="H1880" i="1" s="1"/>
  <c r="L1879" i="1"/>
  <c r="K1879" i="1"/>
  <c r="J1879" i="1"/>
  <c r="I1879" i="1"/>
  <c r="C1879" i="1"/>
  <c r="H1879" i="1" s="1"/>
  <c r="L1878" i="1"/>
  <c r="K1878" i="1"/>
  <c r="J1878" i="1"/>
  <c r="I1878" i="1"/>
  <c r="C1878" i="1"/>
  <c r="H1878" i="1" s="1"/>
  <c r="L1877" i="1"/>
  <c r="K1877" i="1"/>
  <c r="J1877" i="1"/>
  <c r="I1877" i="1"/>
  <c r="C1877" i="1"/>
  <c r="H1877" i="1" s="1"/>
  <c r="L1876" i="1"/>
  <c r="K1876" i="1"/>
  <c r="J1876" i="1"/>
  <c r="I1876" i="1"/>
  <c r="C1876" i="1"/>
  <c r="H1876" i="1" s="1"/>
  <c r="L1875" i="1"/>
  <c r="K1875" i="1"/>
  <c r="J1875" i="1"/>
  <c r="I1875" i="1"/>
  <c r="C1875" i="1"/>
  <c r="H1875" i="1" s="1"/>
  <c r="L1874" i="1"/>
  <c r="K1874" i="1"/>
  <c r="J1874" i="1"/>
  <c r="I1874" i="1"/>
  <c r="C1874" i="1"/>
  <c r="H1874" i="1" s="1"/>
  <c r="L1873" i="1"/>
  <c r="K1873" i="1"/>
  <c r="J1873" i="1"/>
  <c r="I1873" i="1"/>
  <c r="C1873" i="1"/>
  <c r="H1873" i="1" s="1"/>
  <c r="L1872" i="1"/>
  <c r="K1872" i="1"/>
  <c r="J1872" i="1"/>
  <c r="I1872" i="1"/>
  <c r="C1872" i="1"/>
  <c r="H1872" i="1" s="1"/>
  <c r="L1871" i="1"/>
  <c r="K1871" i="1"/>
  <c r="J1871" i="1"/>
  <c r="I1871" i="1"/>
  <c r="C1871" i="1"/>
  <c r="H1871" i="1" s="1"/>
  <c r="L1870" i="1"/>
  <c r="K1870" i="1"/>
  <c r="J1870" i="1"/>
  <c r="I1870" i="1"/>
  <c r="C1870" i="1"/>
  <c r="H1870" i="1" s="1"/>
  <c r="L1869" i="1"/>
  <c r="K1869" i="1"/>
  <c r="J1869" i="1"/>
  <c r="I1869" i="1"/>
  <c r="C1869" i="1"/>
  <c r="H1869" i="1" s="1"/>
  <c r="L1868" i="1"/>
  <c r="K1868" i="1"/>
  <c r="J1868" i="1"/>
  <c r="I1868" i="1"/>
  <c r="C1868" i="1"/>
  <c r="H1868" i="1" s="1"/>
  <c r="L1867" i="1"/>
  <c r="K1867" i="1"/>
  <c r="J1867" i="1"/>
  <c r="I1867" i="1"/>
  <c r="C1867" i="1"/>
  <c r="H1867" i="1" s="1"/>
  <c r="L1866" i="1"/>
  <c r="K1866" i="1"/>
  <c r="J1866" i="1"/>
  <c r="I1866" i="1"/>
  <c r="C1866" i="1"/>
  <c r="H1866" i="1" s="1"/>
  <c r="L1865" i="1"/>
  <c r="K1865" i="1"/>
  <c r="J1865" i="1"/>
  <c r="I1865" i="1"/>
  <c r="C1865" i="1"/>
  <c r="H1865" i="1" s="1"/>
  <c r="L1864" i="1"/>
  <c r="K1864" i="1"/>
  <c r="J1864" i="1"/>
  <c r="I1864" i="1"/>
  <c r="C1864" i="1"/>
  <c r="H1864" i="1" s="1"/>
  <c r="L1863" i="1"/>
  <c r="K1863" i="1"/>
  <c r="J1863" i="1"/>
  <c r="I1863" i="1"/>
  <c r="C1863" i="1"/>
  <c r="H1863" i="1" s="1"/>
  <c r="L1862" i="1"/>
  <c r="K1862" i="1"/>
  <c r="J1862" i="1"/>
  <c r="I1862" i="1"/>
  <c r="C1862" i="1"/>
  <c r="H1862" i="1" s="1"/>
  <c r="L1861" i="1"/>
  <c r="K1861" i="1"/>
  <c r="J1861" i="1"/>
  <c r="I1861" i="1"/>
  <c r="C1861" i="1"/>
  <c r="H1861" i="1" s="1"/>
  <c r="L1860" i="1"/>
  <c r="K1860" i="1"/>
  <c r="J1860" i="1"/>
  <c r="I1860" i="1"/>
  <c r="C1860" i="1"/>
  <c r="H1860" i="1" s="1"/>
  <c r="L1859" i="1"/>
  <c r="K1859" i="1"/>
  <c r="J1859" i="1"/>
  <c r="I1859" i="1"/>
  <c r="C1859" i="1"/>
  <c r="H1859" i="1" s="1"/>
  <c r="L1858" i="1"/>
  <c r="K1858" i="1"/>
  <c r="J1858" i="1"/>
  <c r="I1858" i="1"/>
  <c r="C1858" i="1"/>
  <c r="H1858" i="1" s="1"/>
  <c r="L1857" i="1"/>
  <c r="K1857" i="1"/>
  <c r="J1857" i="1"/>
  <c r="I1857" i="1"/>
  <c r="C1857" i="1"/>
  <c r="H1857" i="1" s="1"/>
  <c r="L1856" i="1"/>
  <c r="K1856" i="1"/>
  <c r="J1856" i="1"/>
  <c r="I1856" i="1"/>
  <c r="C1856" i="1"/>
  <c r="H1856" i="1" s="1"/>
  <c r="L1855" i="1"/>
  <c r="K1855" i="1"/>
  <c r="J1855" i="1"/>
  <c r="I1855" i="1"/>
  <c r="C1855" i="1"/>
  <c r="H1855" i="1" s="1"/>
  <c r="L1854" i="1"/>
  <c r="K1854" i="1"/>
  <c r="J1854" i="1"/>
  <c r="I1854" i="1"/>
  <c r="C1854" i="1"/>
  <c r="H1854" i="1" s="1"/>
  <c r="L1853" i="1"/>
  <c r="K1853" i="1"/>
  <c r="J1853" i="1"/>
  <c r="I1853" i="1"/>
  <c r="C1853" i="1"/>
  <c r="H1853" i="1" s="1"/>
  <c r="L1852" i="1"/>
  <c r="K1852" i="1"/>
  <c r="J1852" i="1"/>
  <c r="I1852" i="1"/>
  <c r="C1852" i="1"/>
  <c r="H1852" i="1" s="1"/>
  <c r="L1851" i="1"/>
  <c r="K1851" i="1"/>
  <c r="J1851" i="1"/>
  <c r="I1851" i="1"/>
  <c r="C1851" i="1"/>
  <c r="H1851" i="1" s="1"/>
  <c r="L1850" i="1"/>
  <c r="K1850" i="1"/>
  <c r="J1850" i="1"/>
  <c r="I1850" i="1"/>
  <c r="C1850" i="1"/>
  <c r="H1850" i="1" s="1"/>
  <c r="L1849" i="1"/>
  <c r="K1849" i="1"/>
  <c r="J1849" i="1"/>
  <c r="I1849" i="1"/>
  <c r="C1849" i="1"/>
  <c r="H1849" i="1" s="1"/>
  <c r="L1848" i="1"/>
  <c r="K1848" i="1"/>
  <c r="J1848" i="1"/>
  <c r="I1848" i="1"/>
  <c r="C1848" i="1"/>
  <c r="H1848" i="1" s="1"/>
  <c r="L1847" i="1"/>
  <c r="K1847" i="1"/>
  <c r="J1847" i="1"/>
  <c r="I1847" i="1"/>
  <c r="C1847" i="1"/>
  <c r="H1847" i="1" s="1"/>
  <c r="L1846" i="1"/>
  <c r="K1846" i="1"/>
  <c r="J1846" i="1"/>
  <c r="I1846" i="1"/>
  <c r="C1846" i="1"/>
  <c r="H1846" i="1" s="1"/>
  <c r="L1845" i="1"/>
  <c r="K1845" i="1"/>
  <c r="J1845" i="1"/>
  <c r="I1845" i="1"/>
  <c r="C1845" i="1"/>
  <c r="H1845" i="1" s="1"/>
  <c r="L1844" i="1"/>
  <c r="K1844" i="1"/>
  <c r="J1844" i="1"/>
  <c r="I1844" i="1"/>
  <c r="C1844" i="1"/>
  <c r="H1844" i="1" s="1"/>
  <c r="L1843" i="1"/>
  <c r="K1843" i="1"/>
  <c r="J1843" i="1"/>
  <c r="I1843" i="1"/>
  <c r="C1843" i="1"/>
  <c r="H1843" i="1" s="1"/>
  <c r="L1842" i="1"/>
  <c r="K1842" i="1"/>
  <c r="J1842" i="1"/>
  <c r="I1842" i="1"/>
  <c r="C1842" i="1"/>
  <c r="H1842" i="1" s="1"/>
  <c r="L1841" i="1"/>
  <c r="K1841" i="1"/>
  <c r="J1841" i="1"/>
  <c r="I1841" i="1"/>
  <c r="C1841" i="1"/>
  <c r="H1841" i="1" s="1"/>
  <c r="L1840" i="1"/>
  <c r="K1840" i="1"/>
  <c r="J1840" i="1"/>
  <c r="I1840" i="1"/>
  <c r="C1840" i="1"/>
  <c r="H1840" i="1" s="1"/>
  <c r="L1839" i="1"/>
  <c r="K1839" i="1"/>
  <c r="J1839" i="1"/>
  <c r="I1839" i="1"/>
  <c r="C1839" i="1"/>
  <c r="H1839" i="1" s="1"/>
  <c r="L1838" i="1"/>
  <c r="K1838" i="1"/>
  <c r="J1838" i="1"/>
  <c r="I1838" i="1"/>
  <c r="C1838" i="1"/>
  <c r="H1838" i="1" s="1"/>
  <c r="L1837" i="1"/>
  <c r="K1837" i="1"/>
  <c r="J1837" i="1"/>
  <c r="I1837" i="1"/>
  <c r="C1837" i="1"/>
  <c r="H1837" i="1" s="1"/>
  <c r="L1836" i="1"/>
  <c r="K1836" i="1"/>
  <c r="J1836" i="1"/>
  <c r="I1836" i="1"/>
  <c r="C1836" i="1"/>
  <c r="H1836" i="1" s="1"/>
  <c r="L1835" i="1"/>
  <c r="K1835" i="1"/>
  <c r="J1835" i="1"/>
  <c r="I1835" i="1"/>
  <c r="C1835" i="1"/>
  <c r="H1835" i="1" s="1"/>
  <c r="L1834" i="1"/>
  <c r="K1834" i="1"/>
  <c r="J1834" i="1"/>
  <c r="I1834" i="1"/>
  <c r="C1834" i="1"/>
  <c r="H1834" i="1" s="1"/>
  <c r="L1833" i="1"/>
  <c r="K1833" i="1"/>
  <c r="J1833" i="1"/>
  <c r="I1833" i="1"/>
  <c r="C1833" i="1"/>
  <c r="H1833" i="1" s="1"/>
  <c r="L1832" i="1"/>
  <c r="K1832" i="1"/>
  <c r="J1832" i="1"/>
  <c r="I1832" i="1"/>
  <c r="C1832" i="1"/>
  <c r="H1832" i="1" s="1"/>
  <c r="L1831" i="1"/>
  <c r="K1831" i="1"/>
  <c r="J1831" i="1"/>
  <c r="I1831" i="1"/>
  <c r="C1831" i="1"/>
  <c r="H1831" i="1" s="1"/>
  <c r="L1830" i="1"/>
  <c r="K1830" i="1"/>
  <c r="J1830" i="1"/>
  <c r="I1830" i="1"/>
  <c r="C1830" i="1"/>
  <c r="H1830" i="1" s="1"/>
  <c r="L1829" i="1"/>
  <c r="K1829" i="1"/>
  <c r="J1829" i="1"/>
  <c r="I1829" i="1"/>
  <c r="C1829" i="1"/>
  <c r="H1829" i="1" s="1"/>
  <c r="L1828" i="1"/>
  <c r="K1828" i="1"/>
  <c r="J1828" i="1"/>
  <c r="I1828" i="1"/>
  <c r="C1828" i="1"/>
  <c r="H1828" i="1" s="1"/>
  <c r="L1827" i="1"/>
  <c r="K1827" i="1"/>
  <c r="J1827" i="1"/>
  <c r="I1827" i="1"/>
  <c r="C1827" i="1"/>
  <c r="H1827" i="1" s="1"/>
  <c r="L1826" i="1"/>
  <c r="K1826" i="1"/>
  <c r="J1826" i="1"/>
  <c r="I1826" i="1"/>
  <c r="C1826" i="1"/>
  <c r="H1826" i="1" s="1"/>
  <c r="L1825" i="1"/>
  <c r="K1825" i="1"/>
  <c r="J1825" i="1"/>
  <c r="I1825" i="1"/>
  <c r="C1825" i="1"/>
  <c r="H1825" i="1" s="1"/>
  <c r="L1824" i="1"/>
  <c r="K1824" i="1"/>
  <c r="J1824" i="1"/>
  <c r="I1824" i="1"/>
  <c r="C1824" i="1"/>
  <c r="H1824" i="1" s="1"/>
  <c r="L1823" i="1"/>
  <c r="K1823" i="1"/>
  <c r="J1823" i="1"/>
  <c r="I1823" i="1"/>
  <c r="C1823" i="1"/>
  <c r="H1823" i="1" s="1"/>
  <c r="L1822" i="1"/>
  <c r="K1822" i="1"/>
  <c r="J1822" i="1"/>
  <c r="I1822" i="1"/>
  <c r="C1822" i="1"/>
  <c r="H1822" i="1" s="1"/>
  <c r="L1821" i="1"/>
  <c r="K1821" i="1"/>
  <c r="J1821" i="1"/>
  <c r="I1821" i="1"/>
  <c r="C1821" i="1"/>
  <c r="H1821" i="1" s="1"/>
  <c r="L1820" i="1"/>
  <c r="K1820" i="1"/>
  <c r="J1820" i="1"/>
  <c r="I1820" i="1"/>
  <c r="C1820" i="1"/>
  <c r="H1820" i="1" s="1"/>
  <c r="L1819" i="1"/>
  <c r="K1819" i="1"/>
  <c r="J1819" i="1"/>
  <c r="I1819" i="1"/>
  <c r="C1819" i="1"/>
  <c r="H1819" i="1" s="1"/>
  <c r="L1818" i="1"/>
  <c r="K1818" i="1"/>
  <c r="J1818" i="1"/>
  <c r="I1818" i="1"/>
  <c r="C1818" i="1"/>
  <c r="H1818" i="1" s="1"/>
  <c r="L1817" i="1"/>
  <c r="K1817" i="1"/>
  <c r="J1817" i="1"/>
  <c r="I1817" i="1"/>
  <c r="C1817" i="1"/>
  <c r="H1817" i="1" s="1"/>
  <c r="L1816" i="1"/>
  <c r="K1816" i="1"/>
  <c r="J1816" i="1"/>
  <c r="I1816" i="1"/>
  <c r="C1816" i="1"/>
  <c r="H1816" i="1" s="1"/>
  <c r="L1815" i="1"/>
  <c r="K1815" i="1"/>
  <c r="J1815" i="1"/>
  <c r="I1815" i="1"/>
  <c r="C1815" i="1"/>
  <c r="H1815" i="1" s="1"/>
  <c r="L1814" i="1"/>
  <c r="K1814" i="1"/>
  <c r="J1814" i="1"/>
  <c r="I1814" i="1"/>
  <c r="C1814" i="1"/>
  <c r="H1814" i="1" s="1"/>
  <c r="L1813" i="1"/>
  <c r="K1813" i="1"/>
  <c r="J1813" i="1"/>
  <c r="I1813" i="1"/>
  <c r="C1813" i="1"/>
  <c r="H1813" i="1" s="1"/>
  <c r="L1812" i="1"/>
  <c r="K1812" i="1"/>
  <c r="J1812" i="1"/>
  <c r="I1812" i="1"/>
  <c r="C1812" i="1"/>
  <c r="H1812" i="1" s="1"/>
  <c r="L1811" i="1"/>
  <c r="K1811" i="1"/>
  <c r="J1811" i="1"/>
  <c r="I1811" i="1"/>
  <c r="C1811" i="1"/>
  <c r="H1811" i="1" s="1"/>
  <c r="L1810" i="1"/>
  <c r="K1810" i="1"/>
  <c r="J1810" i="1"/>
  <c r="I1810" i="1"/>
  <c r="C1810" i="1"/>
  <c r="H1810" i="1" s="1"/>
  <c r="L1809" i="1"/>
  <c r="K1809" i="1"/>
  <c r="J1809" i="1"/>
  <c r="I1809" i="1"/>
  <c r="C1809" i="1"/>
  <c r="H1809" i="1" s="1"/>
  <c r="L1808" i="1"/>
  <c r="K1808" i="1"/>
  <c r="J1808" i="1"/>
  <c r="I1808" i="1"/>
  <c r="C1808" i="1"/>
  <c r="H1808" i="1" s="1"/>
  <c r="L1807" i="1"/>
  <c r="K1807" i="1"/>
  <c r="J1807" i="1"/>
  <c r="I1807" i="1"/>
  <c r="C1807" i="1"/>
  <c r="H1807" i="1" s="1"/>
  <c r="L1806" i="1"/>
  <c r="K1806" i="1"/>
  <c r="J1806" i="1"/>
  <c r="I1806" i="1"/>
  <c r="C1806" i="1"/>
  <c r="H1806" i="1" s="1"/>
  <c r="L1805" i="1"/>
  <c r="K1805" i="1"/>
  <c r="J1805" i="1"/>
  <c r="I1805" i="1"/>
  <c r="C1805" i="1"/>
  <c r="H1805" i="1" s="1"/>
  <c r="L1804" i="1"/>
  <c r="K1804" i="1"/>
  <c r="J1804" i="1"/>
  <c r="I1804" i="1"/>
  <c r="C1804" i="1"/>
  <c r="H1804" i="1" s="1"/>
  <c r="L1803" i="1"/>
  <c r="K1803" i="1"/>
  <c r="J1803" i="1"/>
  <c r="I1803" i="1"/>
  <c r="C1803" i="1"/>
  <c r="H1803" i="1" s="1"/>
  <c r="L1802" i="1"/>
  <c r="K1802" i="1"/>
  <c r="J1802" i="1"/>
  <c r="I1802" i="1"/>
  <c r="C1802" i="1"/>
  <c r="H1802" i="1" s="1"/>
  <c r="L1801" i="1"/>
  <c r="K1801" i="1"/>
  <c r="J1801" i="1"/>
  <c r="I1801" i="1"/>
  <c r="C1801" i="1"/>
  <c r="H1801" i="1" s="1"/>
  <c r="L1800" i="1"/>
  <c r="K1800" i="1"/>
  <c r="J1800" i="1"/>
  <c r="I1800" i="1"/>
  <c r="C1800" i="1"/>
  <c r="H1800" i="1" s="1"/>
  <c r="L1799" i="1"/>
  <c r="K1799" i="1"/>
  <c r="J1799" i="1"/>
  <c r="I1799" i="1"/>
  <c r="C1799" i="1"/>
  <c r="H1799" i="1" s="1"/>
  <c r="L1798" i="1"/>
  <c r="K1798" i="1"/>
  <c r="J1798" i="1"/>
  <c r="I1798" i="1"/>
  <c r="C1798" i="1"/>
  <c r="H1798" i="1" s="1"/>
  <c r="L1797" i="1"/>
  <c r="K1797" i="1"/>
  <c r="J1797" i="1"/>
  <c r="I1797" i="1"/>
  <c r="C1797" i="1"/>
  <c r="H1797" i="1" s="1"/>
  <c r="L1796" i="1"/>
  <c r="K1796" i="1"/>
  <c r="J1796" i="1"/>
  <c r="I1796" i="1"/>
  <c r="C1796" i="1"/>
  <c r="H1796" i="1" s="1"/>
  <c r="L1795" i="1"/>
  <c r="K1795" i="1"/>
  <c r="J1795" i="1"/>
  <c r="I1795" i="1"/>
  <c r="C1795" i="1"/>
  <c r="H1795" i="1" s="1"/>
  <c r="L1794" i="1"/>
  <c r="K1794" i="1"/>
  <c r="J1794" i="1"/>
  <c r="I1794" i="1"/>
  <c r="C1794" i="1"/>
  <c r="H1794" i="1" s="1"/>
  <c r="L1793" i="1"/>
  <c r="K1793" i="1"/>
  <c r="J1793" i="1"/>
  <c r="I1793" i="1"/>
  <c r="C1793" i="1"/>
  <c r="H1793" i="1" s="1"/>
  <c r="L1792" i="1"/>
  <c r="K1792" i="1"/>
  <c r="J1792" i="1"/>
  <c r="I1792" i="1"/>
  <c r="C1792" i="1"/>
  <c r="H1792" i="1" s="1"/>
  <c r="L1791" i="1"/>
  <c r="K1791" i="1"/>
  <c r="J1791" i="1"/>
  <c r="I1791" i="1"/>
  <c r="C1791" i="1"/>
  <c r="H1791" i="1" s="1"/>
  <c r="L1790" i="1"/>
  <c r="K1790" i="1"/>
  <c r="J1790" i="1"/>
  <c r="I1790" i="1"/>
  <c r="C1790" i="1"/>
  <c r="H1790" i="1" s="1"/>
  <c r="L1789" i="1"/>
  <c r="K1789" i="1"/>
  <c r="J1789" i="1"/>
  <c r="I1789" i="1"/>
  <c r="C1789" i="1"/>
  <c r="H1789" i="1" s="1"/>
  <c r="L1788" i="1"/>
  <c r="K1788" i="1"/>
  <c r="J1788" i="1"/>
  <c r="I1788" i="1"/>
  <c r="C1788" i="1"/>
  <c r="H1788" i="1" s="1"/>
  <c r="L1787" i="1"/>
  <c r="K1787" i="1"/>
  <c r="J1787" i="1"/>
  <c r="I1787" i="1"/>
  <c r="C1787" i="1"/>
  <c r="H1787" i="1" s="1"/>
  <c r="L1786" i="1"/>
  <c r="K1786" i="1"/>
  <c r="J1786" i="1"/>
  <c r="I1786" i="1"/>
  <c r="C1786" i="1"/>
  <c r="H1786" i="1" s="1"/>
  <c r="L1785" i="1"/>
  <c r="K1785" i="1"/>
  <c r="J1785" i="1"/>
  <c r="I1785" i="1"/>
  <c r="C1785" i="1"/>
  <c r="H1785" i="1" s="1"/>
  <c r="L1784" i="1"/>
  <c r="K1784" i="1"/>
  <c r="J1784" i="1"/>
  <c r="I1784" i="1"/>
  <c r="C1784" i="1"/>
  <c r="H1784" i="1" s="1"/>
  <c r="L1783" i="1"/>
  <c r="K1783" i="1"/>
  <c r="J1783" i="1"/>
  <c r="I1783" i="1"/>
  <c r="C1783" i="1"/>
  <c r="H1783" i="1" s="1"/>
  <c r="L1782" i="1"/>
  <c r="K1782" i="1"/>
  <c r="J1782" i="1"/>
  <c r="I1782" i="1"/>
  <c r="C1782" i="1"/>
  <c r="H1782" i="1" s="1"/>
  <c r="L1781" i="1"/>
  <c r="K1781" i="1"/>
  <c r="J1781" i="1"/>
  <c r="I1781" i="1"/>
  <c r="C1781" i="1"/>
  <c r="H1781" i="1" s="1"/>
  <c r="L1780" i="1"/>
  <c r="K1780" i="1"/>
  <c r="J1780" i="1"/>
  <c r="I1780" i="1"/>
  <c r="C1780" i="1"/>
  <c r="H1780" i="1" s="1"/>
  <c r="L1779" i="1"/>
  <c r="K1779" i="1"/>
  <c r="J1779" i="1"/>
  <c r="I1779" i="1"/>
  <c r="C1779" i="1"/>
  <c r="H1779" i="1" s="1"/>
  <c r="L1778" i="1"/>
  <c r="K1778" i="1"/>
  <c r="J1778" i="1"/>
  <c r="I1778" i="1"/>
  <c r="C1778" i="1"/>
  <c r="H1778" i="1" s="1"/>
  <c r="L1777" i="1"/>
  <c r="K1777" i="1"/>
  <c r="J1777" i="1"/>
  <c r="I1777" i="1"/>
  <c r="C1777" i="1"/>
  <c r="H1777" i="1" s="1"/>
  <c r="L1776" i="1"/>
  <c r="K1776" i="1"/>
  <c r="J1776" i="1"/>
  <c r="I1776" i="1"/>
  <c r="C1776" i="1"/>
  <c r="H1776" i="1" s="1"/>
  <c r="L1775" i="1"/>
  <c r="K1775" i="1"/>
  <c r="J1775" i="1"/>
  <c r="I1775" i="1"/>
  <c r="C1775" i="1"/>
  <c r="H1775" i="1" s="1"/>
  <c r="L1774" i="1"/>
  <c r="K1774" i="1"/>
  <c r="J1774" i="1"/>
  <c r="I1774" i="1"/>
  <c r="C1774" i="1"/>
  <c r="H1774" i="1" s="1"/>
  <c r="L1773" i="1"/>
  <c r="K1773" i="1"/>
  <c r="J1773" i="1"/>
  <c r="I1773" i="1"/>
  <c r="C1773" i="1"/>
  <c r="H1773" i="1" s="1"/>
  <c r="L1772" i="1"/>
  <c r="K1772" i="1"/>
  <c r="J1772" i="1"/>
  <c r="I1772" i="1"/>
  <c r="C1772" i="1"/>
  <c r="H1772" i="1" s="1"/>
  <c r="L1771" i="1"/>
  <c r="K1771" i="1"/>
  <c r="J1771" i="1"/>
  <c r="I1771" i="1"/>
  <c r="C1771" i="1"/>
  <c r="H1771" i="1" s="1"/>
  <c r="L1770" i="1"/>
  <c r="K1770" i="1"/>
  <c r="J1770" i="1"/>
  <c r="I1770" i="1"/>
  <c r="C1770" i="1"/>
  <c r="H1770" i="1" s="1"/>
  <c r="L1769" i="1"/>
  <c r="K1769" i="1"/>
  <c r="J1769" i="1"/>
  <c r="I1769" i="1"/>
  <c r="C1769" i="1"/>
  <c r="H1769" i="1" s="1"/>
  <c r="L1768" i="1"/>
  <c r="K1768" i="1"/>
  <c r="J1768" i="1"/>
  <c r="I1768" i="1"/>
  <c r="C1768" i="1"/>
  <c r="H1768" i="1" s="1"/>
  <c r="L1767" i="1"/>
  <c r="K1767" i="1"/>
  <c r="J1767" i="1"/>
  <c r="I1767" i="1"/>
  <c r="C1767" i="1"/>
  <c r="H1767" i="1" s="1"/>
  <c r="L1766" i="1"/>
  <c r="K1766" i="1"/>
  <c r="J1766" i="1"/>
  <c r="I1766" i="1"/>
  <c r="C1766" i="1"/>
  <c r="H1766" i="1" s="1"/>
  <c r="L1765" i="1"/>
  <c r="K1765" i="1"/>
  <c r="J1765" i="1"/>
  <c r="I1765" i="1"/>
  <c r="C1765" i="1"/>
  <c r="H1765" i="1" s="1"/>
  <c r="L1764" i="1"/>
  <c r="K1764" i="1"/>
  <c r="J1764" i="1"/>
  <c r="I1764" i="1"/>
  <c r="C1764" i="1"/>
  <c r="H1764" i="1" s="1"/>
  <c r="L1763" i="1"/>
  <c r="K1763" i="1"/>
  <c r="J1763" i="1"/>
  <c r="I1763" i="1"/>
  <c r="C1763" i="1"/>
  <c r="H1763" i="1" s="1"/>
  <c r="L1762" i="1"/>
  <c r="K1762" i="1"/>
  <c r="J1762" i="1"/>
  <c r="I1762" i="1"/>
  <c r="C1762" i="1"/>
  <c r="H1762" i="1" s="1"/>
  <c r="L1761" i="1"/>
  <c r="K1761" i="1"/>
  <c r="J1761" i="1"/>
  <c r="I1761" i="1"/>
  <c r="C1761" i="1"/>
  <c r="H1761" i="1" s="1"/>
  <c r="L1760" i="1"/>
  <c r="K1760" i="1"/>
  <c r="J1760" i="1"/>
  <c r="I1760" i="1"/>
  <c r="C1760" i="1"/>
  <c r="H1760" i="1" s="1"/>
  <c r="L1759" i="1"/>
  <c r="K1759" i="1"/>
  <c r="J1759" i="1"/>
  <c r="I1759" i="1"/>
  <c r="C1759" i="1"/>
  <c r="H1759" i="1" s="1"/>
  <c r="L1758" i="1"/>
  <c r="K1758" i="1"/>
  <c r="J1758" i="1"/>
  <c r="I1758" i="1"/>
  <c r="C1758" i="1"/>
  <c r="H1758" i="1" s="1"/>
  <c r="L1757" i="1"/>
  <c r="K1757" i="1"/>
  <c r="J1757" i="1"/>
  <c r="I1757" i="1"/>
  <c r="C1757" i="1"/>
  <c r="H1757" i="1" s="1"/>
  <c r="L1756" i="1"/>
  <c r="K1756" i="1"/>
  <c r="J1756" i="1"/>
  <c r="I1756" i="1"/>
  <c r="C1756" i="1"/>
  <c r="H1756" i="1" s="1"/>
  <c r="L1755" i="1"/>
  <c r="K1755" i="1"/>
  <c r="J1755" i="1"/>
  <c r="I1755" i="1"/>
  <c r="C1755" i="1"/>
  <c r="H1755" i="1" s="1"/>
  <c r="L1754" i="1"/>
  <c r="K1754" i="1"/>
  <c r="J1754" i="1"/>
  <c r="I1754" i="1"/>
  <c r="C1754" i="1"/>
  <c r="H1754" i="1" s="1"/>
  <c r="L1753" i="1"/>
  <c r="K1753" i="1"/>
  <c r="J1753" i="1"/>
  <c r="I1753" i="1"/>
  <c r="C1753" i="1"/>
  <c r="H1753" i="1" s="1"/>
  <c r="L1752" i="1"/>
  <c r="K1752" i="1"/>
  <c r="J1752" i="1"/>
  <c r="I1752" i="1"/>
  <c r="C1752" i="1"/>
  <c r="H1752" i="1" s="1"/>
  <c r="L1751" i="1"/>
  <c r="K1751" i="1"/>
  <c r="J1751" i="1"/>
  <c r="I1751" i="1"/>
  <c r="C1751" i="1"/>
  <c r="H1751" i="1" s="1"/>
  <c r="L1750" i="1"/>
  <c r="K1750" i="1"/>
  <c r="J1750" i="1"/>
  <c r="I1750" i="1"/>
  <c r="C1750" i="1"/>
  <c r="H1750" i="1" s="1"/>
  <c r="L1749" i="1"/>
  <c r="K1749" i="1"/>
  <c r="J1749" i="1"/>
  <c r="I1749" i="1"/>
  <c r="C1749" i="1"/>
  <c r="H1749" i="1" s="1"/>
  <c r="L1748" i="1"/>
  <c r="K1748" i="1"/>
  <c r="J1748" i="1"/>
  <c r="I1748" i="1"/>
  <c r="C1748" i="1"/>
  <c r="H1748" i="1" s="1"/>
  <c r="L1747" i="1"/>
  <c r="K1747" i="1"/>
  <c r="J1747" i="1"/>
  <c r="I1747" i="1"/>
  <c r="C1747" i="1"/>
  <c r="H1747" i="1" s="1"/>
  <c r="L1746" i="1"/>
  <c r="K1746" i="1"/>
  <c r="J1746" i="1"/>
  <c r="I1746" i="1"/>
  <c r="C1746" i="1"/>
  <c r="H1746" i="1" s="1"/>
  <c r="L1745" i="1"/>
  <c r="K1745" i="1"/>
  <c r="J1745" i="1"/>
  <c r="I1745" i="1"/>
  <c r="C1745" i="1"/>
  <c r="H1745" i="1" s="1"/>
  <c r="L1744" i="1"/>
  <c r="K1744" i="1"/>
  <c r="J1744" i="1"/>
  <c r="I1744" i="1"/>
  <c r="C1744" i="1"/>
  <c r="H1744" i="1" s="1"/>
  <c r="L1743" i="1"/>
  <c r="K1743" i="1"/>
  <c r="J1743" i="1"/>
  <c r="I1743" i="1"/>
  <c r="C1743" i="1"/>
  <c r="H1743" i="1" s="1"/>
  <c r="L1742" i="1"/>
  <c r="K1742" i="1"/>
  <c r="J1742" i="1"/>
  <c r="I1742" i="1"/>
  <c r="C1742" i="1"/>
  <c r="H1742" i="1" s="1"/>
  <c r="L1741" i="1"/>
  <c r="K1741" i="1"/>
  <c r="J1741" i="1"/>
  <c r="I1741" i="1"/>
  <c r="C1741" i="1"/>
  <c r="H1741" i="1" s="1"/>
  <c r="L1740" i="1"/>
  <c r="K1740" i="1"/>
  <c r="J1740" i="1"/>
  <c r="I1740" i="1"/>
  <c r="C1740" i="1"/>
  <c r="H1740" i="1" s="1"/>
  <c r="L1739" i="1"/>
  <c r="K1739" i="1"/>
  <c r="J1739" i="1"/>
  <c r="I1739" i="1"/>
  <c r="C1739" i="1"/>
  <c r="H1739" i="1" s="1"/>
  <c r="L1738" i="1"/>
  <c r="K1738" i="1"/>
  <c r="J1738" i="1"/>
  <c r="I1738" i="1"/>
  <c r="C1738" i="1"/>
  <c r="H1738" i="1" s="1"/>
  <c r="L1737" i="1"/>
  <c r="K1737" i="1"/>
  <c r="J1737" i="1"/>
  <c r="I1737" i="1"/>
  <c r="C1737" i="1"/>
  <c r="H1737" i="1" s="1"/>
  <c r="L1736" i="1"/>
  <c r="K1736" i="1"/>
  <c r="J1736" i="1"/>
  <c r="I1736" i="1"/>
  <c r="C1736" i="1"/>
  <c r="H1736" i="1" s="1"/>
  <c r="L1735" i="1"/>
  <c r="K1735" i="1"/>
  <c r="J1735" i="1"/>
  <c r="I1735" i="1"/>
  <c r="C1735" i="1"/>
  <c r="H1735" i="1" s="1"/>
  <c r="L1734" i="1"/>
  <c r="K1734" i="1"/>
  <c r="J1734" i="1"/>
  <c r="I1734" i="1"/>
  <c r="C1734" i="1"/>
  <c r="H1734" i="1" s="1"/>
  <c r="L1733" i="1"/>
  <c r="K1733" i="1"/>
  <c r="J1733" i="1"/>
  <c r="I1733" i="1"/>
  <c r="C1733" i="1"/>
  <c r="H1733" i="1" s="1"/>
  <c r="L1732" i="1"/>
  <c r="K1732" i="1"/>
  <c r="J1732" i="1"/>
  <c r="I1732" i="1"/>
  <c r="C1732" i="1"/>
  <c r="H1732" i="1" s="1"/>
  <c r="L1731" i="1"/>
  <c r="K1731" i="1"/>
  <c r="J1731" i="1"/>
  <c r="I1731" i="1"/>
  <c r="C1731" i="1"/>
  <c r="H1731" i="1" s="1"/>
  <c r="L1730" i="1"/>
  <c r="K1730" i="1"/>
  <c r="J1730" i="1"/>
  <c r="I1730" i="1"/>
  <c r="C1730" i="1"/>
  <c r="H1730" i="1" s="1"/>
  <c r="L1729" i="1"/>
  <c r="K1729" i="1"/>
  <c r="J1729" i="1"/>
  <c r="I1729" i="1"/>
  <c r="C1729" i="1"/>
  <c r="H1729" i="1" s="1"/>
  <c r="L1728" i="1"/>
  <c r="K1728" i="1"/>
  <c r="J1728" i="1"/>
  <c r="I1728" i="1"/>
  <c r="C1728" i="1"/>
  <c r="H1728" i="1" s="1"/>
  <c r="L1727" i="1"/>
  <c r="K1727" i="1"/>
  <c r="J1727" i="1"/>
  <c r="I1727" i="1"/>
  <c r="C1727" i="1"/>
  <c r="H1727" i="1" s="1"/>
  <c r="L1726" i="1"/>
  <c r="K1726" i="1"/>
  <c r="J1726" i="1"/>
  <c r="I1726" i="1"/>
  <c r="C1726" i="1"/>
  <c r="H1726" i="1" s="1"/>
  <c r="L1725" i="1"/>
  <c r="K1725" i="1"/>
  <c r="J1725" i="1"/>
  <c r="I1725" i="1"/>
  <c r="C1725" i="1"/>
  <c r="H1725" i="1" s="1"/>
  <c r="L1724" i="1"/>
  <c r="K1724" i="1"/>
  <c r="J1724" i="1"/>
  <c r="I1724" i="1"/>
  <c r="C1724" i="1"/>
  <c r="H1724" i="1" s="1"/>
  <c r="L1723" i="1"/>
  <c r="K1723" i="1"/>
  <c r="J1723" i="1"/>
  <c r="I1723" i="1"/>
  <c r="C1723" i="1"/>
  <c r="H1723" i="1" s="1"/>
  <c r="L1722" i="1"/>
  <c r="K1722" i="1"/>
  <c r="J1722" i="1"/>
  <c r="I1722" i="1"/>
  <c r="C1722" i="1"/>
  <c r="H1722" i="1" s="1"/>
  <c r="L1721" i="1"/>
  <c r="K1721" i="1"/>
  <c r="J1721" i="1"/>
  <c r="I1721" i="1"/>
  <c r="C1721" i="1"/>
  <c r="H1721" i="1" s="1"/>
  <c r="L1720" i="1"/>
  <c r="K1720" i="1"/>
  <c r="J1720" i="1"/>
  <c r="I1720" i="1"/>
  <c r="C1720" i="1"/>
  <c r="H1720" i="1" s="1"/>
  <c r="L1719" i="1"/>
  <c r="K1719" i="1"/>
  <c r="J1719" i="1"/>
  <c r="I1719" i="1"/>
  <c r="C1719" i="1"/>
  <c r="H1719" i="1" s="1"/>
  <c r="L1718" i="1"/>
  <c r="K1718" i="1"/>
  <c r="J1718" i="1"/>
  <c r="I1718" i="1"/>
  <c r="C1718" i="1"/>
  <c r="H1718" i="1" s="1"/>
  <c r="L1717" i="1"/>
  <c r="K1717" i="1"/>
  <c r="J1717" i="1"/>
  <c r="I1717" i="1"/>
  <c r="C1717" i="1"/>
  <c r="H1717" i="1" s="1"/>
  <c r="L1716" i="1"/>
  <c r="K1716" i="1"/>
  <c r="J1716" i="1"/>
  <c r="I1716" i="1"/>
  <c r="C1716" i="1"/>
  <c r="H1716" i="1" s="1"/>
  <c r="L1715" i="1"/>
  <c r="K1715" i="1"/>
  <c r="J1715" i="1"/>
  <c r="I1715" i="1"/>
  <c r="C1715" i="1"/>
  <c r="H1715" i="1" s="1"/>
  <c r="L1714" i="1"/>
  <c r="K1714" i="1"/>
  <c r="J1714" i="1"/>
  <c r="I1714" i="1"/>
  <c r="C1714" i="1"/>
  <c r="H1714" i="1" s="1"/>
  <c r="L1713" i="1"/>
  <c r="K1713" i="1"/>
  <c r="J1713" i="1"/>
  <c r="I1713" i="1"/>
  <c r="C1713" i="1"/>
  <c r="H1713" i="1" s="1"/>
  <c r="L1712" i="1"/>
  <c r="K1712" i="1"/>
  <c r="J1712" i="1"/>
  <c r="I1712" i="1"/>
  <c r="C1712" i="1"/>
  <c r="H1712" i="1" s="1"/>
  <c r="L1711" i="1"/>
  <c r="K1711" i="1"/>
  <c r="J1711" i="1"/>
  <c r="I1711" i="1"/>
  <c r="C1711" i="1"/>
  <c r="H1711" i="1" s="1"/>
  <c r="L1710" i="1"/>
  <c r="K1710" i="1"/>
  <c r="J1710" i="1"/>
  <c r="I1710" i="1"/>
  <c r="C1710" i="1"/>
  <c r="H1710" i="1" s="1"/>
  <c r="L1709" i="1"/>
  <c r="K1709" i="1"/>
  <c r="J1709" i="1"/>
  <c r="I1709" i="1"/>
  <c r="C1709" i="1"/>
  <c r="H1709" i="1" s="1"/>
  <c r="L1708" i="1"/>
  <c r="K1708" i="1"/>
  <c r="J1708" i="1"/>
  <c r="I1708" i="1"/>
  <c r="C1708" i="1"/>
  <c r="H1708" i="1" s="1"/>
  <c r="L1707" i="1"/>
  <c r="K1707" i="1"/>
  <c r="J1707" i="1"/>
  <c r="I1707" i="1"/>
  <c r="C1707" i="1"/>
  <c r="H1707" i="1" s="1"/>
  <c r="L1706" i="1"/>
  <c r="K1706" i="1"/>
  <c r="J1706" i="1"/>
  <c r="I1706" i="1"/>
  <c r="C1706" i="1"/>
  <c r="H1706" i="1" s="1"/>
  <c r="L1705" i="1"/>
  <c r="K1705" i="1"/>
  <c r="J1705" i="1"/>
  <c r="I1705" i="1"/>
  <c r="C1705" i="1"/>
  <c r="H1705" i="1" s="1"/>
  <c r="L1704" i="1"/>
  <c r="K1704" i="1"/>
  <c r="J1704" i="1"/>
  <c r="I1704" i="1"/>
  <c r="C1704" i="1"/>
  <c r="H1704" i="1" s="1"/>
  <c r="L1703" i="1"/>
  <c r="K1703" i="1"/>
  <c r="J1703" i="1"/>
  <c r="I1703" i="1"/>
  <c r="C1703" i="1"/>
  <c r="H1703" i="1" s="1"/>
  <c r="L1702" i="1"/>
  <c r="K1702" i="1"/>
  <c r="J1702" i="1"/>
  <c r="I1702" i="1"/>
  <c r="C1702" i="1"/>
  <c r="H1702" i="1" s="1"/>
  <c r="L1701" i="1"/>
  <c r="K1701" i="1"/>
  <c r="J1701" i="1"/>
  <c r="I1701" i="1"/>
  <c r="C1701" i="1"/>
  <c r="H1701" i="1" s="1"/>
  <c r="L1700" i="1"/>
  <c r="K1700" i="1"/>
  <c r="J1700" i="1"/>
  <c r="I1700" i="1"/>
  <c r="C1700" i="1"/>
  <c r="H1700" i="1" s="1"/>
  <c r="L1699" i="1"/>
  <c r="K1699" i="1"/>
  <c r="J1699" i="1"/>
  <c r="I1699" i="1"/>
  <c r="C1699" i="1"/>
  <c r="H1699" i="1" s="1"/>
  <c r="L1698" i="1"/>
  <c r="K1698" i="1"/>
  <c r="J1698" i="1"/>
  <c r="I1698" i="1"/>
  <c r="C1698" i="1"/>
  <c r="H1698" i="1" s="1"/>
  <c r="L1697" i="1"/>
  <c r="K1697" i="1"/>
  <c r="J1697" i="1"/>
  <c r="I1697" i="1"/>
  <c r="C1697" i="1"/>
  <c r="H1697" i="1" s="1"/>
  <c r="L1696" i="1"/>
  <c r="K1696" i="1"/>
  <c r="J1696" i="1"/>
  <c r="I1696" i="1"/>
  <c r="C1696" i="1"/>
  <c r="H1696" i="1" s="1"/>
  <c r="L1695" i="1"/>
  <c r="K1695" i="1"/>
  <c r="J1695" i="1"/>
  <c r="I1695" i="1"/>
  <c r="C1695" i="1"/>
  <c r="H1695" i="1" s="1"/>
  <c r="L1694" i="1"/>
  <c r="K1694" i="1"/>
  <c r="J1694" i="1"/>
  <c r="I1694" i="1"/>
  <c r="C1694" i="1"/>
  <c r="H1694" i="1" s="1"/>
  <c r="L1693" i="1"/>
  <c r="K1693" i="1"/>
  <c r="J1693" i="1"/>
  <c r="I1693" i="1"/>
  <c r="C1693" i="1"/>
  <c r="H1693" i="1" s="1"/>
  <c r="L1692" i="1"/>
  <c r="K1692" i="1"/>
  <c r="J1692" i="1"/>
  <c r="I1692" i="1"/>
  <c r="C1692" i="1"/>
  <c r="H1692" i="1" s="1"/>
  <c r="L1691" i="1"/>
  <c r="K1691" i="1"/>
  <c r="J1691" i="1"/>
  <c r="I1691" i="1"/>
  <c r="C1691" i="1"/>
  <c r="H1691" i="1" s="1"/>
  <c r="L1690" i="1"/>
  <c r="K1690" i="1"/>
  <c r="J1690" i="1"/>
  <c r="I1690" i="1"/>
  <c r="C1690" i="1"/>
  <c r="H1690" i="1" s="1"/>
  <c r="L1689" i="1"/>
  <c r="K1689" i="1"/>
  <c r="J1689" i="1"/>
  <c r="I1689" i="1"/>
  <c r="C1689" i="1"/>
  <c r="H1689" i="1" s="1"/>
  <c r="L1688" i="1"/>
  <c r="K1688" i="1"/>
  <c r="J1688" i="1"/>
  <c r="I1688" i="1"/>
  <c r="C1688" i="1"/>
  <c r="H1688" i="1" s="1"/>
  <c r="L1687" i="1"/>
  <c r="K1687" i="1"/>
  <c r="J1687" i="1"/>
  <c r="I1687" i="1"/>
  <c r="C1687" i="1"/>
  <c r="H1687" i="1" s="1"/>
  <c r="L1686" i="1"/>
  <c r="K1686" i="1"/>
  <c r="J1686" i="1"/>
  <c r="I1686" i="1"/>
  <c r="C1686" i="1"/>
  <c r="H1686" i="1" s="1"/>
  <c r="L1685" i="1"/>
  <c r="K1685" i="1"/>
  <c r="J1685" i="1"/>
  <c r="I1685" i="1"/>
  <c r="C1685" i="1"/>
  <c r="H1685" i="1" s="1"/>
  <c r="L1684" i="1"/>
  <c r="K1684" i="1"/>
  <c r="J1684" i="1"/>
  <c r="I1684" i="1"/>
  <c r="C1684" i="1"/>
  <c r="H1684" i="1" s="1"/>
  <c r="L1683" i="1"/>
  <c r="K1683" i="1"/>
  <c r="J1683" i="1"/>
  <c r="I1683" i="1"/>
  <c r="C1683" i="1"/>
  <c r="H1683" i="1" s="1"/>
  <c r="L1682" i="1"/>
  <c r="K1682" i="1"/>
  <c r="J1682" i="1"/>
  <c r="I1682" i="1"/>
  <c r="C1682" i="1"/>
  <c r="H1682" i="1" s="1"/>
  <c r="L1681" i="1"/>
  <c r="K1681" i="1"/>
  <c r="J1681" i="1"/>
  <c r="I1681" i="1"/>
  <c r="C1681" i="1"/>
  <c r="H1681" i="1" s="1"/>
  <c r="L1680" i="1"/>
  <c r="K1680" i="1"/>
  <c r="J1680" i="1"/>
  <c r="I1680" i="1"/>
  <c r="C1680" i="1"/>
  <c r="H1680" i="1" s="1"/>
  <c r="L1679" i="1"/>
  <c r="K1679" i="1"/>
  <c r="J1679" i="1"/>
  <c r="I1679" i="1"/>
  <c r="C1679" i="1"/>
  <c r="H1679" i="1" s="1"/>
  <c r="L1678" i="1"/>
  <c r="K1678" i="1"/>
  <c r="J1678" i="1"/>
  <c r="I1678" i="1"/>
  <c r="C1678" i="1"/>
  <c r="H1678" i="1" s="1"/>
  <c r="L1677" i="1"/>
  <c r="K1677" i="1"/>
  <c r="J1677" i="1"/>
  <c r="I1677" i="1"/>
  <c r="C1677" i="1"/>
  <c r="H1677" i="1" s="1"/>
  <c r="L1676" i="1"/>
  <c r="K1676" i="1"/>
  <c r="J1676" i="1"/>
  <c r="I1676" i="1"/>
  <c r="C1676" i="1"/>
  <c r="H1676" i="1" s="1"/>
  <c r="L1675" i="1"/>
  <c r="K1675" i="1"/>
  <c r="J1675" i="1"/>
  <c r="I1675" i="1"/>
  <c r="C1675" i="1"/>
  <c r="H1675" i="1" s="1"/>
  <c r="L1674" i="1"/>
  <c r="K1674" i="1"/>
  <c r="J1674" i="1"/>
  <c r="I1674" i="1"/>
  <c r="C1674" i="1"/>
  <c r="H1674" i="1" s="1"/>
  <c r="L1673" i="1"/>
  <c r="K1673" i="1"/>
  <c r="J1673" i="1"/>
  <c r="I1673" i="1"/>
  <c r="C1673" i="1"/>
  <c r="H1673" i="1" s="1"/>
  <c r="L1672" i="1"/>
  <c r="K1672" i="1"/>
  <c r="J1672" i="1"/>
  <c r="I1672" i="1"/>
  <c r="C1672" i="1"/>
  <c r="H1672" i="1" s="1"/>
  <c r="L1671" i="1"/>
  <c r="K1671" i="1"/>
  <c r="J1671" i="1"/>
  <c r="I1671" i="1"/>
  <c r="C1671" i="1"/>
  <c r="H1671" i="1" s="1"/>
  <c r="L1670" i="1"/>
  <c r="K1670" i="1"/>
  <c r="J1670" i="1"/>
  <c r="I1670" i="1"/>
  <c r="C1670" i="1"/>
  <c r="H1670" i="1" s="1"/>
  <c r="L1669" i="1"/>
  <c r="K1669" i="1"/>
  <c r="J1669" i="1"/>
  <c r="I1669" i="1"/>
  <c r="C1669" i="1"/>
  <c r="H1669" i="1" s="1"/>
  <c r="L1668" i="1"/>
  <c r="K1668" i="1"/>
  <c r="J1668" i="1"/>
  <c r="I1668" i="1"/>
  <c r="C1668" i="1"/>
  <c r="H1668" i="1" s="1"/>
  <c r="L1667" i="1"/>
  <c r="K1667" i="1"/>
  <c r="J1667" i="1"/>
  <c r="I1667" i="1"/>
  <c r="C1667" i="1"/>
  <c r="H1667" i="1" s="1"/>
  <c r="L1666" i="1"/>
  <c r="K1666" i="1"/>
  <c r="J1666" i="1"/>
  <c r="I1666" i="1"/>
  <c r="C1666" i="1"/>
  <c r="H1666" i="1" s="1"/>
  <c r="L1665" i="1"/>
  <c r="K1665" i="1"/>
  <c r="J1665" i="1"/>
  <c r="I1665" i="1"/>
  <c r="C1665" i="1"/>
  <c r="H1665" i="1" s="1"/>
  <c r="L1664" i="1"/>
  <c r="K1664" i="1"/>
  <c r="J1664" i="1"/>
  <c r="I1664" i="1"/>
  <c r="C1664" i="1"/>
  <c r="H1664" i="1" s="1"/>
  <c r="L1663" i="1"/>
  <c r="K1663" i="1"/>
  <c r="J1663" i="1"/>
  <c r="I1663" i="1"/>
  <c r="C1663" i="1"/>
  <c r="H1663" i="1" s="1"/>
  <c r="L1662" i="1"/>
  <c r="K1662" i="1"/>
  <c r="J1662" i="1"/>
  <c r="I1662" i="1"/>
  <c r="C1662" i="1"/>
  <c r="H1662" i="1" s="1"/>
  <c r="L1661" i="1"/>
  <c r="K1661" i="1"/>
  <c r="J1661" i="1"/>
  <c r="I1661" i="1"/>
  <c r="C1661" i="1"/>
  <c r="H1661" i="1" s="1"/>
  <c r="L1660" i="1"/>
  <c r="K1660" i="1"/>
  <c r="J1660" i="1"/>
  <c r="I1660" i="1"/>
  <c r="C1660" i="1"/>
  <c r="H1660" i="1" s="1"/>
  <c r="L1659" i="1"/>
  <c r="K1659" i="1"/>
  <c r="J1659" i="1"/>
  <c r="I1659" i="1"/>
  <c r="C1659" i="1"/>
  <c r="H1659" i="1" s="1"/>
  <c r="L1658" i="1"/>
  <c r="K1658" i="1"/>
  <c r="J1658" i="1"/>
  <c r="I1658" i="1"/>
  <c r="C1658" i="1"/>
  <c r="H1658" i="1" s="1"/>
  <c r="L1657" i="1"/>
  <c r="K1657" i="1"/>
  <c r="J1657" i="1"/>
  <c r="I1657" i="1"/>
  <c r="C1657" i="1"/>
  <c r="H1657" i="1" s="1"/>
  <c r="L1656" i="1"/>
  <c r="K1656" i="1"/>
  <c r="J1656" i="1"/>
  <c r="I1656" i="1"/>
  <c r="C1656" i="1"/>
  <c r="H1656" i="1" s="1"/>
  <c r="L1655" i="1"/>
  <c r="K1655" i="1"/>
  <c r="J1655" i="1"/>
  <c r="I1655" i="1"/>
  <c r="C1655" i="1"/>
  <c r="H1655" i="1" s="1"/>
  <c r="L1654" i="1"/>
  <c r="K1654" i="1"/>
  <c r="J1654" i="1"/>
  <c r="I1654" i="1"/>
  <c r="C1654" i="1"/>
  <c r="H1654" i="1" s="1"/>
  <c r="L1653" i="1"/>
  <c r="K1653" i="1"/>
  <c r="J1653" i="1"/>
  <c r="I1653" i="1"/>
  <c r="C1653" i="1"/>
  <c r="H1653" i="1" s="1"/>
  <c r="L1652" i="1"/>
  <c r="K1652" i="1"/>
  <c r="J1652" i="1"/>
  <c r="I1652" i="1"/>
  <c r="C1652" i="1"/>
  <c r="H1652" i="1" s="1"/>
  <c r="L1651" i="1"/>
  <c r="K1651" i="1"/>
  <c r="J1651" i="1"/>
  <c r="I1651" i="1"/>
  <c r="C1651" i="1"/>
  <c r="H1651" i="1" s="1"/>
  <c r="L1650" i="1"/>
  <c r="K1650" i="1"/>
  <c r="J1650" i="1"/>
  <c r="I1650" i="1"/>
  <c r="C1650" i="1"/>
  <c r="H1650" i="1" s="1"/>
  <c r="L1649" i="1"/>
  <c r="K1649" i="1"/>
  <c r="J1649" i="1"/>
  <c r="I1649" i="1"/>
  <c r="C1649" i="1"/>
  <c r="H1649" i="1" s="1"/>
  <c r="L1648" i="1"/>
  <c r="K1648" i="1"/>
  <c r="J1648" i="1"/>
  <c r="I1648" i="1"/>
  <c r="C1648" i="1"/>
  <c r="H1648" i="1" s="1"/>
  <c r="L1647" i="1"/>
  <c r="K1647" i="1"/>
  <c r="J1647" i="1"/>
  <c r="I1647" i="1"/>
  <c r="C1647" i="1"/>
  <c r="H1647" i="1" s="1"/>
  <c r="L1646" i="1"/>
  <c r="K1646" i="1"/>
  <c r="J1646" i="1"/>
  <c r="I1646" i="1"/>
  <c r="C1646" i="1"/>
  <c r="H1646" i="1" s="1"/>
  <c r="L1645" i="1"/>
  <c r="K1645" i="1"/>
  <c r="J1645" i="1"/>
  <c r="I1645" i="1"/>
  <c r="C1645" i="1"/>
  <c r="H1645" i="1" s="1"/>
  <c r="L1644" i="1"/>
  <c r="K1644" i="1"/>
  <c r="J1644" i="1"/>
  <c r="I1644" i="1"/>
  <c r="C1644" i="1"/>
  <c r="H1644" i="1" s="1"/>
  <c r="L1643" i="1"/>
  <c r="K1643" i="1"/>
  <c r="J1643" i="1"/>
  <c r="I1643" i="1"/>
  <c r="C1643" i="1"/>
  <c r="H1643" i="1" s="1"/>
  <c r="L1642" i="1"/>
  <c r="K1642" i="1"/>
  <c r="J1642" i="1"/>
  <c r="I1642" i="1"/>
  <c r="C1642" i="1"/>
  <c r="H1642" i="1" s="1"/>
  <c r="L1641" i="1"/>
  <c r="K1641" i="1"/>
  <c r="J1641" i="1"/>
  <c r="I1641" i="1"/>
  <c r="C1641" i="1"/>
  <c r="H1641" i="1" s="1"/>
  <c r="L1640" i="1"/>
  <c r="K1640" i="1"/>
  <c r="J1640" i="1"/>
  <c r="I1640" i="1"/>
  <c r="C1640" i="1"/>
  <c r="H1640" i="1" s="1"/>
  <c r="L1639" i="1"/>
  <c r="K1639" i="1"/>
  <c r="J1639" i="1"/>
  <c r="I1639" i="1"/>
  <c r="C1639" i="1"/>
  <c r="H1639" i="1" s="1"/>
  <c r="L1638" i="1"/>
  <c r="K1638" i="1"/>
  <c r="J1638" i="1"/>
  <c r="I1638" i="1"/>
  <c r="C1638" i="1"/>
  <c r="H1638" i="1" s="1"/>
  <c r="L1637" i="1"/>
  <c r="K1637" i="1"/>
  <c r="J1637" i="1"/>
  <c r="I1637" i="1"/>
  <c r="C1637" i="1"/>
  <c r="H1637" i="1" s="1"/>
  <c r="L1636" i="1"/>
  <c r="K1636" i="1"/>
  <c r="J1636" i="1"/>
  <c r="I1636" i="1"/>
  <c r="C1636" i="1"/>
  <c r="H1636" i="1" s="1"/>
  <c r="L1635" i="1"/>
  <c r="K1635" i="1"/>
  <c r="J1635" i="1"/>
  <c r="I1635" i="1"/>
  <c r="C1635" i="1"/>
  <c r="H1635" i="1" s="1"/>
  <c r="L1634" i="1"/>
  <c r="K1634" i="1"/>
  <c r="J1634" i="1"/>
  <c r="I1634" i="1"/>
  <c r="C1634" i="1"/>
  <c r="H1634" i="1" s="1"/>
  <c r="L1633" i="1"/>
  <c r="K1633" i="1"/>
  <c r="J1633" i="1"/>
  <c r="I1633" i="1"/>
  <c r="C1633" i="1"/>
  <c r="H1633" i="1" s="1"/>
  <c r="L1632" i="1"/>
  <c r="K1632" i="1"/>
  <c r="J1632" i="1"/>
  <c r="I1632" i="1"/>
  <c r="C1632" i="1"/>
  <c r="H1632" i="1" s="1"/>
  <c r="L1631" i="1"/>
  <c r="K1631" i="1"/>
  <c r="J1631" i="1"/>
  <c r="I1631" i="1"/>
  <c r="C1631" i="1"/>
  <c r="H1631" i="1" s="1"/>
  <c r="L1630" i="1"/>
  <c r="K1630" i="1"/>
  <c r="J1630" i="1"/>
  <c r="I1630" i="1"/>
  <c r="C1630" i="1"/>
  <c r="H1630" i="1" s="1"/>
  <c r="L1629" i="1"/>
  <c r="K1629" i="1"/>
  <c r="J1629" i="1"/>
  <c r="I1629" i="1"/>
  <c r="C1629" i="1"/>
  <c r="H1629" i="1" s="1"/>
  <c r="L1628" i="1"/>
  <c r="K1628" i="1"/>
  <c r="J1628" i="1"/>
  <c r="I1628" i="1"/>
  <c r="C1628" i="1"/>
  <c r="H1628" i="1" s="1"/>
  <c r="L1627" i="1"/>
  <c r="K1627" i="1"/>
  <c r="J1627" i="1"/>
  <c r="I1627" i="1"/>
  <c r="C1627" i="1"/>
  <c r="H1627" i="1" s="1"/>
  <c r="L1626" i="1"/>
  <c r="K1626" i="1"/>
  <c r="J1626" i="1"/>
  <c r="I1626" i="1"/>
  <c r="C1626" i="1"/>
  <c r="H1626" i="1" s="1"/>
  <c r="L1625" i="1"/>
  <c r="K1625" i="1"/>
  <c r="J1625" i="1"/>
  <c r="I1625" i="1"/>
  <c r="C1625" i="1"/>
  <c r="H1625" i="1" s="1"/>
  <c r="L1624" i="1"/>
  <c r="K1624" i="1"/>
  <c r="J1624" i="1"/>
  <c r="I1624" i="1"/>
  <c r="C1624" i="1"/>
  <c r="H1624" i="1" s="1"/>
  <c r="L1623" i="1"/>
  <c r="K1623" i="1"/>
  <c r="J1623" i="1"/>
  <c r="I1623" i="1"/>
  <c r="C1623" i="1"/>
  <c r="H1623" i="1" s="1"/>
  <c r="L1622" i="1"/>
  <c r="K1622" i="1"/>
  <c r="J1622" i="1"/>
  <c r="I1622" i="1"/>
  <c r="C1622" i="1"/>
  <c r="H1622" i="1" s="1"/>
  <c r="L1621" i="1"/>
  <c r="K1621" i="1"/>
  <c r="J1621" i="1"/>
  <c r="I1621" i="1"/>
  <c r="C1621" i="1"/>
  <c r="H1621" i="1" s="1"/>
  <c r="L1620" i="1"/>
  <c r="K1620" i="1"/>
  <c r="J1620" i="1"/>
  <c r="I1620" i="1"/>
  <c r="C1620" i="1"/>
  <c r="H1620" i="1" s="1"/>
  <c r="L1619" i="1"/>
  <c r="K1619" i="1"/>
  <c r="J1619" i="1"/>
  <c r="I1619" i="1"/>
  <c r="C1619" i="1"/>
  <c r="H1619" i="1" s="1"/>
  <c r="L1618" i="1"/>
  <c r="K1618" i="1"/>
  <c r="J1618" i="1"/>
  <c r="I1618" i="1"/>
  <c r="C1618" i="1"/>
  <c r="H1618" i="1" s="1"/>
  <c r="L1617" i="1"/>
  <c r="K1617" i="1"/>
  <c r="J1617" i="1"/>
  <c r="I1617" i="1"/>
  <c r="C1617" i="1"/>
  <c r="H1617" i="1" s="1"/>
  <c r="L1616" i="1"/>
  <c r="K1616" i="1"/>
  <c r="J1616" i="1"/>
  <c r="I1616" i="1"/>
  <c r="C1616" i="1"/>
  <c r="H1616" i="1" s="1"/>
  <c r="L1615" i="1"/>
  <c r="K1615" i="1"/>
  <c r="J1615" i="1"/>
  <c r="I1615" i="1"/>
  <c r="C1615" i="1"/>
  <c r="H1615" i="1" s="1"/>
  <c r="L1614" i="1"/>
  <c r="K1614" i="1"/>
  <c r="J1614" i="1"/>
  <c r="I1614" i="1"/>
  <c r="C1614" i="1"/>
  <c r="H1614" i="1" s="1"/>
  <c r="L1613" i="1"/>
  <c r="K1613" i="1"/>
  <c r="J1613" i="1"/>
  <c r="I1613" i="1"/>
  <c r="C1613" i="1"/>
  <c r="H1613" i="1" s="1"/>
  <c r="L1612" i="1"/>
  <c r="K1612" i="1"/>
  <c r="J1612" i="1"/>
  <c r="I1612" i="1"/>
  <c r="C1612" i="1"/>
  <c r="H1612" i="1" s="1"/>
  <c r="L1611" i="1"/>
  <c r="K1611" i="1"/>
  <c r="J1611" i="1"/>
  <c r="I1611" i="1"/>
  <c r="C1611" i="1"/>
  <c r="H1611" i="1" s="1"/>
  <c r="L1610" i="1"/>
  <c r="K1610" i="1"/>
  <c r="J1610" i="1"/>
  <c r="I1610" i="1"/>
  <c r="C1610" i="1"/>
  <c r="H1610" i="1" s="1"/>
  <c r="L1609" i="1"/>
  <c r="K1609" i="1"/>
  <c r="J1609" i="1"/>
  <c r="I1609" i="1"/>
  <c r="C1609" i="1"/>
  <c r="H1609" i="1" s="1"/>
  <c r="L1608" i="1"/>
  <c r="K1608" i="1"/>
  <c r="J1608" i="1"/>
  <c r="I1608" i="1"/>
  <c r="C1608" i="1"/>
  <c r="H1608" i="1" s="1"/>
  <c r="L1607" i="1"/>
  <c r="K1607" i="1"/>
  <c r="J1607" i="1"/>
  <c r="I1607" i="1"/>
  <c r="C1607" i="1"/>
  <c r="H1607" i="1" s="1"/>
  <c r="L1606" i="1"/>
  <c r="K1606" i="1"/>
  <c r="J1606" i="1"/>
  <c r="I1606" i="1"/>
  <c r="C1606" i="1"/>
  <c r="H1606" i="1" s="1"/>
  <c r="L1605" i="1"/>
  <c r="K1605" i="1"/>
  <c r="J1605" i="1"/>
  <c r="I1605" i="1"/>
  <c r="C1605" i="1"/>
  <c r="H1605" i="1" s="1"/>
  <c r="L1604" i="1"/>
  <c r="K1604" i="1"/>
  <c r="J1604" i="1"/>
  <c r="I1604" i="1"/>
  <c r="C1604" i="1"/>
  <c r="H1604" i="1" s="1"/>
  <c r="L1603" i="1"/>
  <c r="K1603" i="1"/>
  <c r="J1603" i="1"/>
  <c r="I1603" i="1"/>
  <c r="C1603" i="1"/>
  <c r="H1603" i="1" s="1"/>
  <c r="L1602" i="1"/>
  <c r="K1602" i="1"/>
  <c r="J1602" i="1"/>
  <c r="I1602" i="1"/>
  <c r="C1602" i="1"/>
  <c r="H1602" i="1" s="1"/>
  <c r="L1601" i="1"/>
  <c r="K1601" i="1"/>
  <c r="J1601" i="1"/>
  <c r="I1601" i="1"/>
  <c r="C1601" i="1"/>
  <c r="H1601" i="1" s="1"/>
  <c r="L1600" i="1"/>
  <c r="K1600" i="1"/>
  <c r="J1600" i="1"/>
  <c r="I1600" i="1"/>
  <c r="C1600" i="1"/>
  <c r="H1600" i="1" s="1"/>
  <c r="L1599" i="1"/>
  <c r="K1599" i="1"/>
  <c r="J1599" i="1"/>
  <c r="I1599" i="1"/>
  <c r="C1599" i="1"/>
  <c r="H1599" i="1" s="1"/>
  <c r="L1598" i="1"/>
  <c r="K1598" i="1"/>
  <c r="J1598" i="1"/>
  <c r="I1598" i="1"/>
  <c r="C1598" i="1"/>
  <c r="H1598" i="1" s="1"/>
  <c r="L1597" i="1"/>
  <c r="K1597" i="1"/>
  <c r="J1597" i="1"/>
  <c r="I1597" i="1"/>
  <c r="C1597" i="1"/>
  <c r="H1597" i="1" s="1"/>
  <c r="L1596" i="1"/>
  <c r="K1596" i="1"/>
  <c r="J1596" i="1"/>
  <c r="I1596" i="1"/>
  <c r="C1596" i="1"/>
  <c r="H1596" i="1" s="1"/>
  <c r="L1595" i="1"/>
  <c r="K1595" i="1"/>
  <c r="J1595" i="1"/>
  <c r="I1595" i="1"/>
  <c r="C1595" i="1"/>
  <c r="H1595" i="1" s="1"/>
  <c r="L1594" i="1"/>
  <c r="K1594" i="1"/>
  <c r="J1594" i="1"/>
  <c r="I1594" i="1"/>
  <c r="C1594" i="1"/>
  <c r="H1594" i="1" s="1"/>
  <c r="L1593" i="1"/>
  <c r="K1593" i="1"/>
  <c r="J1593" i="1"/>
  <c r="I1593" i="1"/>
  <c r="C1593" i="1"/>
  <c r="H1593" i="1" s="1"/>
  <c r="L1592" i="1"/>
  <c r="K1592" i="1"/>
  <c r="J1592" i="1"/>
  <c r="I1592" i="1"/>
  <c r="C1592" i="1"/>
  <c r="H1592" i="1" s="1"/>
  <c r="L1591" i="1"/>
  <c r="K1591" i="1"/>
  <c r="J1591" i="1"/>
  <c r="I1591" i="1"/>
  <c r="C1591" i="1"/>
  <c r="H1591" i="1" s="1"/>
  <c r="L1590" i="1"/>
  <c r="K1590" i="1"/>
  <c r="J1590" i="1"/>
  <c r="I1590" i="1"/>
  <c r="C1590" i="1"/>
  <c r="H1590" i="1" s="1"/>
  <c r="L1589" i="1"/>
  <c r="K1589" i="1"/>
  <c r="J1589" i="1"/>
  <c r="I1589" i="1"/>
  <c r="C1589" i="1"/>
  <c r="H1589" i="1" s="1"/>
  <c r="L1588" i="1"/>
  <c r="K1588" i="1"/>
  <c r="J1588" i="1"/>
  <c r="I1588" i="1"/>
  <c r="C1588" i="1"/>
  <c r="H1588" i="1" s="1"/>
  <c r="L1587" i="1"/>
  <c r="K1587" i="1"/>
  <c r="J1587" i="1"/>
  <c r="I1587" i="1"/>
  <c r="C1587" i="1"/>
  <c r="H1587" i="1" s="1"/>
  <c r="L1586" i="1"/>
  <c r="K1586" i="1"/>
  <c r="J1586" i="1"/>
  <c r="I1586" i="1"/>
  <c r="C1586" i="1"/>
  <c r="H1586" i="1" s="1"/>
  <c r="L1585" i="1"/>
  <c r="K1585" i="1"/>
  <c r="J1585" i="1"/>
  <c r="I1585" i="1"/>
  <c r="C1585" i="1"/>
  <c r="H1585" i="1" s="1"/>
  <c r="L1584" i="1"/>
  <c r="K1584" i="1"/>
  <c r="J1584" i="1"/>
  <c r="I1584" i="1"/>
  <c r="C1584" i="1"/>
  <c r="H1584" i="1" s="1"/>
  <c r="L1583" i="1"/>
  <c r="K1583" i="1"/>
  <c r="J1583" i="1"/>
  <c r="I1583" i="1"/>
  <c r="C1583" i="1"/>
  <c r="H1583" i="1" s="1"/>
  <c r="L1582" i="1"/>
  <c r="K1582" i="1"/>
  <c r="J1582" i="1"/>
  <c r="I1582" i="1"/>
  <c r="C1582" i="1"/>
  <c r="H1582" i="1" s="1"/>
  <c r="L1581" i="1"/>
  <c r="K1581" i="1"/>
  <c r="J1581" i="1"/>
  <c r="I1581" i="1"/>
  <c r="C1581" i="1"/>
  <c r="H1581" i="1" s="1"/>
  <c r="L1580" i="1"/>
  <c r="K1580" i="1"/>
  <c r="J1580" i="1"/>
  <c r="I1580" i="1"/>
  <c r="C1580" i="1"/>
  <c r="H1580" i="1" s="1"/>
  <c r="L1579" i="1"/>
  <c r="K1579" i="1"/>
  <c r="J1579" i="1"/>
  <c r="I1579" i="1"/>
  <c r="C1579" i="1"/>
  <c r="H1579" i="1" s="1"/>
  <c r="L1578" i="1"/>
  <c r="K1578" i="1"/>
  <c r="J1578" i="1"/>
  <c r="I1578" i="1"/>
  <c r="C1578" i="1"/>
  <c r="H1578" i="1" s="1"/>
  <c r="L1577" i="1"/>
  <c r="K1577" i="1"/>
  <c r="J1577" i="1"/>
  <c r="I1577" i="1"/>
  <c r="C1577" i="1"/>
  <c r="H1577" i="1" s="1"/>
  <c r="L1576" i="1"/>
  <c r="K1576" i="1"/>
  <c r="J1576" i="1"/>
  <c r="I1576" i="1"/>
  <c r="C1576" i="1"/>
  <c r="H1576" i="1" s="1"/>
  <c r="L1575" i="1"/>
  <c r="K1575" i="1"/>
  <c r="J1575" i="1"/>
  <c r="I1575" i="1"/>
  <c r="C1575" i="1"/>
  <c r="H1575" i="1" s="1"/>
  <c r="L1574" i="1"/>
  <c r="K1574" i="1"/>
  <c r="J1574" i="1"/>
  <c r="I1574" i="1"/>
  <c r="C1574" i="1"/>
  <c r="H1574" i="1" s="1"/>
  <c r="L1573" i="1"/>
  <c r="K1573" i="1"/>
  <c r="J1573" i="1"/>
  <c r="I1573" i="1"/>
  <c r="C1573" i="1"/>
  <c r="H1573" i="1" s="1"/>
  <c r="L1572" i="1"/>
  <c r="K1572" i="1"/>
  <c r="J1572" i="1"/>
  <c r="I1572" i="1"/>
  <c r="C1572" i="1"/>
  <c r="H1572" i="1" s="1"/>
  <c r="L1571" i="1"/>
  <c r="K1571" i="1"/>
  <c r="J1571" i="1"/>
  <c r="I1571" i="1"/>
  <c r="C1571" i="1"/>
  <c r="H1571" i="1" s="1"/>
  <c r="L1570" i="1"/>
  <c r="K1570" i="1"/>
  <c r="J1570" i="1"/>
  <c r="I1570" i="1"/>
  <c r="C1570" i="1"/>
  <c r="H1570" i="1" s="1"/>
  <c r="L1569" i="1"/>
  <c r="K1569" i="1"/>
  <c r="J1569" i="1"/>
  <c r="I1569" i="1"/>
  <c r="C1569" i="1"/>
  <c r="H1569" i="1" s="1"/>
  <c r="L1568" i="1"/>
  <c r="K1568" i="1"/>
  <c r="J1568" i="1"/>
  <c r="I1568" i="1"/>
  <c r="C1568" i="1"/>
  <c r="H1568" i="1" s="1"/>
  <c r="L1567" i="1"/>
  <c r="K1567" i="1"/>
  <c r="J1567" i="1"/>
  <c r="I1567" i="1"/>
  <c r="C1567" i="1"/>
  <c r="H1567" i="1" s="1"/>
  <c r="L1566" i="1"/>
  <c r="K1566" i="1"/>
  <c r="J1566" i="1"/>
  <c r="I1566" i="1"/>
  <c r="C1566" i="1"/>
  <c r="H1566" i="1" s="1"/>
  <c r="L1565" i="1"/>
  <c r="K1565" i="1"/>
  <c r="J1565" i="1"/>
  <c r="I1565" i="1"/>
  <c r="C1565" i="1"/>
  <c r="H1565" i="1" s="1"/>
  <c r="L1564" i="1"/>
  <c r="K1564" i="1"/>
  <c r="J1564" i="1"/>
  <c r="I1564" i="1"/>
  <c r="C1564" i="1"/>
  <c r="H1564" i="1" s="1"/>
  <c r="L1563" i="1"/>
  <c r="K1563" i="1"/>
  <c r="J1563" i="1"/>
  <c r="I1563" i="1"/>
  <c r="C1563" i="1"/>
  <c r="H1563" i="1" s="1"/>
  <c r="L1562" i="1"/>
  <c r="K1562" i="1"/>
  <c r="J1562" i="1"/>
  <c r="I1562" i="1"/>
  <c r="C1562" i="1"/>
  <c r="H1562" i="1" s="1"/>
  <c r="L1561" i="1"/>
  <c r="K1561" i="1"/>
  <c r="J1561" i="1"/>
  <c r="I1561" i="1"/>
  <c r="C1561" i="1"/>
  <c r="H1561" i="1" s="1"/>
  <c r="L1560" i="1"/>
  <c r="K1560" i="1"/>
  <c r="J1560" i="1"/>
  <c r="I1560" i="1"/>
  <c r="C1560" i="1"/>
  <c r="H1560" i="1" s="1"/>
  <c r="L1559" i="1"/>
  <c r="K1559" i="1"/>
  <c r="J1559" i="1"/>
  <c r="I1559" i="1"/>
  <c r="C1559" i="1"/>
  <c r="H1559" i="1" s="1"/>
  <c r="L1558" i="1"/>
  <c r="K1558" i="1"/>
  <c r="J1558" i="1"/>
  <c r="I1558" i="1"/>
  <c r="C1558" i="1"/>
  <c r="H1558" i="1" s="1"/>
  <c r="L1557" i="1"/>
  <c r="K1557" i="1"/>
  <c r="J1557" i="1"/>
  <c r="I1557" i="1"/>
  <c r="C1557" i="1"/>
  <c r="H1557" i="1" s="1"/>
  <c r="L1556" i="1"/>
  <c r="K1556" i="1"/>
  <c r="J1556" i="1"/>
  <c r="I1556" i="1"/>
  <c r="C1556" i="1"/>
  <c r="H1556" i="1" s="1"/>
  <c r="L1555" i="1"/>
  <c r="K1555" i="1"/>
  <c r="J1555" i="1"/>
  <c r="I1555" i="1"/>
  <c r="C1555" i="1"/>
  <c r="H1555" i="1" s="1"/>
  <c r="L1554" i="1"/>
  <c r="K1554" i="1"/>
  <c r="J1554" i="1"/>
  <c r="I1554" i="1"/>
  <c r="C1554" i="1"/>
  <c r="H1554" i="1" s="1"/>
  <c r="L1553" i="1"/>
  <c r="K1553" i="1"/>
  <c r="J1553" i="1"/>
  <c r="I1553" i="1"/>
  <c r="C1553" i="1"/>
  <c r="H1553" i="1" s="1"/>
  <c r="L1552" i="1"/>
  <c r="K1552" i="1"/>
  <c r="J1552" i="1"/>
  <c r="I1552" i="1"/>
  <c r="C1552" i="1"/>
  <c r="H1552" i="1" s="1"/>
  <c r="L1551" i="1"/>
  <c r="K1551" i="1"/>
  <c r="J1551" i="1"/>
  <c r="I1551" i="1"/>
  <c r="C1551" i="1"/>
  <c r="H1551" i="1" s="1"/>
  <c r="L1550" i="1"/>
  <c r="K1550" i="1"/>
  <c r="J1550" i="1"/>
  <c r="I1550" i="1"/>
  <c r="C1550" i="1"/>
  <c r="H1550" i="1" s="1"/>
  <c r="L1549" i="1"/>
  <c r="K1549" i="1"/>
  <c r="J1549" i="1"/>
  <c r="I1549" i="1"/>
  <c r="C1549" i="1"/>
  <c r="H1549" i="1" s="1"/>
  <c r="L1548" i="1"/>
  <c r="K1548" i="1"/>
  <c r="J1548" i="1"/>
  <c r="I1548" i="1"/>
  <c r="C1548" i="1"/>
  <c r="H1548" i="1" s="1"/>
  <c r="L1547" i="1"/>
  <c r="K1547" i="1"/>
  <c r="J1547" i="1"/>
  <c r="I1547" i="1"/>
  <c r="C1547" i="1"/>
  <c r="H1547" i="1" s="1"/>
  <c r="L1546" i="1"/>
  <c r="K1546" i="1"/>
  <c r="J1546" i="1"/>
  <c r="I1546" i="1"/>
  <c r="C1546" i="1"/>
  <c r="H1546" i="1" s="1"/>
  <c r="L1545" i="1"/>
  <c r="K1545" i="1"/>
  <c r="J1545" i="1"/>
  <c r="I1545" i="1"/>
  <c r="C1545" i="1"/>
  <c r="H1545" i="1" s="1"/>
  <c r="L1544" i="1"/>
  <c r="K1544" i="1"/>
  <c r="J1544" i="1"/>
  <c r="I1544" i="1"/>
  <c r="C1544" i="1"/>
  <c r="H1544" i="1" s="1"/>
  <c r="L1543" i="1"/>
  <c r="K1543" i="1"/>
  <c r="J1543" i="1"/>
  <c r="I1543" i="1"/>
  <c r="C1543" i="1"/>
  <c r="H1543" i="1" s="1"/>
  <c r="L1542" i="1"/>
  <c r="K1542" i="1"/>
  <c r="J1542" i="1"/>
  <c r="I1542" i="1"/>
  <c r="C1542" i="1"/>
  <c r="H1542" i="1" s="1"/>
  <c r="L1541" i="1"/>
  <c r="K1541" i="1"/>
  <c r="J1541" i="1"/>
  <c r="I1541" i="1"/>
  <c r="C1541" i="1"/>
  <c r="H1541" i="1" s="1"/>
  <c r="L1540" i="1"/>
  <c r="K1540" i="1"/>
  <c r="J1540" i="1"/>
  <c r="I1540" i="1"/>
  <c r="C1540" i="1"/>
  <c r="H1540" i="1" s="1"/>
  <c r="L1539" i="1"/>
  <c r="K1539" i="1"/>
  <c r="J1539" i="1"/>
  <c r="I1539" i="1"/>
  <c r="C1539" i="1"/>
  <c r="H1539" i="1" s="1"/>
  <c r="L1538" i="1"/>
  <c r="K1538" i="1"/>
  <c r="J1538" i="1"/>
  <c r="I1538" i="1"/>
  <c r="C1538" i="1"/>
  <c r="H1538" i="1" s="1"/>
  <c r="L1537" i="1"/>
  <c r="K1537" i="1"/>
  <c r="J1537" i="1"/>
  <c r="I1537" i="1"/>
  <c r="C1537" i="1"/>
  <c r="H1537" i="1" s="1"/>
  <c r="L1536" i="1"/>
  <c r="K1536" i="1"/>
  <c r="J1536" i="1"/>
  <c r="I1536" i="1"/>
  <c r="C1536" i="1"/>
  <c r="H1536" i="1" s="1"/>
  <c r="L1535" i="1"/>
  <c r="K1535" i="1"/>
  <c r="J1535" i="1"/>
  <c r="I1535" i="1"/>
  <c r="C1535" i="1"/>
  <c r="H1535" i="1" s="1"/>
  <c r="L1534" i="1"/>
  <c r="K1534" i="1"/>
  <c r="J1534" i="1"/>
  <c r="I1534" i="1"/>
  <c r="C1534" i="1"/>
  <c r="H1534" i="1" s="1"/>
  <c r="L1533" i="1"/>
  <c r="K1533" i="1"/>
  <c r="J1533" i="1"/>
  <c r="I1533" i="1"/>
  <c r="C1533" i="1"/>
  <c r="H1533" i="1" s="1"/>
  <c r="L1532" i="1"/>
  <c r="K1532" i="1"/>
  <c r="J1532" i="1"/>
  <c r="I1532" i="1"/>
  <c r="C1532" i="1"/>
  <c r="H1532" i="1" s="1"/>
  <c r="L1531" i="1"/>
  <c r="K1531" i="1"/>
  <c r="J1531" i="1"/>
  <c r="I1531" i="1"/>
  <c r="C1531" i="1"/>
  <c r="H1531" i="1" s="1"/>
  <c r="L1530" i="1"/>
  <c r="K1530" i="1"/>
  <c r="J1530" i="1"/>
  <c r="I1530" i="1"/>
  <c r="C1530" i="1"/>
  <c r="H1530" i="1" s="1"/>
  <c r="L1529" i="1"/>
  <c r="K1529" i="1"/>
  <c r="J1529" i="1"/>
  <c r="I1529" i="1"/>
  <c r="C1529" i="1"/>
  <c r="H1529" i="1" s="1"/>
  <c r="L1528" i="1"/>
  <c r="K1528" i="1"/>
  <c r="J1528" i="1"/>
  <c r="I1528" i="1"/>
  <c r="C1528" i="1"/>
  <c r="H1528" i="1" s="1"/>
  <c r="L1527" i="1"/>
  <c r="K1527" i="1"/>
  <c r="J1527" i="1"/>
  <c r="I1527" i="1"/>
  <c r="C1527" i="1"/>
  <c r="H1527" i="1" s="1"/>
  <c r="L1526" i="1"/>
  <c r="K1526" i="1"/>
  <c r="J1526" i="1"/>
  <c r="I1526" i="1"/>
  <c r="C1526" i="1"/>
  <c r="H1526" i="1" s="1"/>
  <c r="L1525" i="1"/>
  <c r="K1525" i="1"/>
  <c r="J1525" i="1"/>
  <c r="I1525" i="1"/>
  <c r="C1525" i="1"/>
  <c r="H1525" i="1" s="1"/>
  <c r="L1524" i="1"/>
  <c r="K1524" i="1"/>
  <c r="J1524" i="1"/>
  <c r="I1524" i="1"/>
  <c r="C1524" i="1"/>
  <c r="H1524" i="1" s="1"/>
  <c r="L1523" i="1"/>
  <c r="K1523" i="1"/>
  <c r="J1523" i="1"/>
  <c r="I1523" i="1"/>
  <c r="C1523" i="1"/>
  <c r="H1523" i="1" s="1"/>
  <c r="L1522" i="1"/>
  <c r="K1522" i="1"/>
  <c r="J1522" i="1"/>
  <c r="I1522" i="1"/>
  <c r="C1522" i="1"/>
  <c r="H1522" i="1" s="1"/>
  <c r="L1521" i="1"/>
  <c r="K1521" i="1"/>
  <c r="J1521" i="1"/>
  <c r="I1521" i="1"/>
  <c r="C1521" i="1"/>
  <c r="H1521" i="1" s="1"/>
  <c r="L1520" i="1"/>
  <c r="K1520" i="1"/>
  <c r="J1520" i="1"/>
  <c r="I1520" i="1"/>
  <c r="C1520" i="1"/>
  <c r="H1520" i="1" s="1"/>
  <c r="L1519" i="1"/>
  <c r="K1519" i="1"/>
  <c r="J1519" i="1"/>
  <c r="I1519" i="1"/>
  <c r="C1519" i="1"/>
  <c r="H1519" i="1" s="1"/>
  <c r="L1518" i="1"/>
  <c r="K1518" i="1"/>
  <c r="J1518" i="1"/>
  <c r="I1518" i="1"/>
  <c r="C1518" i="1"/>
  <c r="H1518" i="1" s="1"/>
  <c r="L1517" i="1"/>
  <c r="K1517" i="1"/>
  <c r="J1517" i="1"/>
  <c r="I1517" i="1"/>
  <c r="C1517" i="1"/>
  <c r="H1517" i="1" s="1"/>
  <c r="L1516" i="1"/>
  <c r="K1516" i="1"/>
  <c r="J1516" i="1"/>
  <c r="I1516" i="1"/>
  <c r="C1516" i="1"/>
  <c r="H1516" i="1" s="1"/>
  <c r="L1515" i="1"/>
  <c r="K1515" i="1"/>
  <c r="J1515" i="1"/>
  <c r="I1515" i="1"/>
  <c r="C1515" i="1"/>
  <c r="H1515" i="1" s="1"/>
  <c r="L1514" i="1"/>
  <c r="K1514" i="1"/>
  <c r="J1514" i="1"/>
  <c r="I1514" i="1"/>
  <c r="C1514" i="1"/>
  <c r="H1514" i="1" s="1"/>
  <c r="L1513" i="1"/>
  <c r="K1513" i="1"/>
  <c r="J1513" i="1"/>
  <c r="I1513" i="1"/>
  <c r="C1513" i="1"/>
  <c r="H1513" i="1" s="1"/>
  <c r="L1512" i="1"/>
  <c r="K1512" i="1"/>
  <c r="J1512" i="1"/>
  <c r="I1512" i="1"/>
  <c r="C1512" i="1"/>
  <c r="H1512" i="1" s="1"/>
  <c r="L1511" i="1"/>
  <c r="K1511" i="1"/>
  <c r="J1511" i="1"/>
  <c r="I1511" i="1"/>
  <c r="C1511" i="1"/>
  <c r="H1511" i="1" s="1"/>
  <c r="L1510" i="1"/>
  <c r="K1510" i="1"/>
  <c r="J1510" i="1"/>
  <c r="I1510" i="1"/>
  <c r="C1510" i="1"/>
  <c r="H1510" i="1" s="1"/>
  <c r="L1509" i="1"/>
  <c r="K1509" i="1"/>
  <c r="J1509" i="1"/>
  <c r="I1509" i="1"/>
  <c r="C1509" i="1"/>
  <c r="H1509" i="1" s="1"/>
  <c r="L1508" i="1"/>
  <c r="K1508" i="1"/>
  <c r="J1508" i="1"/>
  <c r="I1508" i="1"/>
  <c r="C1508" i="1"/>
  <c r="H1508" i="1" s="1"/>
  <c r="L1507" i="1"/>
  <c r="K1507" i="1"/>
  <c r="J1507" i="1"/>
  <c r="I1507" i="1"/>
  <c r="C1507" i="1"/>
  <c r="H1507" i="1" s="1"/>
  <c r="L1506" i="1"/>
  <c r="K1506" i="1"/>
  <c r="J1506" i="1"/>
  <c r="I1506" i="1"/>
  <c r="C1506" i="1"/>
  <c r="H1506" i="1" s="1"/>
  <c r="L1505" i="1"/>
  <c r="K1505" i="1"/>
  <c r="J1505" i="1"/>
  <c r="I1505" i="1"/>
  <c r="C1505" i="1"/>
  <c r="H1505" i="1" s="1"/>
  <c r="L1504" i="1"/>
  <c r="K1504" i="1"/>
  <c r="J1504" i="1"/>
  <c r="I1504" i="1"/>
  <c r="C1504" i="1"/>
  <c r="H1504" i="1" s="1"/>
  <c r="L1503" i="1"/>
  <c r="K1503" i="1"/>
  <c r="J1503" i="1"/>
  <c r="I1503" i="1"/>
  <c r="C1503" i="1"/>
  <c r="H1503" i="1" s="1"/>
  <c r="L1502" i="1"/>
  <c r="K1502" i="1"/>
  <c r="J1502" i="1"/>
  <c r="I1502" i="1"/>
  <c r="C1502" i="1"/>
  <c r="H1502" i="1" s="1"/>
  <c r="L1501" i="1"/>
  <c r="K1501" i="1"/>
  <c r="J1501" i="1"/>
  <c r="I1501" i="1"/>
  <c r="C1501" i="1"/>
  <c r="H1501" i="1" s="1"/>
  <c r="L1500" i="1"/>
  <c r="K1500" i="1"/>
  <c r="J1500" i="1"/>
  <c r="I1500" i="1"/>
  <c r="C1500" i="1"/>
  <c r="H1500" i="1" s="1"/>
  <c r="L1499" i="1"/>
  <c r="K1499" i="1"/>
  <c r="J1499" i="1"/>
  <c r="I1499" i="1"/>
  <c r="C1499" i="1"/>
  <c r="H1499" i="1" s="1"/>
  <c r="L1498" i="1"/>
  <c r="K1498" i="1"/>
  <c r="J1498" i="1"/>
  <c r="I1498" i="1"/>
  <c r="C1498" i="1"/>
  <c r="H1498" i="1" s="1"/>
  <c r="L1497" i="1"/>
  <c r="K1497" i="1"/>
  <c r="J1497" i="1"/>
  <c r="I1497" i="1"/>
  <c r="C1497" i="1"/>
  <c r="H1497" i="1" s="1"/>
  <c r="L1496" i="1"/>
  <c r="K1496" i="1"/>
  <c r="J1496" i="1"/>
  <c r="I1496" i="1"/>
  <c r="C1496" i="1"/>
  <c r="H1496" i="1" s="1"/>
  <c r="L1495" i="1"/>
  <c r="K1495" i="1"/>
  <c r="J1495" i="1"/>
  <c r="I1495" i="1"/>
  <c r="C1495" i="1"/>
  <c r="H1495" i="1" s="1"/>
  <c r="L1494" i="1"/>
  <c r="K1494" i="1"/>
  <c r="J1494" i="1"/>
  <c r="I1494" i="1"/>
  <c r="C1494" i="1"/>
  <c r="H1494" i="1" s="1"/>
  <c r="L1493" i="1"/>
  <c r="K1493" i="1"/>
  <c r="J1493" i="1"/>
  <c r="I1493" i="1"/>
  <c r="C1493" i="1"/>
  <c r="H1493" i="1" s="1"/>
  <c r="L1492" i="1"/>
  <c r="K1492" i="1"/>
  <c r="J1492" i="1"/>
  <c r="I1492" i="1"/>
  <c r="C1492" i="1"/>
  <c r="H1492" i="1" s="1"/>
  <c r="L1491" i="1"/>
  <c r="K1491" i="1"/>
  <c r="J1491" i="1"/>
  <c r="I1491" i="1"/>
  <c r="C1491" i="1"/>
  <c r="H1491" i="1" s="1"/>
  <c r="L1490" i="1"/>
  <c r="K1490" i="1"/>
  <c r="J1490" i="1"/>
  <c r="I1490" i="1"/>
  <c r="C1490" i="1"/>
  <c r="H1490" i="1" s="1"/>
  <c r="L1489" i="1"/>
  <c r="K1489" i="1"/>
  <c r="J1489" i="1"/>
  <c r="I1489" i="1"/>
  <c r="C1489" i="1"/>
  <c r="H1489" i="1" s="1"/>
  <c r="L1488" i="1"/>
  <c r="K1488" i="1"/>
  <c r="J1488" i="1"/>
  <c r="I1488" i="1"/>
  <c r="C1488" i="1"/>
  <c r="H1488" i="1" s="1"/>
  <c r="L1487" i="1"/>
  <c r="K1487" i="1"/>
  <c r="J1487" i="1"/>
  <c r="I1487" i="1"/>
  <c r="C1487" i="1"/>
  <c r="H1487" i="1" s="1"/>
  <c r="L1486" i="1"/>
  <c r="K1486" i="1"/>
  <c r="J1486" i="1"/>
  <c r="I1486" i="1"/>
  <c r="C1486" i="1"/>
  <c r="H1486" i="1" s="1"/>
  <c r="L1485" i="1"/>
  <c r="K1485" i="1"/>
  <c r="J1485" i="1"/>
  <c r="I1485" i="1"/>
  <c r="C1485" i="1"/>
  <c r="H1485" i="1" s="1"/>
  <c r="L1484" i="1"/>
  <c r="K1484" i="1"/>
  <c r="J1484" i="1"/>
  <c r="I1484" i="1"/>
  <c r="C1484" i="1"/>
  <c r="H1484" i="1" s="1"/>
  <c r="L1483" i="1"/>
  <c r="K1483" i="1"/>
  <c r="J1483" i="1"/>
  <c r="I1483" i="1"/>
  <c r="C1483" i="1"/>
  <c r="H1483" i="1" s="1"/>
  <c r="L1482" i="1"/>
  <c r="K1482" i="1"/>
  <c r="J1482" i="1"/>
  <c r="I1482" i="1"/>
  <c r="C1482" i="1"/>
  <c r="H1482" i="1" s="1"/>
  <c r="L1481" i="1"/>
  <c r="K1481" i="1"/>
  <c r="J1481" i="1"/>
  <c r="I1481" i="1"/>
  <c r="C1481" i="1"/>
  <c r="H1481" i="1" s="1"/>
  <c r="L1480" i="1"/>
  <c r="K1480" i="1"/>
  <c r="J1480" i="1"/>
  <c r="I1480" i="1"/>
  <c r="C1480" i="1"/>
  <c r="H1480" i="1" s="1"/>
  <c r="L1479" i="1"/>
  <c r="K1479" i="1"/>
  <c r="J1479" i="1"/>
  <c r="I1479" i="1"/>
  <c r="C1479" i="1"/>
  <c r="H1479" i="1" s="1"/>
  <c r="L1478" i="1"/>
  <c r="K1478" i="1"/>
  <c r="J1478" i="1"/>
  <c r="I1478" i="1"/>
  <c r="C1478" i="1"/>
  <c r="H1478" i="1" s="1"/>
  <c r="L1477" i="1"/>
  <c r="K1477" i="1"/>
  <c r="J1477" i="1"/>
  <c r="I1477" i="1"/>
  <c r="C1477" i="1"/>
  <c r="H1477" i="1" s="1"/>
  <c r="L1476" i="1"/>
  <c r="K1476" i="1"/>
  <c r="J1476" i="1"/>
  <c r="I1476" i="1"/>
  <c r="C1476" i="1"/>
  <c r="H1476" i="1" s="1"/>
  <c r="L1475" i="1"/>
  <c r="K1475" i="1"/>
  <c r="J1475" i="1"/>
  <c r="I1475" i="1"/>
  <c r="C1475" i="1"/>
  <c r="H1475" i="1" s="1"/>
  <c r="L1474" i="1"/>
  <c r="K1474" i="1"/>
  <c r="J1474" i="1"/>
  <c r="I1474" i="1"/>
  <c r="C1474" i="1"/>
  <c r="H1474" i="1" s="1"/>
  <c r="L1473" i="1"/>
  <c r="K1473" i="1"/>
  <c r="J1473" i="1"/>
  <c r="I1473" i="1"/>
  <c r="C1473" i="1"/>
  <c r="H1473" i="1" s="1"/>
  <c r="L1472" i="1"/>
  <c r="K1472" i="1"/>
  <c r="J1472" i="1"/>
  <c r="I1472" i="1"/>
  <c r="C1472" i="1"/>
  <c r="H1472" i="1" s="1"/>
  <c r="L1471" i="1"/>
  <c r="K1471" i="1"/>
  <c r="J1471" i="1"/>
  <c r="I1471" i="1"/>
  <c r="C1471" i="1"/>
  <c r="H1471" i="1" s="1"/>
  <c r="L1470" i="1"/>
  <c r="K1470" i="1"/>
  <c r="J1470" i="1"/>
  <c r="I1470" i="1"/>
  <c r="C1470" i="1"/>
  <c r="H1470" i="1" s="1"/>
  <c r="L1469" i="1"/>
  <c r="K1469" i="1"/>
  <c r="J1469" i="1"/>
  <c r="I1469" i="1"/>
  <c r="C1469" i="1"/>
  <c r="H1469" i="1" s="1"/>
  <c r="L1468" i="1"/>
  <c r="K1468" i="1"/>
  <c r="J1468" i="1"/>
  <c r="I1468" i="1"/>
  <c r="C1468" i="1"/>
  <c r="H1468" i="1" s="1"/>
  <c r="L1467" i="1"/>
  <c r="K1467" i="1"/>
  <c r="J1467" i="1"/>
  <c r="I1467" i="1"/>
  <c r="C1467" i="1"/>
  <c r="H1467" i="1" s="1"/>
  <c r="L1466" i="1"/>
  <c r="K1466" i="1"/>
  <c r="J1466" i="1"/>
  <c r="I1466" i="1"/>
  <c r="C1466" i="1"/>
  <c r="H1466" i="1" s="1"/>
  <c r="L1465" i="1"/>
  <c r="K1465" i="1"/>
  <c r="J1465" i="1"/>
  <c r="I1465" i="1"/>
  <c r="C1465" i="1"/>
  <c r="H1465" i="1" s="1"/>
  <c r="L1464" i="1"/>
  <c r="K1464" i="1"/>
  <c r="J1464" i="1"/>
  <c r="I1464" i="1"/>
  <c r="C1464" i="1"/>
  <c r="H1464" i="1" s="1"/>
  <c r="L1463" i="1"/>
  <c r="K1463" i="1"/>
  <c r="J1463" i="1"/>
  <c r="I1463" i="1"/>
  <c r="C1463" i="1"/>
  <c r="H1463" i="1" s="1"/>
  <c r="L1462" i="1"/>
  <c r="K1462" i="1"/>
  <c r="J1462" i="1"/>
  <c r="I1462" i="1"/>
  <c r="C1462" i="1"/>
  <c r="H1462" i="1" s="1"/>
  <c r="L1461" i="1"/>
  <c r="K1461" i="1"/>
  <c r="J1461" i="1"/>
  <c r="I1461" i="1"/>
  <c r="C1461" i="1"/>
  <c r="H1461" i="1" s="1"/>
  <c r="L1460" i="1"/>
  <c r="K1460" i="1"/>
  <c r="J1460" i="1"/>
  <c r="I1460" i="1"/>
  <c r="C1460" i="1"/>
  <c r="H1460" i="1" s="1"/>
  <c r="L1459" i="1"/>
  <c r="K1459" i="1"/>
  <c r="J1459" i="1"/>
  <c r="I1459" i="1"/>
  <c r="C1459" i="1"/>
  <c r="H1459" i="1" s="1"/>
  <c r="L1458" i="1"/>
  <c r="K1458" i="1"/>
  <c r="J1458" i="1"/>
  <c r="I1458" i="1"/>
  <c r="C1458" i="1"/>
  <c r="H1458" i="1" s="1"/>
  <c r="L1457" i="1"/>
  <c r="K1457" i="1"/>
  <c r="J1457" i="1"/>
  <c r="I1457" i="1"/>
  <c r="C1457" i="1"/>
  <c r="H1457" i="1" s="1"/>
  <c r="L1456" i="1"/>
  <c r="K1456" i="1"/>
  <c r="J1456" i="1"/>
  <c r="I1456" i="1"/>
  <c r="C1456" i="1"/>
  <c r="H1456" i="1" s="1"/>
  <c r="L1455" i="1"/>
  <c r="K1455" i="1"/>
  <c r="J1455" i="1"/>
  <c r="I1455" i="1"/>
  <c r="C1455" i="1"/>
  <c r="H1455" i="1" s="1"/>
  <c r="L1454" i="1"/>
  <c r="K1454" i="1"/>
  <c r="J1454" i="1"/>
  <c r="I1454" i="1"/>
  <c r="C1454" i="1"/>
  <c r="H1454" i="1" s="1"/>
  <c r="L1453" i="1"/>
  <c r="K1453" i="1"/>
  <c r="J1453" i="1"/>
  <c r="I1453" i="1"/>
  <c r="C1453" i="1"/>
  <c r="H1453" i="1" s="1"/>
  <c r="L1452" i="1"/>
  <c r="K1452" i="1"/>
  <c r="J1452" i="1"/>
  <c r="I1452" i="1"/>
  <c r="C1452" i="1"/>
  <c r="H1452" i="1" s="1"/>
  <c r="L1451" i="1"/>
  <c r="K1451" i="1"/>
  <c r="J1451" i="1"/>
  <c r="I1451" i="1"/>
  <c r="C1451" i="1"/>
  <c r="H1451" i="1" s="1"/>
  <c r="L1450" i="1"/>
  <c r="K1450" i="1"/>
  <c r="J1450" i="1"/>
  <c r="I1450" i="1"/>
  <c r="C1450" i="1"/>
  <c r="H1450" i="1" s="1"/>
  <c r="L1449" i="1"/>
  <c r="K1449" i="1"/>
  <c r="J1449" i="1"/>
  <c r="I1449" i="1"/>
  <c r="C1449" i="1"/>
  <c r="H1449" i="1" s="1"/>
  <c r="L1448" i="1"/>
  <c r="K1448" i="1"/>
  <c r="J1448" i="1"/>
  <c r="I1448" i="1"/>
  <c r="C1448" i="1"/>
  <c r="H1448" i="1" s="1"/>
  <c r="L1447" i="1"/>
  <c r="K1447" i="1"/>
  <c r="J1447" i="1"/>
  <c r="I1447" i="1"/>
  <c r="C1447" i="1"/>
  <c r="H1447" i="1" s="1"/>
  <c r="L1446" i="1"/>
  <c r="K1446" i="1"/>
  <c r="J1446" i="1"/>
  <c r="I1446" i="1"/>
  <c r="C1446" i="1"/>
  <c r="H1446" i="1" s="1"/>
  <c r="L1445" i="1"/>
  <c r="K1445" i="1"/>
  <c r="J1445" i="1"/>
  <c r="I1445" i="1"/>
  <c r="C1445" i="1"/>
  <c r="H1445" i="1" s="1"/>
  <c r="L1444" i="1"/>
  <c r="K1444" i="1"/>
  <c r="J1444" i="1"/>
  <c r="I1444" i="1"/>
  <c r="C1444" i="1"/>
  <c r="H1444" i="1" s="1"/>
  <c r="L1443" i="1"/>
  <c r="K1443" i="1"/>
  <c r="J1443" i="1"/>
  <c r="I1443" i="1"/>
  <c r="C1443" i="1"/>
  <c r="H1443" i="1" s="1"/>
  <c r="L1442" i="1"/>
  <c r="K1442" i="1"/>
  <c r="J1442" i="1"/>
  <c r="I1442" i="1"/>
  <c r="C1442" i="1"/>
  <c r="H1442" i="1" s="1"/>
  <c r="L1441" i="1"/>
  <c r="K1441" i="1"/>
  <c r="J1441" i="1"/>
  <c r="I1441" i="1"/>
  <c r="C1441" i="1"/>
  <c r="H1441" i="1" s="1"/>
  <c r="L1440" i="1"/>
  <c r="K1440" i="1"/>
  <c r="J1440" i="1"/>
  <c r="I1440" i="1"/>
  <c r="C1440" i="1"/>
  <c r="H1440" i="1" s="1"/>
  <c r="L1439" i="1"/>
  <c r="K1439" i="1"/>
  <c r="J1439" i="1"/>
  <c r="I1439" i="1"/>
  <c r="C1439" i="1"/>
  <c r="H1439" i="1" s="1"/>
  <c r="L1438" i="1"/>
  <c r="K1438" i="1"/>
  <c r="J1438" i="1"/>
  <c r="I1438" i="1"/>
  <c r="C1438" i="1"/>
  <c r="H1438" i="1" s="1"/>
  <c r="L1437" i="1"/>
  <c r="K1437" i="1"/>
  <c r="J1437" i="1"/>
  <c r="I1437" i="1"/>
  <c r="C1437" i="1"/>
  <c r="H1437" i="1" s="1"/>
  <c r="L1436" i="1"/>
  <c r="K1436" i="1"/>
  <c r="J1436" i="1"/>
  <c r="I1436" i="1"/>
  <c r="C1436" i="1"/>
  <c r="H1436" i="1" s="1"/>
  <c r="L1435" i="1"/>
  <c r="K1435" i="1"/>
  <c r="J1435" i="1"/>
  <c r="I1435" i="1"/>
  <c r="C1435" i="1"/>
  <c r="H1435" i="1" s="1"/>
  <c r="L1434" i="1"/>
  <c r="K1434" i="1"/>
  <c r="J1434" i="1"/>
  <c r="I1434" i="1"/>
  <c r="C1434" i="1"/>
  <c r="H1434" i="1" s="1"/>
  <c r="L1433" i="1"/>
  <c r="K1433" i="1"/>
  <c r="J1433" i="1"/>
  <c r="I1433" i="1"/>
  <c r="C1433" i="1"/>
  <c r="H1433" i="1" s="1"/>
  <c r="L1432" i="1"/>
  <c r="K1432" i="1"/>
  <c r="J1432" i="1"/>
  <c r="I1432" i="1"/>
  <c r="C1432" i="1"/>
  <c r="H1432" i="1" s="1"/>
  <c r="L1431" i="1"/>
  <c r="K1431" i="1"/>
  <c r="J1431" i="1"/>
  <c r="I1431" i="1"/>
  <c r="C1431" i="1"/>
  <c r="H1431" i="1" s="1"/>
  <c r="L1430" i="1"/>
  <c r="K1430" i="1"/>
  <c r="J1430" i="1"/>
  <c r="I1430" i="1"/>
  <c r="C1430" i="1"/>
  <c r="H1430" i="1" s="1"/>
  <c r="L1429" i="1"/>
  <c r="K1429" i="1"/>
  <c r="J1429" i="1"/>
  <c r="I1429" i="1"/>
  <c r="C1429" i="1"/>
  <c r="H1429" i="1" s="1"/>
  <c r="L1428" i="1"/>
  <c r="K1428" i="1"/>
  <c r="J1428" i="1"/>
  <c r="I1428" i="1"/>
  <c r="C1428" i="1"/>
  <c r="H1428" i="1" s="1"/>
  <c r="L1427" i="1"/>
  <c r="K1427" i="1"/>
  <c r="J1427" i="1"/>
  <c r="I1427" i="1"/>
  <c r="C1427" i="1"/>
  <c r="H1427" i="1" s="1"/>
  <c r="L1426" i="1"/>
  <c r="K1426" i="1"/>
  <c r="J1426" i="1"/>
  <c r="I1426" i="1"/>
  <c r="C1426" i="1"/>
  <c r="H1426" i="1" s="1"/>
  <c r="L1425" i="1"/>
  <c r="K1425" i="1"/>
  <c r="J1425" i="1"/>
  <c r="I1425" i="1"/>
  <c r="C1425" i="1"/>
  <c r="H1425" i="1" s="1"/>
  <c r="L1424" i="1"/>
  <c r="K1424" i="1"/>
  <c r="J1424" i="1"/>
  <c r="I1424" i="1"/>
  <c r="C1424" i="1"/>
  <c r="H1424" i="1" s="1"/>
  <c r="L1423" i="1"/>
  <c r="K1423" i="1"/>
  <c r="J1423" i="1"/>
  <c r="I1423" i="1"/>
  <c r="C1423" i="1"/>
  <c r="H1423" i="1" s="1"/>
  <c r="L1422" i="1"/>
  <c r="K1422" i="1"/>
  <c r="J1422" i="1"/>
  <c r="I1422" i="1"/>
  <c r="C1422" i="1"/>
  <c r="H1422" i="1" s="1"/>
  <c r="L1421" i="1"/>
  <c r="K1421" i="1"/>
  <c r="J1421" i="1"/>
  <c r="I1421" i="1"/>
  <c r="C1421" i="1"/>
  <c r="H1421" i="1" s="1"/>
  <c r="L1420" i="1"/>
  <c r="K1420" i="1"/>
  <c r="J1420" i="1"/>
  <c r="I1420" i="1"/>
  <c r="C1420" i="1"/>
  <c r="H1420" i="1" s="1"/>
  <c r="L1419" i="1"/>
  <c r="K1419" i="1"/>
  <c r="J1419" i="1"/>
  <c r="I1419" i="1"/>
  <c r="C1419" i="1"/>
  <c r="H1419" i="1" s="1"/>
  <c r="L1418" i="1"/>
  <c r="K1418" i="1"/>
  <c r="J1418" i="1"/>
  <c r="I1418" i="1"/>
  <c r="C1418" i="1"/>
  <c r="H1418" i="1" s="1"/>
  <c r="L1417" i="1"/>
  <c r="K1417" i="1"/>
  <c r="J1417" i="1"/>
  <c r="I1417" i="1"/>
  <c r="C1417" i="1"/>
  <c r="H1417" i="1" s="1"/>
  <c r="L1416" i="1"/>
  <c r="K1416" i="1"/>
  <c r="J1416" i="1"/>
  <c r="I1416" i="1"/>
  <c r="C1416" i="1"/>
  <c r="H1416" i="1" s="1"/>
  <c r="L1415" i="1"/>
  <c r="K1415" i="1"/>
  <c r="J1415" i="1"/>
  <c r="I1415" i="1"/>
  <c r="C1415" i="1"/>
  <c r="H1415" i="1" s="1"/>
  <c r="L1414" i="1"/>
  <c r="K1414" i="1"/>
  <c r="J1414" i="1"/>
  <c r="I1414" i="1"/>
  <c r="C1414" i="1"/>
  <c r="H1414" i="1" s="1"/>
  <c r="L1413" i="1"/>
  <c r="K1413" i="1"/>
  <c r="J1413" i="1"/>
  <c r="I1413" i="1"/>
  <c r="C1413" i="1"/>
  <c r="H1413" i="1" s="1"/>
  <c r="L1412" i="1"/>
  <c r="K1412" i="1"/>
  <c r="J1412" i="1"/>
  <c r="I1412" i="1"/>
  <c r="C1412" i="1"/>
  <c r="H1412" i="1" s="1"/>
  <c r="L1411" i="1"/>
  <c r="K1411" i="1"/>
  <c r="J1411" i="1"/>
  <c r="I1411" i="1"/>
  <c r="C1411" i="1"/>
  <c r="H1411" i="1" s="1"/>
  <c r="L1410" i="1"/>
  <c r="K1410" i="1"/>
  <c r="J1410" i="1"/>
  <c r="I1410" i="1"/>
  <c r="C1410" i="1"/>
  <c r="H1410" i="1" s="1"/>
  <c r="L1409" i="1"/>
  <c r="K1409" i="1"/>
  <c r="J1409" i="1"/>
  <c r="I1409" i="1"/>
  <c r="C1409" i="1"/>
  <c r="H1409" i="1" s="1"/>
  <c r="L1408" i="1"/>
  <c r="K1408" i="1"/>
  <c r="J1408" i="1"/>
  <c r="I1408" i="1"/>
  <c r="C1408" i="1"/>
  <c r="H1408" i="1" s="1"/>
  <c r="L1407" i="1"/>
  <c r="K1407" i="1"/>
  <c r="J1407" i="1"/>
  <c r="I1407" i="1"/>
  <c r="C1407" i="1"/>
  <c r="H1407" i="1" s="1"/>
  <c r="L1406" i="1"/>
  <c r="K1406" i="1"/>
  <c r="J1406" i="1"/>
  <c r="I1406" i="1"/>
  <c r="C1406" i="1"/>
  <c r="H1406" i="1" s="1"/>
  <c r="L1405" i="1"/>
  <c r="K1405" i="1"/>
  <c r="J1405" i="1"/>
  <c r="I1405" i="1"/>
  <c r="C1405" i="1"/>
  <c r="H1405" i="1" s="1"/>
  <c r="L1404" i="1"/>
  <c r="K1404" i="1"/>
  <c r="J1404" i="1"/>
  <c r="I1404" i="1"/>
  <c r="C1404" i="1"/>
  <c r="H1404" i="1" s="1"/>
  <c r="L1403" i="1"/>
  <c r="K1403" i="1"/>
  <c r="J1403" i="1"/>
  <c r="I1403" i="1"/>
  <c r="C1403" i="1"/>
  <c r="H1403" i="1" s="1"/>
  <c r="L1402" i="1"/>
  <c r="K1402" i="1"/>
  <c r="J1402" i="1"/>
  <c r="I1402" i="1"/>
  <c r="C1402" i="1"/>
  <c r="H1402" i="1" s="1"/>
  <c r="L1401" i="1"/>
  <c r="K1401" i="1"/>
  <c r="J1401" i="1"/>
  <c r="I1401" i="1"/>
  <c r="C1401" i="1"/>
  <c r="H1401" i="1" s="1"/>
  <c r="L1400" i="1"/>
  <c r="K1400" i="1"/>
  <c r="J1400" i="1"/>
  <c r="I1400" i="1"/>
  <c r="C1400" i="1"/>
  <c r="H1400" i="1" s="1"/>
  <c r="L1399" i="1"/>
  <c r="K1399" i="1"/>
  <c r="J1399" i="1"/>
  <c r="I1399" i="1"/>
  <c r="C1399" i="1"/>
  <c r="H1399" i="1" s="1"/>
  <c r="L1398" i="1"/>
  <c r="K1398" i="1"/>
  <c r="J1398" i="1"/>
  <c r="I1398" i="1"/>
  <c r="C1398" i="1"/>
  <c r="H1398" i="1" s="1"/>
  <c r="L1397" i="1"/>
  <c r="K1397" i="1"/>
  <c r="J1397" i="1"/>
  <c r="I1397" i="1"/>
  <c r="C1397" i="1"/>
  <c r="H1397" i="1" s="1"/>
  <c r="L1396" i="1"/>
  <c r="K1396" i="1"/>
  <c r="J1396" i="1"/>
  <c r="I1396" i="1"/>
  <c r="C1396" i="1"/>
  <c r="H1396" i="1" s="1"/>
  <c r="L1395" i="1"/>
  <c r="K1395" i="1"/>
  <c r="J1395" i="1"/>
  <c r="I1395" i="1"/>
  <c r="C1395" i="1"/>
  <c r="H1395" i="1" s="1"/>
  <c r="L1394" i="1"/>
  <c r="K1394" i="1"/>
  <c r="J1394" i="1"/>
  <c r="I1394" i="1"/>
  <c r="C1394" i="1"/>
  <c r="H1394" i="1" s="1"/>
  <c r="L1393" i="1"/>
  <c r="K1393" i="1"/>
  <c r="J1393" i="1"/>
  <c r="I1393" i="1"/>
  <c r="C1393" i="1"/>
  <c r="H1393" i="1" s="1"/>
  <c r="L1392" i="1"/>
  <c r="K1392" i="1"/>
  <c r="J1392" i="1"/>
  <c r="I1392" i="1"/>
  <c r="C1392" i="1"/>
  <c r="H1392" i="1" s="1"/>
  <c r="L1391" i="1"/>
  <c r="K1391" i="1"/>
  <c r="J1391" i="1"/>
  <c r="I1391" i="1"/>
  <c r="C1391" i="1"/>
  <c r="H1391" i="1" s="1"/>
  <c r="L1390" i="1"/>
  <c r="K1390" i="1"/>
  <c r="J1390" i="1"/>
  <c r="I1390" i="1"/>
  <c r="C1390" i="1"/>
  <c r="H1390" i="1" s="1"/>
  <c r="L1389" i="1"/>
  <c r="K1389" i="1"/>
  <c r="J1389" i="1"/>
  <c r="I1389" i="1"/>
  <c r="C1389" i="1"/>
  <c r="H1389" i="1" s="1"/>
  <c r="L1388" i="1"/>
  <c r="K1388" i="1"/>
  <c r="J1388" i="1"/>
  <c r="I1388" i="1"/>
  <c r="C1388" i="1"/>
  <c r="H1388" i="1" s="1"/>
  <c r="L1387" i="1"/>
  <c r="K1387" i="1"/>
  <c r="J1387" i="1"/>
  <c r="I1387" i="1"/>
  <c r="C1387" i="1"/>
  <c r="H1387" i="1" s="1"/>
  <c r="L1386" i="1"/>
  <c r="K1386" i="1"/>
  <c r="J1386" i="1"/>
  <c r="I1386" i="1"/>
  <c r="C1386" i="1"/>
  <c r="H1386" i="1" s="1"/>
  <c r="L1385" i="1"/>
  <c r="K1385" i="1"/>
  <c r="J1385" i="1"/>
  <c r="I1385" i="1"/>
  <c r="C1385" i="1"/>
  <c r="H1385" i="1" s="1"/>
  <c r="L1384" i="1"/>
  <c r="K1384" i="1"/>
  <c r="J1384" i="1"/>
  <c r="I1384" i="1"/>
  <c r="C1384" i="1"/>
  <c r="H1384" i="1" s="1"/>
  <c r="L1383" i="1"/>
  <c r="K1383" i="1"/>
  <c r="J1383" i="1"/>
  <c r="I1383" i="1"/>
  <c r="C1383" i="1"/>
  <c r="H1383" i="1" s="1"/>
  <c r="L1382" i="1"/>
  <c r="K1382" i="1"/>
  <c r="J1382" i="1"/>
  <c r="I1382" i="1"/>
  <c r="C1382" i="1"/>
  <c r="H1382" i="1" s="1"/>
  <c r="L1381" i="1"/>
  <c r="K1381" i="1"/>
  <c r="J1381" i="1"/>
  <c r="I1381" i="1"/>
  <c r="C1381" i="1"/>
  <c r="H1381" i="1" s="1"/>
  <c r="L1380" i="1"/>
  <c r="K1380" i="1"/>
  <c r="J1380" i="1"/>
  <c r="I1380" i="1"/>
  <c r="C1380" i="1"/>
  <c r="H1380" i="1" s="1"/>
  <c r="L1379" i="1"/>
  <c r="K1379" i="1"/>
  <c r="J1379" i="1"/>
  <c r="I1379" i="1"/>
  <c r="C1379" i="1"/>
  <c r="H1379" i="1" s="1"/>
  <c r="L1378" i="1"/>
  <c r="K1378" i="1"/>
  <c r="J1378" i="1"/>
  <c r="I1378" i="1"/>
  <c r="C1378" i="1"/>
  <c r="H1378" i="1" s="1"/>
  <c r="L1377" i="1"/>
  <c r="K1377" i="1"/>
  <c r="J1377" i="1"/>
  <c r="I1377" i="1"/>
  <c r="C1377" i="1"/>
  <c r="H1377" i="1" s="1"/>
  <c r="L1376" i="1"/>
  <c r="K1376" i="1"/>
  <c r="J1376" i="1"/>
  <c r="I1376" i="1"/>
  <c r="C1376" i="1"/>
  <c r="H1376" i="1" s="1"/>
  <c r="L1375" i="1"/>
  <c r="K1375" i="1"/>
  <c r="J1375" i="1"/>
  <c r="I1375" i="1"/>
  <c r="C1375" i="1"/>
  <c r="H1375" i="1" s="1"/>
  <c r="L1374" i="1"/>
  <c r="K1374" i="1"/>
  <c r="J1374" i="1"/>
  <c r="I1374" i="1"/>
  <c r="C1374" i="1"/>
  <c r="H1374" i="1" s="1"/>
  <c r="L1373" i="1"/>
  <c r="K1373" i="1"/>
  <c r="J1373" i="1"/>
  <c r="I1373" i="1"/>
  <c r="C1373" i="1"/>
  <c r="H1373" i="1" s="1"/>
  <c r="L1372" i="1"/>
  <c r="K1372" i="1"/>
  <c r="J1372" i="1"/>
  <c r="I1372" i="1"/>
  <c r="C1372" i="1"/>
  <c r="H1372" i="1" s="1"/>
  <c r="L1371" i="1"/>
  <c r="K1371" i="1"/>
  <c r="J1371" i="1"/>
  <c r="I1371" i="1"/>
  <c r="C1371" i="1"/>
  <c r="H1371" i="1" s="1"/>
  <c r="L1370" i="1"/>
  <c r="K1370" i="1"/>
  <c r="J1370" i="1"/>
  <c r="I1370" i="1"/>
  <c r="C1370" i="1"/>
  <c r="H1370" i="1" s="1"/>
  <c r="L1369" i="1"/>
  <c r="K1369" i="1"/>
  <c r="J1369" i="1"/>
  <c r="I1369" i="1"/>
  <c r="C1369" i="1"/>
  <c r="H1369" i="1" s="1"/>
  <c r="L1368" i="1"/>
  <c r="K1368" i="1"/>
  <c r="J1368" i="1"/>
  <c r="I1368" i="1"/>
  <c r="C1368" i="1"/>
  <c r="H1368" i="1" s="1"/>
  <c r="L1367" i="1"/>
  <c r="K1367" i="1"/>
  <c r="J1367" i="1"/>
  <c r="I1367" i="1"/>
  <c r="C1367" i="1"/>
  <c r="H1367" i="1" s="1"/>
  <c r="L1366" i="1"/>
  <c r="K1366" i="1"/>
  <c r="J1366" i="1"/>
  <c r="I1366" i="1"/>
  <c r="C1366" i="1"/>
  <c r="H1366" i="1" s="1"/>
  <c r="L1365" i="1"/>
  <c r="K1365" i="1"/>
  <c r="J1365" i="1"/>
  <c r="I1365" i="1"/>
  <c r="C1365" i="1"/>
  <c r="H1365" i="1" s="1"/>
  <c r="L1364" i="1"/>
  <c r="K1364" i="1"/>
  <c r="J1364" i="1"/>
  <c r="I1364" i="1"/>
  <c r="C1364" i="1"/>
  <c r="H1364" i="1" s="1"/>
  <c r="L1363" i="1"/>
  <c r="K1363" i="1"/>
  <c r="J1363" i="1"/>
  <c r="I1363" i="1"/>
  <c r="C1363" i="1"/>
  <c r="H1363" i="1" s="1"/>
  <c r="L1362" i="1"/>
  <c r="K1362" i="1"/>
  <c r="J1362" i="1"/>
  <c r="I1362" i="1"/>
  <c r="C1362" i="1"/>
  <c r="H1362" i="1" s="1"/>
  <c r="L1361" i="1"/>
  <c r="K1361" i="1"/>
  <c r="J1361" i="1"/>
  <c r="I1361" i="1"/>
  <c r="C1361" i="1"/>
  <c r="H1361" i="1" s="1"/>
  <c r="L1360" i="1"/>
  <c r="K1360" i="1"/>
  <c r="J1360" i="1"/>
  <c r="I1360" i="1"/>
  <c r="C1360" i="1"/>
  <c r="H1360" i="1" s="1"/>
  <c r="L1359" i="1"/>
  <c r="K1359" i="1"/>
  <c r="J1359" i="1"/>
  <c r="I1359" i="1"/>
  <c r="C1359" i="1"/>
  <c r="H1359" i="1" s="1"/>
  <c r="L1358" i="1"/>
  <c r="K1358" i="1"/>
  <c r="J1358" i="1"/>
  <c r="I1358" i="1"/>
  <c r="C1358" i="1"/>
  <c r="H1358" i="1" s="1"/>
  <c r="L1357" i="1"/>
  <c r="K1357" i="1"/>
  <c r="J1357" i="1"/>
  <c r="I1357" i="1"/>
  <c r="C1357" i="1"/>
  <c r="H1357" i="1" s="1"/>
  <c r="L1356" i="1"/>
  <c r="K1356" i="1"/>
  <c r="J1356" i="1"/>
  <c r="I1356" i="1"/>
  <c r="C1356" i="1"/>
  <c r="H1356" i="1" s="1"/>
  <c r="L1355" i="1"/>
  <c r="K1355" i="1"/>
  <c r="J1355" i="1"/>
  <c r="I1355" i="1"/>
  <c r="C1355" i="1"/>
  <c r="H1355" i="1" s="1"/>
  <c r="L1354" i="1"/>
  <c r="K1354" i="1"/>
  <c r="J1354" i="1"/>
  <c r="I1354" i="1"/>
  <c r="C1354" i="1"/>
  <c r="H1354" i="1" s="1"/>
  <c r="L1353" i="1"/>
  <c r="K1353" i="1"/>
  <c r="J1353" i="1"/>
  <c r="I1353" i="1"/>
  <c r="C1353" i="1"/>
  <c r="H1353" i="1" s="1"/>
  <c r="L1352" i="1"/>
  <c r="K1352" i="1"/>
  <c r="J1352" i="1"/>
  <c r="I1352" i="1"/>
  <c r="C1352" i="1"/>
  <c r="H1352" i="1" s="1"/>
  <c r="L1351" i="1"/>
  <c r="K1351" i="1"/>
  <c r="J1351" i="1"/>
  <c r="I1351" i="1"/>
  <c r="C1351" i="1"/>
  <c r="H1351" i="1" s="1"/>
  <c r="L1350" i="1"/>
  <c r="K1350" i="1"/>
  <c r="J1350" i="1"/>
  <c r="I1350" i="1"/>
  <c r="C1350" i="1"/>
  <c r="H1350" i="1" s="1"/>
  <c r="L1349" i="1"/>
  <c r="K1349" i="1"/>
  <c r="J1349" i="1"/>
  <c r="I1349" i="1"/>
  <c r="C1349" i="1"/>
  <c r="H1349" i="1" s="1"/>
  <c r="L1348" i="1"/>
  <c r="K1348" i="1"/>
  <c r="J1348" i="1"/>
  <c r="I1348" i="1"/>
  <c r="C1348" i="1"/>
  <c r="H1348" i="1" s="1"/>
  <c r="L1347" i="1"/>
  <c r="K1347" i="1"/>
  <c r="J1347" i="1"/>
  <c r="I1347" i="1"/>
  <c r="C1347" i="1"/>
  <c r="H1347" i="1" s="1"/>
  <c r="L1346" i="1"/>
  <c r="K1346" i="1"/>
  <c r="J1346" i="1"/>
  <c r="I1346" i="1"/>
  <c r="C1346" i="1"/>
  <c r="H1346" i="1" s="1"/>
  <c r="L1345" i="1"/>
  <c r="K1345" i="1"/>
  <c r="J1345" i="1"/>
  <c r="I1345" i="1"/>
  <c r="C1345" i="1"/>
  <c r="H1345" i="1" s="1"/>
  <c r="L1344" i="1"/>
  <c r="K1344" i="1"/>
  <c r="J1344" i="1"/>
  <c r="I1344" i="1"/>
  <c r="C1344" i="1"/>
  <c r="H1344" i="1" s="1"/>
  <c r="L1343" i="1"/>
  <c r="K1343" i="1"/>
  <c r="J1343" i="1"/>
  <c r="I1343" i="1"/>
  <c r="C1343" i="1"/>
  <c r="H1343" i="1" s="1"/>
  <c r="L1342" i="1"/>
  <c r="K1342" i="1"/>
  <c r="J1342" i="1"/>
  <c r="I1342" i="1"/>
  <c r="C1342" i="1"/>
  <c r="H1342" i="1" s="1"/>
  <c r="L1341" i="1"/>
  <c r="K1341" i="1"/>
  <c r="J1341" i="1"/>
  <c r="I1341" i="1"/>
  <c r="C1341" i="1"/>
  <c r="H1341" i="1" s="1"/>
  <c r="L1340" i="1"/>
  <c r="K1340" i="1"/>
  <c r="J1340" i="1"/>
  <c r="I1340" i="1"/>
  <c r="C1340" i="1"/>
  <c r="H1340" i="1" s="1"/>
  <c r="L1339" i="1"/>
  <c r="K1339" i="1"/>
  <c r="J1339" i="1"/>
  <c r="I1339" i="1"/>
  <c r="C1339" i="1"/>
  <c r="H1339" i="1" s="1"/>
  <c r="L1338" i="1"/>
  <c r="K1338" i="1"/>
  <c r="J1338" i="1"/>
  <c r="I1338" i="1"/>
  <c r="C1338" i="1"/>
  <c r="H1338" i="1" s="1"/>
  <c r="L1337" i="1"/>
  <c r="K1337" i="1"/>
  <c r="J1337" i="1"/>
  <c r="I1337" i="1"/>
  <c r="C1337" i="1"/>
  <c r="H1337" i="1" s="1"/>
  <c r="L1336" i="1"/>
  <c r="K1336" i="1"/>
  <c r="J1336" i="1"/>
  <c r="I1336" i="1"/>
  <c r="C1336" i="1"/>
  <c r="H1336" i="1" s="1"/>
  <c r="L1335" i="1"/>
  <c r="K1335" i="1"/>
  <c r="J1335" i="1"/>
  <c r="I1335" i="1"/>
  <c r="C1335" i="1"/>
  <c r="H1335" i="1" s="1"/>
  <c r="L1334" i="1"/>
  <c r="K1334" i="1"/>
  <c r="J1334" i="1"/>
  <c r="I1334" i="1"/>
  <c r="C1334" i="1"/>
  <c r="H1334" i="1" s="1"/>
  <c r="L1333" i="1"/>
  <c r="K1333" i="1"/>
  <c r="J1333" i="1"/>
  <c r="I1333" i="1"/>
  <c r="C1333" i="1"/>
  <c r="H1333" i="1" s="1"/>
  <c r="L1332" i="1"/>
  <c r="K1332" i="1"/>
  <c r="J1332" i="1"/>
  <c r="I1332" i="1"/>
  <c r="C1332" i="1"/>
  <c r="H1332" i="1" s="1"/>
  <c r="L1331" i="1"/>
  <c r="K1331" i="1"/>
  <c r="J1331" i="1"/>
  <c r="I1331" i="1"/>
  <c r="C1331" i="1"/>
  <c r="H1331" i="1" s="1"/>
  <c r="L1330" i="1"/>
  <c r="K1330" i="1"/>
  <c r="J1330" i="1"/>
  <c r="I1330" i="1"/>
  <c r="C1330" i="1"/>
  <c r="H1330" i="1" s="1"/>
  <c r="L1329" i="1"/>
  <c r="K1329" i="1"/>
  <c r="J1329" i="1"/>
  <c r="I1329" i="1"/>
  <c r="C1329" i="1"/>
  <c r="H1329" i="1" s="1"/>
  <c r="L1328" i="1"/>
  <c r="K1328" i="1"/>
  <c r="J1328" i="1"/>
  <c r="I1328" i="1"/>
  <c r="C1328" i="1"/>
  <c r="H1328" i="1" s="1"/>
  <c r="L1327" i="1"/>
  <c r="K1327" i="1"/>
  <c r="J1327" i="1"/>
  <c r="I1327" i="1"/>
  <c r="C1327" i="1"/>
  <c r="H1327" i="1" s="1"/>
  <c r="L1326" i="1"/>
  <c r="K1326" i="1"/>
  <c r="J1326" i="1"/>
  <c r="I1326" i="1"/>
  <c r="C1326" i="1"/>
  <c r="H1326" i="1" s="1"/>
  <c r="L1325" i="1"/>
  <c r="K1325" i="1"/>
  <c r="J1325" i="1"/>
  <c r="I1325" i="1"/>
  <c r="C1325" i="1"/>
  <c r="H1325" i="1" s="1"/>
  <c r="L1324" i="1"/>
  <c r="K1324" i="1"/>
  <c r="J1324" i="1"/>
  <c r="I1324" i="1"/>
  <c r="C1324" i="1"/>
  <c r="H1324" i="1" s="1"/>
  <c r="L1323" i="1"/>
  <c r="K1323" i="1"/>
  <c r="J1323" i="1"/>
  <c r="I1323" i="1"/>
  <c r="C1323" i="1"/>
  <c r="H1323" i="1" s="1"/>
  <c r="L1322" i="1"/>
  <c r="K1322" i="1"/>
  <c r="J1322" i="1"/>
  <c r="I1322" i="1"/>
  <c r="C1322" i="1"/>
  <c r="H1322" i="1" s="1"/>
  <c r="L1321" i="1"/>
  <c r="K1321" i="1"/>
  <c r="J1321" i="1"/>
  <c r="I1321" i="1"/>
  <c r="C1321" i="1"/>
  <c r="H1321" i="1" s="1"/>
  <c r="L1320" i="1"/>
  <c r="K1320" i="1"/>
  <c r="J1320" i="1"/>
  <c r="I1320" i="1"/>
  <c r="C1320" i="1"/>
  <c r="H1320" i="1" s="1"/>
  <c r="L1319" i="1"/>
  <c r="K1319" i="1"/>
  <c r="J1319" i="1"/>
  <c r="I1319" i="1"/>
  <c r="C1319" i="1"/>
  <c r="H1319" i="1" s="1"/>
  <c r="L1318" i="1"/>
  <c r="K1318" i="1"/>
  <c r="J1318" i="1"/>
  <c r="I1318" i="1"/>
  <c r="C1318" i="1"/>
  <c r="H1318" i="1" s="1"/>
  <c r="L1317" i="1"/>
  <c r="K1317" i="1"/>
  <c r="J1317" i="1"/>
  <c r="I1317" i="1"/>
  <c r="C1317" i="1"/>
  <c r="H1317" i="1" s="1"/>
  <c r="L1316" i="1"/>
  <c r="K1316" i="1"/>
  <c r="J1316" i="1"/>
  <c r="I1316" i="1"/>
  <c r="C1316" i="1"/>
  <c r="H1316" i="1" s="1"/>
  <c r="L1315" i="1"/>
  <c r="K1315" i="1"/>
  <c r="J1315" i="1"/>
  <c r="I1315" i="1"/>
  <c r="C1315" i="1"/>
  <c r="H1315" i="1" s="1"/>
  <c r="L1314" i="1"/>
  <c r="K1314" i="1"/>
  <c r="J1314" i="1"/>
  <c r="I1314" i="1"/>
  <c r="C1314" i="1"/>
  <c r="H1314" i="1" s="1"/>
  <c r="L1313" i="1"/>
  <c r="K1313" i="1"/>
  <c r="J1313" i="1"/>
  <c r="I1313" i="1"/>
  <c r="C1313" i="1"/>
  <c r="H1313" i="1" s="1"/>
  <c r="L1312" i="1"/>
  <c r="K1312" i="1"/>
  <c r="J1312" i="1"/>
  <c r="I1312" i="1"/>
  <c r="C1312" i="1"/>
  <c r="H1312" i="1" s="1"/>
  <c r="L1311" i="1"/>
  <c r="K1311" i="1"/>
  <c r="J1311" i="1"/>
  <c r="I1311" i="1"/>
  <c r="C1311" i="1"/>
  <c r="H1311" i="1" s="1"/>
  <c r="L1310" i="1"/>
  <c r="K1310" i="1"/>
  <c r="J1310" i="1"/>
  <c r="I1310" i="1"/>
  <c r="C1310" i="1"/>
  <c r="H1310" i="1" s="1"/>
  <c r="L1309" i="1"/>
  <c r="K1309" i="1"/>
  <c r="J1309" i="1"/>
  <c r="I1309" i="1"/>
  <c r="C1309" i="1"/>
  <c r="H1309" i="1" s="1"/>
  <c r="L1308" i="1"/>
  <c r="K1308" i="1"/>
  <c r="J1308" i="1"/>
  <c r="I1308" i="1"/>
  <c r="C1308" i="1"/>
  <c r="H1308" i="1" s="1"/>
  <c r="L1307" i="1"/>
  <c r="K1307" i="1"/>
  <c r="J1307" i="1"/>
  <c r="I1307" i="1"/>
  <c r="C1307" i="1"/>
  <c r="H1307" i="1" s="1"/>
  <c r="L1306" i="1"/>
  <c r="K1306" i="1"/>
  <c r="J1306" i="1"/>
  <c r="I1306" i="1"/>
  <c r="C1306" i="1"/>
  <c r="H1306" i="1" s="1"/>
  <c r="L1305" i="1"/>
  <c r="K1305" i="1"/>
  <c r="J1305" i="1"/>
  <c r="I1305" i="1"/>
  <c r="C1305" i="1"/>
  <c r="H1305" i="1" s="1"/>
  <c r="L1304" i="1"/>
  <c r="K1304" i="1"/>
  <c r="J1304" i="1"/>
  <c r="I1304" i="1"/>
  <c r="C1304" i="1"/>
  <c r="H1304" i="1" s="1"/>
  <c r="L1303" i="1"/>
  <c r="K1303" i="1"/>
  <c r="J1303" i="1"/>
  <c r="I1303" i="1"/>
  <c r="C1303" i="1"/>
  <c r="H1303" i="1" s="1"/>
  <c r="L1302" i="1"/>
  <c r="K1302" i="1"/>
  <c r="J1302" i="1"/>
  <c r="I1302" i="1"/>
  <c r="C1302" i="1"/>
  <c r="H1302" i="1" s="1"/>
  <c r="L1301" i="1"/>
  <c r="K1301" i="1"/>
  <c r="J1301" i="1"/>
  <c r="I1301" i="1"/>
  <c r="C1301" i="1"/>
  <c r="H1301" i="1" s="1"/>
  <c r="L1300" i="1"/>
  <c r="K1300" i="1"/>
  <c r="J1300" i="1"/>
  <c r="I1300" i="1"/>
  <c r="C1300" i="1"/>
  <c r="H1300" i="1" s="1"/>
  <c r="L1299" i="1"/>
  <c r="K1299" i="1"/>
  <c r="J1299" i="1"/>
  <c r="I1299" i="1"/>
  <c r="C1299" i="1"/>
  <c r="H1299" i="1" s="1"/>
  <c r="L1298" i="1"/>
  <c r="K1298" i="1"/>
  <c r="J1298" i="1"/>
  <c r="I1298" i="1"/>
  <c r="C1298" i="1"/>
  <c r="H1298" i="1" s="1"/>
  <c r="L1297" i="1"/>
  <c r="K1297" i="1"/>
  <c r="J1297" i="1"/>
  <c r="I1297" i="1"/>
  <c r="C1297" i="1"/>
  <c r="H1297" i="1" s="1"/>
  <c r="L1296" i="1"/>
  <c r="K1296" i="1"/>
  <c r="J1296" i="1"/>
  <c r="I1296" i="1"/>
  <c r="C1296" i="1"/>
  <c r="H1296" i="1" s="1"/>
  <c r="L1295" i="1"/>
  <c r="K1295" i="1"/>
  <c r="J1295" i="1"/>
  <c r="I1295" i="1"/>
  <c r="C1295" i="1"/>
  <c r="H1295" i="1" s="1"/>
  <c r="L1294" i="1"/>
  <c r="K1294" i="1"/>
  <c r="J1294" i="1"/>
  <c r="I1294" i="1"/>
  <c r="C1294" i="1"/>
  <c r="H1294" i="1" s="1"/>
  <c r="L1293" i="1"/>
  <c r="K1293" i="1"/>
  <c r="J1293" i="1"/>
  <c r="I1293" i="1"/>
  <c r="C1293" i="1"/>
  <c r="H1293" i="1" s="1"/>
  <c r="L1292" i="1"/>
  <c r="K1292" i="1"/>
  <c r="J1292" i="1"/>
  <c r="I1292" i="1"/>
  <c r="C1292" i="1"/>
  <c r="H1292" i="1" s="1"/>
  <c r="L1291" i="1"/>
  <c r="K1291" i="1"/>
  <c r="J1291" i="1"/>
  <c r="I1291" i="1"/>
  <c r="C1291" i="1"/>
  <c r="H1291" i="1" s="1"/>
  <c r="L1290" i="1"/>
  <c r="K1290" i="1"/>
  <c r="J1290" i="1"/>
  <c r="I1290" i="1"/>
  <c r="C1290" i="1"/>
  <c r="H1290" i="1" s="1"/>
  <c r="L1289" i="1"/>
  <c r="K1289" i="1"/>
  <c r="J1289" i="1"/>
  <c r="I1289" i="1"/>
  <c r="C1289" i="1"/>
  <c r="H1289" i="1" s="1"/>
  <c r="L1288" i="1"/>
  <c r="K1288" i="1"/>
  <c r="J1288" i="1"/>
  <c r="I1288" i="1"/>
  <c r="C1288" i="1"/>
  <c r="H1288" i="1" s="1"/>
  <c r="L1287" i="1"/>
  <c r="K1287" i="1"/>
  <c r="J1287" i="1"/>
  <c r="I1287" i="1"/>
  <c r="C1287" i="1"/>
  <c r="H1287" i="1" s="1"/>
  <c r="L1286" i="1"/>
  <c r="K1286" i="1"/>
  <c r="J1286" i="1"/>
  <c r="I1286" i="1"/>
  <c r="C1286" i="1"/>
  <c r="H1286" i="1" s="1"/>
  <c r="L1285" i="1"/>
  <c r="K1285" i="1"/>
  <c r="J1285" i="1"/>
  <c r="I1285" i="1"/>
  <c r="C1285" i="1"/>
  <c r="H1285" i="1" s="1"/>
  <c r="L1284" i="1"/>
  <c r="K1284" i="1"/>
  <c r="J1284" i="1"/>
  <c r="I1284" i="1"/>
  <c r="C1284" i="1"/>
  <c r="H1284" i="1" s="1"/>
  <c r="L1283" i="1"/>
  <c r="K1283" i="1"/>
  <c r="J1283" i="1"/>
  <c r="I1283" i="1"/>
  <c r="C1283" i="1"/>
  <c r="H1283" i="1" s="1"/>
  <c r="L1282" i="1"/>
  <c r="K1282" i="1"/>
  <c r="J1282" i="1"/>
  <c r="I1282" i="1"/>
  <c r="C1282" i="1"/>
  <c r="H1282" i="1" s="1"/>
  <c r="L1281" i="1"/>
  <c r="K1281" i="1"/>
  <c r="J1281" i="1"/>
  <c r="I1281" i="1"/>
  <c r="C1281" i="1"/>
  <c r="H1281" i="1" s="1"/>
  <c r="L1280" i="1"/>
  <c r="K1280" i="1"/>
  <c r="J1280" i="1"/>
  <c r="I1280" i="1"/>
  <c r="C1280" i="1"/>
  <c r="H1280" i="1" s="1"/>
  <c r="L1279" i="1"/>
  <c r="K1279" i="1"/>
  <c r="J1279" i="1"/>
  <c r="I1279" i="1"/>
  <c r="C1279" i="1"/>
  <c r="H1279" i="1" s="1"/>
  <c r="L1278" i="1"/>
  <c r="K1278" i="1"/>
  <c r="J1278" i="1"/>
  <c r="I1278" i="1"/>
  <c r="C1278" i="1"/>
  <c r="H1278" i="1" s="1"/>
  <c r="L1277" i="1"/>
  <c r="K1277" i="1"/>
  <c r="J1277" i="1"/>
  <c r="I1277" i="1"/>
  <c r="C1277" i="1"/>
  <c r="H1277" i="1" s="1"/>
  <c r="L1276" i="1"/>
  <c r="K1276" i="1"/>
  <c r="J1276" i="1"/>
  <c r="I1276" i="1"/>
  <c r="C1276" i="1"/>
  <c r="H1276" i="1" s="1"/>
  <c r="L1275" i="1"/>
  <c r="K1275" i="1"/>
  <c r="J1275" i="1"/>
  <c r="I1275" i="1"/>
  <c r="C1275" i="1"/>
  <c r="H1275" i="1" s="1"/>
  <c r="L1274" i="1"/>
  <c r="K1274" i="1"/>
  <c r="J1274" i="1"/>
  <c r="I1274" i="1"/>
  <c r="C1274" i="1"/>
  <c r="H1274" i="1" s="1"/>
  <c r="L1273" i="1"/>
  <c r="K1273" i="1"/>
  <c r="J1273" i="1"/>
  <c r="I1273" i="1"/>
  <c r="C1273" i="1"/>
  <c r="H1273" i="1" s="1"/>
  <c r="L1272" i="1"/>
  <c r="K1272" i="1"/>
  <c r="J1272" i="1"/>
  <c r="I1272" i="1"/>
  <c r="C1272" i="1"/>
  <c r="H1272" i="1" s="1"/>
  <c r="L1271" i="1"/>
  <c r="K1271" i="1"/>
  <c r="J1271" i="1"/>
  <c r="I1271" i="1"/>
  <c r="C1271" i="1"/>
  <c r="H1271" i="1" s="1"/>
  <c r="L1270" i="1"/>
  <c r="K1270" i="1"/>
  <c r="J1270" i="1"/>
  <c r="I1270" i="1"/>
  <c r="C1270" i="1"/>
  <c r="H1270" i="1" s="1"/>
  <c r="L1269" i="1"/>
  <c r="K1269" i="1"/>
  <c r="J1269" i="1"/>
  <c r="I1269" i="1"/>
  <c r="C1269" i="1"/>
  <c r="H1269" i="1" s="1"/>
  <c r="L1268" i="1"/>
  <c r="K1268" i="1"/>
  <c r="J1268" i="1"/>
  <c r="I1268" i="1"/>
  <c r="C1268" i="1"/>
  <c r="H1268" i="1" s="1"/>
  <c r="L1267" i="1"/>
  <c r="K1267" i="1"/>
  <c r="J1267" i="1"/>
  <c r="I1267" i="1"/>
  <c r="C1267" i="1"/>
  <c r="H1267" i="1" s="1"/>
  <c r="L1266" i="1"/>
  <c r="K1266" i="1"/>
  <c r="J1266" i="1"/>
  <c r="I1266" i="1"/>
  <c r="C1266" i="1"/>
  <c r="H1266" i="1" s="1"/>
  <c r="L1265" i="1"/>
  <c r="K1265" i="1"/>
  <c r="J1265" i="1"/>
  <c r="I1265" i="1"/>
  <c r="C1265" i="1"/>
  <c r="H1265" i="1" s="1"/>
  <c r="L1264" i="1"/>
  <c r="K1264" i="1"/>
  <c r="J1264" i="1"/>
  <c r="I1264" i="1"/>
  <c r="C1264" i="1"/>
  <c r="H1264" i="1" s="1"/>
  <c r="L1263" i="1"/>
  <c r="K1263" i="1"/>
  <c r="J1263" i="1"/>
  <c r="I1263" i="1"/>
  <c r="C1263" i="1"/>
  <c r="H1263" i="1" s="1"/>
  <c r="L1262" i="1"/>
  <c r="K1262" i="1"/>
  <c r="J1262" i="1"/>
  <c r="I1262" i="1"/>
  <c r="C1262" i="1"/>
  <c r="H1262" i="1" s="1"/>
  <c r="L1261" i="1"/>
  <c r="K1261" i="1"/>
  <c r="J1261" i="1"/>
  <c r="I1261" i="1"/>
  <c r="C1261" i="1"/>
  <c r="H1261" i="1" s="1"/>
  <c r="L1260" i="1"/>
  <c r="K1260" i="1"/>
  <c r="J1260" i="1"/>
  <c r="I1260" i="1"/>
  <c r="C1260" i="1"/>
  <c r="H1260" i="1" s="1"/>
  <c r="L1259" i="1"/>
  <c r="K1259" i="1"/>
  <c r="J1259" i="1"/>
  <c r="I1259" i="1"/>
  <c r="C1259" i="1"/>
  <c r="H1259" i="1" s="1"/>
  <c r="L1258" i="1"/>
  <c r="K1258" i="1"/>
  <c r="J1258" i="1"/>
  <c r="I1258" i="1"/>
  <c r="C1258" i="1"/>
  <c r="H1258" i="1" s="1"/>
  <c r="L1257" i="1"/>
  <c r="K1257" i="1"/>
  <c r="J1257" i="1"/>
  <c r="I1257" i="1"/>
  <c r="C1257" i="1"/>
  <c r="H1257" i="1" s="1"/>
  <c r="L1256" i="1"/>
  <c r="K1256" i="1"/>
  <c r="J1256" i="1"/>
  <c r="I1256" i="1"/>
  <c r="C1256" i="1"/>
  <c r="H1256" i="1" s="1"/>
  <c r="L1255" i="1"/>
  <c r="K1255" i="1"/>
  <c r="J1255" i="1"/>
  <c r="I1255" i="1"/>
  <c r="C1255" i="1"/>
  <c r="H1255" i="1" s="1"/>
  <c r="L1254" i="1"/>
  <c r="K1254" i="1"/>
  <c r="J1254" i="1"/>
  <c r="I1254" i="1"/>
  <c r="C1254" i="1"/>
  <c r="H1254" i="1" s="1"/>
  <c r="L1253" i="1"/>
  <c r="K1253" i="1"/>
  <c r="J1253" i="1"/>
  <c r="I1253" i="1"/>
  <c r="C1253" i="1"/>
  <c r="H1253" i="1" s="1"/>
  <c r="L1252" i="1"/>
  <c r="K1252" i="1"/>
  <c r="J1252" i="1"/>
  <c r="I1252" i="1"/>
  <c r="C1252" i="1"/>
  <c r="H1252" i="1" s="1"/>
  <c r="L1251" i="1"/>
  <c r="K1251" i="1"/>
  <c r="J1251" i="1"/>
  <c r="I1251" i="1"/>
  <c r="C1251" i="1"/>
  <c r="H1251" i="1" s="1"/>
  <c r="L1250" i="1"/>
  <c r="K1250" i="1"/>
  <c r="J1250" i="1"/>
  <c r="I1250" i="1"/>
  <c r="C1250" i="1"/>
  <c r="H1250" i="1" s="1"/>
  <c r="L1249" i="1"/>
  <c r="K1249" i="1"/>
  <c r="J1249" i="1"/>
  <c r="I1249" i="1"/>
  <c r="C1249" i="1"/>
  <c r="H1249" i="1" s="1"/>
  <c r="L1248" i="1"/>
  <c r="K1248" i="1"/>
  <c r="J1248" i="1"/>
  <c r="I1248" i="1"/>
  <c r="C1248" i="1"/>
  <c r="H1248" i="1" s="1"/>
  <c r="L1247" i="1"/>
  <c r="K1247" i="1"/>
  <c r="J1247" i="1"/>
  <c r="I1247" i="1"/>
  <c r="C1247" i="1"/>
  <c r="H1247" i="1" s="1"/>
  <c r="L1246" i="1"/>
  <c r="K1246" i="1"/>
  <c r="J1246" i="1"/>
  <c r="I1246" i="1"/>
  <c r="C1246" i="1"/>
  <c r="H1246" i="1" s="1"/>
  <c r="L1245" i="1"/>
  <c r="K1245" i="1"/>
  <c r="J1245" i="1"/>
  <c r="I1245" i="1"/>
  <c r="C1245" i="1"/>
  <c r="H1245" i="1" s="1"/>
  <c r="L1244" i="1"/>
  <c r="K1244" i="1"/>
  <c r="J1244" i="1"/>
  <c r="I1244" i="1"/>
  <c r="C1244" i="1"/>
  <c r="H1244" i="1" s="1"/>
  <c r="L1243" i="1"/>
  <c r="K1243" i="1"/>
  <c r="J1243" i="1"/>
  <c r="I1243" i="1"/>
  <c r="C1243" i="1"/>
  <c r="H1243" i="1" s="1"/>
  <c r="L1242" i="1"/>
  <c r="K1242" i="1"/>
  <c r="J1242" i="1"/>
  <c r="I1242" i="1"/>
  <c r="C1242" i="1"/>
  <c r="H1242" i="1" s="1"/>
  <c r="L1241" i="1"/>
  <c r="K1241" i="1"/>
  <c r="J1241" i="1"/>
  <c r="I1241" i="1"/>
  <c r="C1241" i="1"/>
  <c r="H1241" i="1" s="1"/>
  <c r="L1240" i="1"/>
  <c r="K1240" i="1"/>
  <c r="J1240" i="1"/>
  <c r="I1240" i="1"/>
  <c r="C1240" i="1"/>
  <c r="H1240" i="1" s="1"/>
  <c r="L1239" i="1"/>
  <c r="K1239" i="1"/>
  <c r="J1239" i="1"/>
  <c r="I1239" i="1"/>
  <c r="C1239" i="1"/>
  <c r="H1239" i="1" s="1"/>
  <c r="L1238" i="1"/>
  <c r="K1238" i="1"/>
  <c r="J1238" i="1"/>
  <c r="I1238" i="1"/>
  <c r="C1238" i="1"/>
  <c r="H1238" i="1" s="1"/>
  <c r="L1237" i="1"/>
  <c r="K1237" i="1"/>
  <c r="J1237" i="1"/>
  <c r="I1237" i="1"/>
  <c r="C1237" i="1"/>
  <c r="H1237" i="1" s="1"/>
  <c r="L1236" i="1"/>
  <c r="K1236" i="1"/>
  <c r="J1236" i="1"/>
  <c r="I1236" i="1"/>
  <c r="C1236" i="1"/>
  <c r="H1236" i="1" s="1"/>
  <c r="L1235" i="1"/>
  <c r="K1235" i="1"/>
  <c r="J1235" i="1"/>
  <c r="I1235" i="1"/>
  <c r="C1235" i="1"/>
  <c r="H1235" i="1" s="1"/>
  <c r="L1234" i="1"/>
  <c r="K1234" i="1"/>
  <c r="J1234" i="1"/>
  <c r="I1234" i="1"/>
  <c r="C1234" i="1"/>
  <c r="H1234" i="1" s="1"/>
  <c r="L1233" i="1"/>
  <c r="K1233" i="1"/>
  <c r="J1233" i="1"/>
  <c r="I1233" i="1"/>
  <c r="C1233" i="1"/>
  <c r="H1233" i="1" s="1"/>
  <c r="L1232" i="1"/>
  <c r="K1232" i="1"/>
  <c r="J1232" i="1"/>
  <c r="I1232" i="1"/>
  <c r="C1232" i="1"/>
  <c r="H1232" i="1" s="1"/>
  <c r="L1231" i="1"/>
  <c r="K1231" i="1"/>
  <c r="J1231" i="1"/>
  <c r="I1231" i="1"/>
  <c r="C1231" i="1"/>
  <c r="H1231" i="1" s="1"/>
  <c r="L1230" i="1"/>
  <c r="K1230" i="1"/>
  <c r="J1230" i="1"/>
  <c r="I1230" i="1"/>
  <c r="C1230" i="1"/>
  <c r="H1230" i="1" s="1"/>
  <c r="L1229" i="1"/>
  <c r="K1229" i="1"/>
  <c r="J1229" i="1"/>
  <c r="I1229" i="1"/>
  <c r="C1229" i="1"/>
  <c r="H1229" i="1" s="1"/>
  <c r="L1228" i="1"/>
  <c r="K1228" i="1"/>
  <c r="J1228" i="1"/>
  <c r="I1228" i="1"/>
  <c r="C1228" i="1"/>
  <c r="H1228" i="1" s="1"/>
  <c r="L1227" i="1"/>
  <c r="K1227" i="1"/>
  <c r="J1227" i="1"/>
  <c r="I1227" i="1"/>
  <c r="C1227" i="1"/>
  <c r="H1227" i="1" s="1"/>
  <c r="L1226" i="1"/>
  <c r="K1226" i="1"/>
  <c r="J1226" i="1"/>
  <c r="I1226" i="1"/>
  <c r="C1226" i="1"/>
  <c r="H1226" i="1" s="1"/>
  <c r="L1225" i="1"/>
  <c r="K1225" i="1"/>
  <c r="J1225" i="1"/>
  <c r="I1225" i="1"/>
  <c r="C1225" i="1"/>
  <c r="H1225" i="1" s="1"/>
  <c r="L1224" i="1"/>
  <c r="K1224" i="1"/>
  <c r="J1224" i="1"/>
  <c r="I1224" i="1"/>
  <c r="C1224" i="1"/>
  <c r="H1224" i="1" s="1"/>
  <c r="L1223" i="1"/>
  <c r="K1223" i="1"/>
  <c r="J1223" i="1"/>
  <c r="I1223" i="1"/>
  <c r="C1223" i="1"/>
  <c r="H1223" i="1" s="1"/>
  <c r="L1222" i="1"/>
  <c r="K1222" i="1"/>
  <c r="J1222" i="1"/>
  <c r="I1222" i="1"/>
  <c r="C1222" i="1"/>
  <c r="H1222" i="1" s="1"/>
  <c r="L1221" i="1"/>
  <c r="K1221" i="1"/>
  <c r="J1221" i="1"/>
  <c r="I1221" i="1"/>
  <c r="C1221" i="1"/>
  <c r="H1221" i="1" s="1"/>
  <c r="L1220" i="1"/>
  <c r="K1220" i="1"/>
  <c r="J1220" i="1"/>
  <c r="I1220" i="1"/>
  <c r="C1220" i="1"/>
  <c r="H1220" i="1" s="1"/>
  <c r="L1219" i="1"/>
  <c r="K1219" i="1"/>
  <c r="J1219" i="1"/>
  <c r="I1219" i="1"/>
  <c r="C1219" i="1"/>
  <c r="H1219" i="1" s="1"/>
  <c r="L1218" i="1"/>
  <c r="K1218" i="1"/>
  <c r="J1218" i="1"/>
  <c r="I1218" i="1"/>
  <c r="C1218" i="1"/>
  <c r="H1218" i="1" s="1"/>
  <c r="L1217" i="1"/>
  <c r="K1217" i="1"/>
  <c r="J1217" i="1"/>
  <c r="I1217" i="1"/>
  <c r="C1217" i="1"/>
  <c r="H1217" i="1" s="1"/>
  <c r="L1216" i="1"/>
  <c r="K1216" i="1"/>
  <c r="J1216" i="1"/>
  <c r="I1216" i="1"/>
  <c r="C1216" i="1"/>
  <c r="H1216" i="1" s="1"/>
  <c r="L1215" i="1"/>
  <c r="K1215" i="1"/>
  <c r="J1215" i="1"/>
  <c r="I1215" i="1"/>
  <c r="C1215" i="1"/>
  <c r="H1215" i="1" s="1"/>
  <c r="L1214" i="1"/>
  <c r="K1214" i="1"/>
  <c r="J1214" i="1"/>
  <c r="I1214" i="1"/>
  <c r="C1214" i="1"/>
  <c r="H1214" i="1" s="1"/>
  <c r="L1213" i="1"/>
  <c r="K1213" i="1"/>
  <c r="J1213" i="1"/>
  <c r="I1213" i="1"/>
  <c r="C1213" i="1"/>
  <c r="H1213" i="1" s="1"/>
  <c r="L1212" i="1"/>
  <c r="K1212" i="1"/>
  <c r="J1212" i="1"/>
  <c r="I1212" i="1"/>
  <c r="C1212" i="1"/>
  <c r="H1212" i="1" s="1"/>
  <c r="L1211" i="1"/>
  <c r="K1211" i="1"/>
  <c r="J1211" i="1"/>
  <c r="I1211" i="1"/>
  <c r="C1211" i="1"/>
  <c r="H1211" i="1" s="1"/>
  <c r="L1210" i="1"/>
  <c r="K1210" i="1"/>
  <c r="J1210" i="1"/>
  <c r="I1210" i="1"/>
  <c r="C1210" i="1"/>
  <c r="H1210" i="1" s="1"/>
  <c r="L1209" i="1"/>
  <c r="K1209" i="1"/>
  <c r="J1209" i="1"/>
  <c r="I1209" i="1"/>
  <c r="C1209" i="1"/>
  <c r="H1209" i="1" s="1"/>
  <c r="L1208" i="1"/>
  <c r="K1208" i="1"/>
  <c r="J1208" i="1"/>
  <c r="I1208" i="1"/>
  <c r="C1208" i="1"/>
  <c r="H1208" i="1" s="1"/>
  <c r="L1207" i="1"/>
  <c r="K1207" i="1"/>
  <c r="J1207" i="1"/>
  <c r="I1207" i="1"/>
  <c r="C1207" i="1"/>
  <c r="H1207" i="1" s="1"/>
  <c r="L1206" i="1"/>
  <c r="K1206" i="1"/>
  <c r="J1206" i="1"/>
  <c r="I1206" i="1"/>
  <c r="C1206" i="1"/>
  <c r="H1206" i="1" s="1"/>
  <c r="L1205" i="1"/>
  <c r="K1205" i="1"/>
  <c r="J1205" i="1"/>
  <c r="I1205" i="1"/>
  <c r="C1205" i="1"/>
  <c r="H1205" i="1" s="1"/>
  <c r="L1204" i="1"/>
  <c r="K1204" i="1"/>
  <c r="J1204" i="1"/>
  <c r="I1204" i="1"/>
  <c r="C1204" i="1"/>
  <c r="H1204" i="1" s="1"/>
  <c r="L1203" i="1"/>
  <c r="K1203" i="1"/>
  <c r="J1203" i="1"/>
  <c r="I1203" i="1"/>
  <c r="C1203" i="1"/>
  <c r="H1203" i="1" s="1"/>
  <c r="L1202" i="1"/>
  <c r="K1202" i="1"/>
  <c r="J1202" i="1"/>
  <c r="I1202" i="1"/>
  <c r="C1202" i="1"/>
  <c r="H1202" i="1" s="1"/>
  <c r="L1201" i="1"/>
  <c r="K1201" i="1"/>
  <c r="J1201" i="1"/>
  <c r="I1201" i="1"/>
  <c r="C1201" i="1"/>
  <c r="H1201" i="1" s="1"/>
  <c r="L1200" i="1"/>
  <c r="K1200" i="1"/>
  <c r="J1200" i="1"/>
  <c r="I1200" i="1"/>
  <c r="C1200" i="1"/>
  <c r="H1200" i="1" s="1"/>
  <c r="L1199" i="1"/>
  <c r="K1199" i="1"/>
  <c r="J1199" i="1"/>
  <c r="I1199" i="1"/>
  <c r="C1199" i="1"/>
  <c r="H1199" i="1" s="1"/>
  <c r="L1198" i="1"/>
  <c r="K1198" i="1"/>
  <c r="J1198" i="1"/>
  <c r="I1198" i="1"/>
  <c r="C1198" i="1"/>
  <c r="H1198" i="1" s="1"/>
  <c r="L1197" i="1"/>
  <c r="K1197" i="1"/>
  <c r="J1197" i="1"/>
  <c r="I1197" i="1"/>
  <c r="C1197" i="1"/>
  <c r="H1197" i="1" s="1"/>
  <c r="L1196" i="1"/>
  <c r="K1196" i="1"/>
  <c r="J1196" i="1"/>
  <c r="I1196" i="1"/>
  <c r="C1196" i="1"/>
  <c r="H1196" i="1" s="1"/>
  <c r="L1195" i="1"/>
  <c r="K1195" i="1"/>
  <c r="J1195" i="1"/>
  <c r="I1195" i="1"/>
  <c r="C1195" i="1"/>
  <c r="H1195" i="1" s="1"/>
  <c r="L1194" i="1"/>
  <c r="K1194" i="1"/>
  <c r="J1194" i="1"/>
  <c r="I1194" i="1"/>
  <c r="C1194" i="1"/>
  <c r="H1194" i="1" s="1"/>
  <c r="L1193" i="1"/>
  <c r="K1193" i="1"/>
  <c r="J1193" i="1"/>
  <c r="I1193" i="1"/>
  <c r="C1193" i="1"/>
  <c r="H1193" i="1" s="1"/>
  <c r="L1192" i="1"/>
  <c r="K1192" i="1"/>
  <c r="J1192" i="1"/>
  <c r="I1192" i="1"/>
  <c r="C1192" i="1"/>
  <c r="H1192" i="1" s="1"/>
  <c r="L1191" i="1"/>
  <c r="K1191" i="1"/>
  <c r="J1191" i="1"/>
  <c r="I1191" i="1"/>
  <c r="C1191" i="1"/>
  <c r="H1191" i="1" s="1"/>
  <c r="L1190" i="1"/>
  <c r="K1190" i="1"/>
  <c r="J1190" i="1"/>
  <c r="I1190" i="1"/>
  <c r="C1190" i="1"/>
  <c r="H1190" i="1" s="1"/>
  <c r="L1189" i="1"/>
  <c r="K1189" i="1"/>
  <c r="J1189" i="1"/>
  <c r="I1189" i="1"/>
  <c r="C1189" i="1"/>
  <c r="H1189" i="1" s="1"/>
  <c r="L1188" i="1"/>
  <c r="K1188" i="1"/>
  <c r="J1188" i="1"/>
  <c r="I1188" i="1"/>
  <c r="C1188" i="1"/>
  <c r="H1188" i="1" s="1"/>
  <c r="L1187" i="1"/>
  <c r="K1187" i="1"/>
  <c r="J1187" i="1"/>
  <c r="I1187" i="1"/>
  <c r="C1187" i="1"/>
  <c r="H1187" i="1" s="1"/>
  <c r="L1186" i="1"/>
  <c r="K1186" i="1"/>
  <c r="J1186" i="1"/>
  <c r="I1186" i="1"/>
  <c r="C1186" i="1"/>
  <c r="H1186" i="1" s="1"/>
  <c r="L1185" i="1"/>
  <c r="K1185" i="1"/>
  <c r="J1185" i="1"/>
  <c r="I1185" i="1"/>
  <c r="C1185" i="1"/>
  <c r="H1185" i="1" s="1"/>
  <c r="L1184" i="1"/>
  <c r="K1184" i="1"/>
  <c r="J1184" i="1"/>
  <c r="I1184" i="1"/>
  <c r="C1184" i="1"/>
  <c r="H1184" i="1" s="1"/>
  <c r="L1183" i="1"/>
  <c r="K1183" i="1"/>
  <c r="J1183" i="1"/>
  <c r="I1183" i="1"/>
  <c r="C1183" i="1"/>
  <c r="H1183" i="1" s="1"/>
  <c r="L1182" i="1"/>
  <c r="K1182" i="1"/>
  <c r="J1182" i="1"/>
  <c r="I1182" i="1"/>
  <c r="C1182" i="1"/>
  <c r="H1182" i="1" s="1"/>
  <c r="L1181" i="1"/>
  <c r="K1181" i="1"/>
  <c r="J1181" i="1"/>
  <c r="I1181" i="1"/>
  <c r="C1181" i="1"/>
  <c r="H1181" i="1" s="1"/>
  <c r="L1180" i="1"/>
  <c r="K1180" i="1"/>
  <c r="J1180" i="1"/>
  <c r="I1180" i="1"/>
  <c r="C1180" i="1"/>
  <c r="H1180" i="1" s="1"/>
  <c r="L1179" i="1"/>
  <c r="K1179" i="1"/>
  <c r="J1179" i="1"/>
  <c r="I1179" i="1"/>
  <c r="C1179" i="1"/>
  <c r="H1179" i="1" s="1"/>
  <c r="L1178" i="1"/>
  <c r="K1178" i="1"/>
  <c r="J1178" i="1"/>
  <c r="I1178" i="1"/>
  <c r="C1178" i="1"/>
  <c r="H1178" i="1" s="1"/>
  <c r="L1177" i="1"/>
  <c r="K1177" i="1"/>
  <c r="J1177" i="1"/>
  <c r="I1177" i="1"/>
  <c r="C1177" i="1"/>
  <c r="H1177" i="1" s="1"/>
  <c r="L1176" i="1"/>
  <c r="K1176" i="1"/>
  <c r="J1176" i="1"/>
  <c r="I1176" i="1"/>
  <c r="C1176" i="1"/>
  <c r="H1176" i="1" s="1"/>
  <c r="L1175" i="1"/>
  <c r="K1175" i="1"/>
  <c r="J1175" i="1"/>
  <c r="I1175" i="1"/>
  <c r="C1175" i="1"/>
  <c r="H1175" i="1" s="1"/>
  <c r="L1174" i="1"/>
  <c r="K1174" i="1"/>
  <c r="J1174" i="1"/>
  <c r="I1174" i="1"/>
  <c r="C1174" i="1"/>
  <c r="H1174" i="1" s="1"/>
  <c r="L1173" i="1"/>
  <c r="K1173" i="1"/>
  <c r="J1173" i="1"/>
  <c r="I1173" i="1"/>
  <c r="C1173" i="1"/>
  <c r="H1173" i="1" s="1"/>
  <c r="L1172" i="1"/>
  <c r="K1172" i="1"/>
  <c r="J1172" i="1"/>
  <c r="I1172" i="1"/>
  <c r="C1172" i="1"/>
  <c r="H1172" i="1" s="1"/>
  <c r="L1171" i="1"/>
  <c r="K1171" i="1"/>
  <c r="J1171" i="1"/>
  <c r="I1171" i="1"/>
  <c r="C1171" i="1"/>
  <c r="H1171" i="1" s="1"/>
  <c r="L1170" i="1"/>
  <c r="K1170" i="1"/>
  <c r="J1170" i="1"/>
  <c r="I1170" i="1"/>
  <c r="C1170" i="1"/>
  <c r="H1170" i="1" s="1"/>
  <c r="L1169" i="1"/>
  <c r="K1169" i="1"/>
  <c r="J1169" i="1"/>
  <c r="I1169" i="1"/>
  <c r="C1169" i="1"/>
  <c r="H1169" i="1" s="1"/>
  <c r="L1168" i="1"/>
  <c r="K1168" i="1"/>
  <c r="J1168" i="1"/>
  <c r="I1168" i="1"/>
  <c r="C1168" i="1"/>
  <c r="H1168" i="1" s="1"/>
  <c r="L1167" i="1"/>
  <c r="K1167" i="1"/>
  <c r="J1167" i="1"/>
  <c r="I1167" i="1"/>
  <c r="C1167" i="1"/>
  <c r="H1167" i="1" s="1"/>
  <c r="L1166" i="1"/>
  <c r="K1166" i="1"/>
  <c r="J1166" i="1"/>
  <c r="I1166" i="1"/>
  <c r="C1166" i="1"/>
  <c r="H1166" i="1" s="1"/>
  <c r="L1165" i="1"/>
  <c r="K1165" i="1"/>
  <c r="J1165" i="1"/>
  <c r="I1165" i="1"/>
  <c r="C1165" i="1"/>
  <c r="H1165" i="1" s="1"/>
  <c r="L1164" i="1"/>
  <c r="K1164" i="1"/>
  <c r="J1164" i="1"/>
  <c r="I1164" i="1"/>
  <c r="C1164" i="1"/>
  <c r="H1164" i="1" s="1"/>
  <c r="L1163" i="1"/>
  <c r="K1163" i="1"/>
  <c r="J1163" i="1"/>
  <c r="I1163" i="1"/>
  <c r="C1163" i="1"/>
  <c r="H1163" i="1" s="1"/>
  <c r="L1162" i="1"/>
  <c r="K1162" i="1"/>
  <c r="J1162" i="1"/>
  <c r="I1162" i="1"/>
  <c r="C1162" i="1"/>
  <c r="H1162" i="1" s="1"/>
  <c r="L1161" i="1"/>
  <c r="K1161" i="1"/>
  <c r="J1161" i="1"/>
  <c r="I1161" i="1"/>
  <c r="C1161" i="1"/>
  <c r="H1161" i="1" s="1"/>
  <c r="L1160" i="1"/>
  <c r="K1160" i="1"/>
  <c r="J1160" i="1"/>
  <c r="I1160" i="1"/>
  <c r="C1160" i="1"/>
  <c r="H1160" i="1" s="1"/>
  <c r="L1159" i="1"/>
  <c r="K1159" i="1"/>
  <c r="J1159" i="1"/>
  <c r="I1159" i="1"/>
  <c r="C1159" i="1"/>
  <c r="H1159" i="1" s="1"/>
  <c r="L1158" i="1"/>
  <c r="K1158" i="1"/>
  <c r="J1158" i="1"/>
  <c r="I1158" i="1"/>
  <c r="C1158" i="1"/>
  <c r="H1158" i="1" s="1"/>
  <c r="L1157" i="1"/>
  <c r="K1157" i="1"/>
  <c r="J1157" i="1"/>
  <c r="I1157" i="1"/>
  <c r="C1157" i="1"/>
  <c r="H1157" i="1" s="1"/>
  <c r="L1156" i="1"/>
  <c r="K1156" i="1"/>
  <c r="J1156" i="1"/>
  <c r="I1156" i="1"/>
  <c r="C1156" i="1"/>
  <c r="H1156" i="1" s="1"/>
  <c r="L1155" i="1"/>
  <c r="K1155" i="1"/>
  <c r="J1155" i="1"/>
  <c r="I1155" i="1"/>
  <c r="C1155" i="1"/>
  <c r="H1155" i="1" s="1"/>
  <c r="L1154" i="1"/>
  <c r="K1154" i="1"/>
  <c r="J1154" i="1"/>
  <c r="I1154" i="1"/>
  <c r="C1154" i="1"/>
  <c r="H1154" i="1" s="1"/>
  <c r="L1153" i="1"/>
  <c r="K1153" i="1"/>
  <c r="J1153" i="1"/>
  <c r="I1153" i="1"/>
  <c r="C1153" i="1"/>
  <c r="H1153" i="1" s="1"/>
  <c r="L1152" i="1"/>
  <c r="K1152" i="1"/>
  <c r="J1152" i="1"/>
  <c r="I1152" i="1"/>
  <c r="C1152" i="1"/>
  <c r="H1152" i="1" s="1"/>
  <c r="L1151" i="1"/>
  <c r="K1151" i="1"/>
  <c r="J1151" i="1"/>
  <c r="I1151" i="1"/>
  <c r="C1151" i="1"/>
  <c r="H1151" i="1" s="1"/>
  <c r="L1150" i="1"/>
  <c r="K1150" i="1"/>
  <c r="J1150" i="1"/>
  <c r="I1150" i="1"/>
  <c r="C1150" i="1"/>
  <c r="H1150" i="1" s="1"/>
  <c r="L1149" i="1"/>
  <c r="K1149" i="1"/>
  <c r="J1149" i="1"/>
  <c r="I1149" i="1"/>
  <c r="C1149" i="1"/>
  <c r="H1149" i="1" s="1"/>
  <c r="L1148" i="1"/>
  <c r="K1148" i="1"/>
  <c r="J1148" i="1"/>
  <c r="I1148" i="1"/>
  <c r="C1148" i="1"/>
  <c r="H1148" i="1" s="1"/>
  <c r="L1147" i="1"/>
  <c r="K1147" i="1"/>
  <c r="J1147" i="1"/>
  <c r="I1147" i="1"/>
  <c r="C1147" i="1"/>
  <c r="H1147" i="1" s="1"/>
  <c r="L1146" i="1"/>
  <c r="K1146" i="1"/>
  <c r="J1146" i="1"/>
  <c r="I1146" i="1"/>
  <c r="C1146" i="1"/>
  <c r="H1146" i="1" s="1"/>
  <c r="L1145" i="1"/>
  <c r="K1145" i="1"/>
  <c r="J1145" i="1"/>
  <c r="I1145" i="1"/>
  <c r="C1145" i="1"/>
  <c r="H1145" i="1" s="1"/>
  <c r="L1144" i="1"/>
  <c r="K1144" i="1"/>
  <c r="J1144" i="1"/>
  <c r="I1144" i="1"/>
  <c r="C1144" i="1"/>
  <c r="H1144" i="1" s="1"/>
  <c r="L1143" i="1"/>
  <c r="K1143" i="1"/>
  <c r="J1143" i="1"/>
  <c r="I1143" i="1"/>
  <c r="C1143" i="1"/>
  <c r="H1143" i="1" s="1"/>
  <c r="L1142" i="1"/>
  <c r="K1142" i="1"/>
  <c r="J1142" i="1"/>
  <c r="I1142" i="1"/>
  <c r="C1142" i="1"/>
  <c r="H1142" i="1" s="1"/>
  <c r="L1141" i="1"/>
  <c r="K1141" i="1"/>
  <c r="J1141" i="1"/>
  <c r="I1141" i="1"/>
  <c r="C1141" i="1"/>
  <c r="H1141" i="1" s="1"/>
  <c r="L1140" i="1"/>
  <c r="K1140" i="1"/>
  <c r="J1140" i="1"/>
  <c r="I1140" i="1"/>
  <c r="C1140" i="1"/>
  <c r="H1140" i="1" s="1"/>
  <c r="L1139" i="1"/>
  <c r="K1139" i="1"/>
  <c r="J1139" i="1"/>
  <c r="I1139" i="1"/>
  <c r="C1139" i="1"/>
  <c r="H1139" i="1" s="1"/>
  <c r="L1138" i="1"/>
  <c r="K1138" i="1"/>
  <c r="J1138" i="1"/>
  <c r="I1138" i="1"/>
  <c r="C1138" i="1"/>
  <c r="H1138" i="1" s="1"/>
  <c r="L1137" i="1"/>
  <c r="K1137" i="1"/>
  <c r="J1137" i="1"/>
  <c r="I1137" i="1"/>
  <c r="C1137" i="1"/>
  <c r="H1137" i="1" s="1"/>
  <c r="L1136" i="1"/>
  <c r="K1136" i="1"/>
  <c r="J1136" i="1"/>
  <c r="I1136" i="1"/>
  <c r="C1136" i="1"/>
  <c r="H1136" i="1" s="1"/>
  <c r="L1135" i="1"/>
  <c r="K1135" i="1"/>
  <c r="J1135" i="1"/>
  <c r="I1135" i="1"/>
  <c r="C1135" i="1"/>
  <c r="H1135" i="1" s="1"/>
  <c r="L1134" i="1"/>
  <c r="K1134" i="1"/>
  <c r="J1134" i="1"/>
  <c r="I1134" i="1"/>
  <c r="C1134" i="1"/>
  <c r="H1134" i="1" s="1"/>
  <c r="L1133" i="1"/>
  <c r="K1133" i="1"/>
  <c r="J1133" i="1"/>
  <c r="I1133" i="1"/>
  <c r="C1133" i="1"/>
  <c r="H1133" i="1" s="1"/>
  <c r="L1132" i="1"/>
  <c r="K1132" i="1"/>
  <c r="J1132" i="1"/>
  <c r="I1132" i="1"/>
  <c r="C1132" i="1"/>
  <c r="H1132" i="1" s="1"/>
  <c r="L1131" i="1"/>
  <c r="K1131" i="1"/>
  <c r="J1131" i="1"/>
  <c r="I1131" i="1"/>
  <c r="C1131" i="1"/>
  <c r="H1131" i="1" s="1"/>
  <c r="L1130" i="1"/>
  <c r="K1130" i="1"/>
  <c r="J1130" i="1"/>
  <c r="I1130" i="1"/>
  <c r="C1130" i="1"/>
  <c r="H1130" i="1" s="1"/>
  <c r="L1129" i="1"/>
  <c r="K1129" i="1"/>
  <c r="J1129" i="1"/>
  <c r="I1129" i="1"/>
  <c r="C1129" i="1"/>
  <c r="H1129" i="1" s="1"/>
  <c r="L1128" i="1"/>
  <c r="K1128" i="1"/>
  <c r="J1128" i="1"/>
  <c r="I1128" i="1"/>
  <c r="C1128" i="1"/>
  <c r="H1128" i="1" s="1"/>
  <c r="L1127" i="1"/>
  <c r="K1127" i="1"/>
  <c r="J1127" i="1"/>
  <c r="I1127" i="1"/>
  <c r="C1127" i="1"/>
  <c r="H1127" i="1" s="1"/>
  <c r="L1126" i="1"/>
  <c r="K1126" i="1"/>
  <c r="J1126" i="1"/>
  <c r="I1126" i="1"/>
  <c r="C1126" i="1"/>
  <c r="H1126" i="1" s="1"/>
  <c r="L1125" i="1"/>
  <c r="K1125" i="1"/>
  <c r="J1125" i="1"/>
  <c r="I1125" i="1"/>
  <c r="C1125" i="1"/>
  <c r="H1125" i="1" s="1"/>
  <c r="L1124" i="1"/>
  <c r="K1124" i="1"/>
  <c r="J1124" i="1"/>
  <c r="I1124" i="1"/>
  <c r="C1124" i="1"/>
  <c r="H1124" i="1" s="1"/>
  <c r="L1123" i="1"/>
  <c r="K1123" i="1"/>
  <c r="J1123" i="1"/>
  <c r="I1123" i="1"/>
  <c r="C1123" i="1"/>
  <c r="H1123" i="1" s="1"/>
  <c r="L1122" i="1"/>
  <c r="K1122" i="1"/>
  <c r="J1122" i="1"/>
  <c r="I1122" i="1"/>
  <c r="C1122" i="1"/>
  <c r="H1122" i="1" s="1"/>
  <c r="L1121" i="1"/>
  <c r="K1121" i="1"/>
  <c r="J1121" i="1"/>
  <c r="I1121" i="1"/>
  <c r="C1121" i="1"/>
  <c r="H1121" i="1" s="1"/>
  <c r="L1120" i="1"/>
  <c r="K1120" i="1"/>
  <c r="J1120" i="1"/>
  <c r="I1120" i="1"/>
  <c r="C1120" i="1"/>
  <c r="H1120" i="1" s="1"/>
  <c r="L1119" i="1"/>
  <c r="K1119" i="1"/>
  <c r="J1119" i="1"/>
  <c r="I1119" i="1"/>
  <c r="C1119" i="1"/>
  <c r="H1119" i="1" s="1"/>
  <c r="L1118" i="1"/>
  <c r="K1118" i="1"/>
  <c r="J1118" i="1"/>
  <c r="I1118" i="1"/>
  <c r="C1118" i="1"/>
  <c r="H1118" i="1" s="1"/>
  <c r="L1117" i="1"/>
  <c r="K1117" i="1"/>
  <c r="J1117" i="1"/>
  <c r="I1117" i="1"/>
  <c r="C1117" i="1"/>
  <c r="H1117" i="1" s="1"/>
  <c r="L1116" i="1"/>
  <c r="K1116" i="1"/>
  <c r="J1116" i="1"/>
  <c r="I1116" i="1"/>
  <c r="C1116" i="1"/>
  <c r="H1116" i="1" s="1"/>
  <c r="L1115" i="1"/>
  <c r="K1115" i="1"/>
  <c r="J1115" i="1"/>
  <c r="I1115" i="1"/>
  <c r="C1115" i="1"/>
  <c r="H1115" i="1" s="1"/>
  <c r="L1114" i="1"/>
  <c r="K1114" i="1"/>
  <c r="J1114" i="1"/>
  <c r="I1114" i="1"/>
  <c r="C1114" i="1"/>
  <c r="H1114" i="1" s="1"/>
  <c r="L1113" i="1"/>
  <c r="K1113" i="1"/>
  <c r="J1113" i="1"/>
  <c r="I1113" i="1"/>
  <c r="C1113" i="1"/>
  <c r="H1113" i="1" s="1"/>
  <c r="L1112" i="1"/>
  <c r="K1112" i="1"/>
  <c r="J1112" i="1"/>
  <c r="I1112" i="1"/>
  <c r="C1112" i="1"/>
  <c r="H1112" i="1" s="1"/>
  <c r="L1111" i="1"/>
  <c r="K1111" i="1"/>
  <c r="J1111" i="1"/>
  <c r="I1111" i="1"/>
  <c r="C1111" i="1"/>
  <c r="H1111" i="1" s="1"/>
  <c r="L1110" i="1"/>
  <c r="K1110" i="1"/>
  <c r="J1110" i="1"/>
  <c r="I1110" i="1"/>
  <c r="C1110" i="1"/>
  <c r="H1110" i="1" s="1"/>
  <c r="L1109" i="1"/>
  <c r="K1109" i="1"/>
  <c r="J1109" i="1"/>
  <c r="I1109" i="1"/>
  <c r="C1109" i="1"/>
  <c r="H1109" i="1" s="1"/>
  <c r="L1108" i="1"/>
  <c r="K1108" i="1"/>
  <c r="J1108" i="1"/>
  <c r="I1108" i="1"/>
  <c r="C1108" i="1"/>
  <c r="H1108" i="1" s="1"/>
  <c r="L1107" i="1"/>
  <c r="K1107" i="1"/>
  <c r="J1107" i="1"/>
  <c r="I1107" i="1"/>
  <c r="C1107" i="1"/>
  <c r="H1107" i="1" s="1"/>
  <c r="L1106" i="1"/>
  <c r="K1106" i="1"/>
  <c r="J1106" i="1"/>
  <c r="I1106" i="1"/>
  <c r="C1106" i="1"/>
  <c r="H1106" i="1" s="1"/>
  <c r="L1105" i="1"/>
  <c r="K1105" i="1"/>
  <c r="J1105" i="1"/>
  <c r="I1105" i="1"/>
  <c r="C1105" i="1"/>
  <c r="H1105" i="1" s="1"/>
  <c r="L1104" i="1"/>
  <c r="K1104" i="1"/>
  <c r="J1104" i="1"/>
  <c r="I1104" i="1"/>
  <c r="C1104" i="1"/>
  <c r="H1104" i="1" s="1"/>
  <c r="L1103" i="1"/>
  <c r="K1103" i="1"/>
  <c r="J1103" i="1"/>
  <c r="I1103" i="1"/>
  <c r="C1103" i="1"/>
  <c r="H1103" i="1" s="1"/>
  <c r="L1102" i="1"/>
  <c r="K1102" i="1"/>
  <c r="J1102" i="1"/>
  <c r="I1102" i="1"/>
  <c r="C1102" i="1"/>
  <c r="H1102" i="1" s="1"/>
  <c r="L1101" i="1"/>
  <c r="K1101" i="1"/>
  <c r="J1101" i="1"/>
  <c r="I1101" i="1"/>
  <c r="C1101" i="1"/>
  <c r="H1101" i="1" s="1"/>
  <c r="L1100" i="1"/>
  <c r="K1100" i="1"/>
  <c r="J1100" i="1"/>
  <c r="I1100" i="1"/>
  <c r="C1100" i="1"/>
  <c r="H1100" i="1" s="1"/>
  <c r="L1099" i="1"/>
  <c r="K1099" i="1"/>
  <c r="J1099" i="1"/>
  <c r="I1099" i="1"/>
  <c r="C1099" i="1"/>
  <c r="H1099" i="1" s="1"/>
  <c r="L1098" i="1"/>
  <c r="K1098" i="1"/>
  <c r="J1098" i="1"/>
  <c r="I1098" i="1"/>
  <c r="C1098" i="1"/>
  <c r="H1098" i="1" s="1"/>
  <c r="L1097" i="1"/>
  <c r="K1097" i="1"/>
  <c r="J1097" i="1"/>
  <c r="I1097" i="1"/>
  <c r="C1097" i="1"/>
  <c r="H1097" i="1" s="1"/>
  <c r="L1096" i="1"/>
  <c r="K1096" i="1"/>
  <c r="J1096" i="1"/>
  <c r="I1096" i="1"/>
  <c r="C1096" i="1"/>
  <c r="H1096" i="1" s="1"/>
  <c r="L1095" i="1"/>
  <c r="K1095" i="1"/>
  <c r="J1095" i="1"/>
  <c r="I1095" i="1"/>
  <c r="C1095" i="1"/>
  <c r="H1095" i="1" s="1"/>
  <c r="L1094" i="1"/>
  <c r="K1094" i="1"/>
  <c r="J1094" i="1"/>
  <c r="I1094" i="1"/>
  <c r="C1094" i="1"/>
  <c r="H1094" i="1" s="1"/>
  <c r="L1093" i="1"/>
  <c r="K1093" i="1"/>
  <c r="J1093" i="1"/>
  <c r="I1093" i="1"/>
  <c r="C1093" i="1"/>
  <c r="H1093" i="1" s="1"/>
  <c r="L1092" i="1"/>
  <c r="K1092" i="1"/>
  <c r="J1092" i="1"/>
  <c r="I1092" i="1"/>
  <c r="C1092" i="1"/>
  <c r="H1092" i="1" s="1"/>
  <c r="L1091" i="1"/>
  <c r="K1091" i="1"/>
  <c r="J1091" i="1"/>
  <c r="I1091" i="1"/>
  <c r="C1091" i="1"/>
  <c r="H1091" i="1" s="1"/>
  <c r="L1090" i="1"/>
  <c r="K1090" i="1"/>
  <c r="J1090" i="1"/>
  <c r="I1090" i="1"/>
  <c r="C1090" i="1"/>
  <c r="H1090" i="1" s="1"/>
  <c r="L1089" i="1"/>
  <c r="K1089" i="1"/>
  <c r="J1089" i="1"/>
  <c r="I1089" i="1"/>
  <c r="C1089" i="1"/>
  <c r="H1089" i="1" s="1"/>
  <c r="L1088" i="1"/>
  <c r="K1088" i="1"/>
  <c r="J1088" i="1"/>
  <c r="I1088" i="1"/>
  <c r="C1088" i="1"/>
  <c r="H1088" i="1" s="1"/>
  <c r="L1087" i="1"/>
  <c r="K1087" i="1"/>
  <c r="J1087" i="1"/>
  <c r="I1087" i="1"/>
  <c r="C1087" i="1"/>
  <c r="H1087" i="1" s="1"/>
  <c r="L1086" i="1"/>
  <c r="K1086" i="1"/>
  <c r="J1086" i="1"/>
  <c r="I1086" i="1"/>
  <c r="C1086" i="1"/>
  <c r="H1086" i="1" s="1"/>
  <c r="L1085" i="1"/>
  <c r="K1085" i="1"/>
  <c r="J1085" i="1"/>
  <c r="I1085" i="1"/>
  <c r="C1085" i="1"/>
  <c r="H1085" i="1" s="1"/>
  <c r="L1084" i="1"/>
  <c r="K1084" i="1"/>
  <c r="J1084" i="1"/>
  <c r="I1084" i="1"/>
  <c r="C1084" i="1"/>
  <c r="H1084" i="1" s="1"/>
  <c r="L1083" i="1"/>
  <c r="K1083" i="1"/>
  <c r="J1083" i="1"/>
  <c r="I1083" i="1"/>
  <c r="C1083" i="1"/>
  <c r="H1083" i="1" s="1"/>
  <c r="L1082" i="1"/>
  <c r="K1082" i="1"/>
  <c r="J1082" i="1"/>
  <c r="I1082" i="1"/>
  <c r="C1082" i="1"/>
  <c r="H1082" i="1" s="1"/>
  <c r="L1081" i="1"/>
  <c r="K1081" i="1"/>
  <c r="J1081" i="1"/>
  <c r="I1081" i="1"/>
  <c r="C1081" i="1"/>
  <c r="H1081" i="1" s="1"/>
  <c r="L1080" i="1"/>
  <c r="K1080" i="1"/>
  <c r="J1080" i="1"/>
  <c r="I1080" i="1"/>
  <c r="C1080" i="1"/>
  <c r="H1080" i="1" s="1"/>
  <c r="L1079" i="1"/>
  <c r="K1079" i="1"/>
  <c r="J1079" i="1"/>
  <c r="I1079" i="1"/>
  <c r="C1079" i="1"/>
  <c r="H1079" i="1" s="1"/>
  <c r="L1078" i="1"/>
  <c r="K1078" i="1"/>
  <c r="J1078" i="1"/>
  <c r="I1078" i="1"/>
  <c r="C1078" i="1"/>
  <c r="H1078" i="1" s="1"/>
  <c r="L1077" i="1"/>
  <c r="K1077" i="1"/>
  <c r="J1077" i="1"/>
  <c r="I1077" i="1"/>
  <c r="C1077" i="1"/>
  <c r="H1077" i="1" s="1"/>
  <c r="L1076" i="1"/>
  <c r="K1076" i="1"/>
  <c r="J1076" i="1"/>
  <c r="I1076" i="1"/>
  <c r="C1076" i="1"/>
  <c r="H1076" i="1" s="1"/>
  <c r="L1075" i="1"/>
  <c r="K1075" i="1"/>
  <c r="J1075" i="1"/>
  <c r="I1075" i="1"/>
  <c r="C1075" i="1"/>
  <c r="H1075" i="1" s="1"/>
  <c r="L1074" i="1"/>
  <c r="K1074" i="1"/>
  <c r="J1074" i="1"/>
  <c r="I1074" i="1"/>
  <c r="C1074" i="1"/>
  <c r="H1074" i="1" s="1"/>
  <c r="L1073" i="1"/>
  <c r="K1073" i="1"/>
  <c r="J1073" i="1"/>
  <c r="I1073" i="1"/>
  <c r="C1073" i="1"/>
  <c r="H1073" i="1" s="1"/>
  <c r="L1072" i="1"/>
  <c r="K1072" i="1"/>
  <c r="J1072" i="1"/>
  <c r="I1072" i="1"/>
  <c r="C1072" i="1"/>
  <c r="H1072" i="1" s="1"/>
  <c r="L1071" i="1"/>
  <c r="K1071" i="1"/>
  <c r="J1071" i="1"/>
  <c r="I1071" i="1"/>
  <c r="C1071" i="1"/>
  <c r="H1071" i="1" s="1"/>
  <c r="L1070" i="1"/>
  <c r="K1070" i="1"/>
  <c r="J1070" i="1"/>
  <c r="I1070" i="1"/>
  <c r="C1070" i="1"/>
  <c r="H1070" i="1" s="1"/>
  <c r="L1069" i="1"/>
  <c r="K1069" i="1"/>
  <c r="J1069" i="1"/>
  <c r="I1069" i="1"/>
  <c r="C1069" i="1"/>
  <c r="H1069" i="1" s="1"/>
  <c r="L1068" i="1"/>
  <c r="K1068" i="1"/>
  <c r="J1068" i="1"/>
  <c r="I1068" i="1"/>
  <c r="C1068" i="1"/>
  <c r="H1068" i="1" s="1"/>
  <c r="L1067" i="1"/>
  <c r="K1067" i="1"/>
  <c r="J1067" i="1"/>
  <c r="I1067" i="1"/>
  <c r="C1067" i="1"/>
  <c r="H1067" i="1" s="1"/>
  <c r="L1066" i="1"/>
  <c r="K1066" i="1"/>
  <c r="J1066" i="1"/>
  <c r="I1066" i="1"/>
  <c r="C1066" i="1"/>
  <c r="H1066" i="1" s="1"/>
  <c r="L1065" i="1"/>
  <c r="K1065" i="1"/>
  <c r="J1065" i="1"/>
  <c r="I1065" i="1"/>
  <c r="C1065" i="1"/>
  <c r="H1065" i="1" s="1"/>
  <c r="L1064" i="1"/>
  <c r="K1064" i="1"/>
  <c r="J1064" i="1"/>
  <c r="I1064" i="1"/>
  <c r="C1064" i="1"/>
  <c r="H1064" i="1" s="1"/>
  <c r="L1063" i="1"/>
  <c r="K1063" i="1"/>
  <c r="J1063" i="1"/>
  <c r="I1063" i="1"/>
  <c r="C1063" i="1"/>
  <c r="H1063" i="1" s="1"/>
  <c r="L1062" i="1"/>
  <c r="K1062" i="1"/>
  <c r="J1062" i="1"/>
  <c r="I1062" i="1"/>
  <c r="C1062" i="1"/>
  <c r="H1062" i="1" s="1"/>
  <c r="L1061" i="1"/>
  <c r="K1061" i="1"/>
  <c r="J1061" i="1"/>
  <c r="I1061" i="1"/>
  <c r="C1061" i="1"/>
  <c r="H1061" i="1" s="1"/>
  <c r="L1060" i="1"/>
  <c r="K1060" i="1"/>
  <c r="J1060" i="1"/>
  <c r="I1060" i="1"/>
  <c r="C1060" i="1"/>
  <c r="H1060" i="1" s="1"/>
  <c r="L1059" i="1"/>
  <c r="K1059" i="1"/>
  <c r="J1059" i="1"/>
  <c r="I1059" i="1"/>
  <c r="C1059" i="1"/>
  <c r="H1059" i="1" s="1"/>
  <c r="L1058" i="1"/>
  <c r="K1058" i="1"/>
  <c r="J1058" i="1"/>
  <c r="I1058" i="1"/>
  <c r="C1058" i="1"/>
  <c r="H1058" i="1" s="1"/>
  <c r="L1057" i="1"/>
  <c r="K1057" i="1"/>
  <c r="J1057" i="1"/>
  <c r="I1057" i="1"/>
  <c r="C1057" i="1"/>
  <c r="H1057" i="1" s="1"/>
  <c r="L1056" i="1"/>
  <c r="K1056" i="1"/>
  <c r="J1056" i="1"/>
  <c r="I1056" i="1"/>
  <c r="C1056" i="1"/>
  <c r="H1056" i="1" s="1"/>
  <c r="L1055" i="1"/>
  <c r="K1055" i="1"/>
  <c r="J1055" i="1"/>
  <c r="I1055" i="1"/>
  <c r="C1055" i="1"/>
  <c r="H1055" i="1" s="1"/>
  <c r="L1054" i="1"/>
  <c r="K1054" i="1"/>
  <c r="J1054" i="1"/>
  <c r="I1054" i="1"/>
  <c r="C1054" i="1"/>
  <c r="H1054" i="1" s="1"/>
  <c r="L1053" i="1"/>
  <c r="K1053" i="1"/>
  <c r="J1053" i="1"/>
  <c r="I1053" i="1"/>
  <c r="C1053" i="1"/>
  <c r="H1053" i="1" s="1"/>
  <c r="L1052" i="1"/>
  <c r="K1052" i="1"/>
  <c r="J1052" i="1"/>
  <c r="I1052" i="1"/>
  <c r="C1052" i="1"/>
  <c r="H1052" i="1" s="1"/>
  <c r="L1051" i="1"/>
  <c r="K1051" i="1"/>
  <c r="J1051" i="1"/>
  <c r="I1051" i="1"/>
  <c r="C1051" i="1"/>
  <c r="H1051" i="1" s="1"/>
  <c r="L1050" i="1"/>
  <c r="K1050" i="1"/>
  <c r="J1050" i="1"/>
  <c r="I1050" i="1"/>
  <c r="C1050" i="1"/>
  <c r="H1050" i="1" s="1"/>
  <c r="L1049" i="1"/>
  <c r="K1049" i="1"/>
  <c r="J1049" i="1"/>
  <c r="I1049" i="1"/>
  <c r="C1049" i="1"/>
  <c r="H1049" i="1" s="1"/>
  <c r="L1048" i="1"/>
  <c r="K1048" i="1"/>
  <c r="J1048" i="1"/>
  <c r="I1048" i="1"/>
  <c r="C1048" i="1"/>
  <c r="H1048" i="1" s="1"/>
  <c r="L1047" i="1"/>
  <c r="K1047" i="1"/>
  <c r="J1047" i="1"/>
  <c r="I1047" i="1"/>
  <c r="C1047" i="1"/>
  <c r="H1047" i="1" s="1"/>
  <c r="L1046" i="1"/>
  <c r="K1046" i="1"/>
  <c r="J1046" i="1"/>
  <c r="I1046" i="1"/>
  <c r="C1046" i="1"/>
  <c r="H1046" i="1" s="1"/>
  <c r="L1045" i="1"/>
  <c r="K1045" i="1"/>
  <c r="J1045" i="1"/>
  <c r="I1045" i="1"/>
  <c r="C1045" i="1"/>
  <c r="H1045" i="1" s="1"/>
  <c r="L1044" i="1"/>
  <c r="K1044" i="1"/>
  <c r="J1044" i="1"/>
  <c r="I1044" i="1"/>
  <c r="C1044" i="1"/>
  <c r="H1044" i="1" s="1"/>
  <c r="L1043" i="1"/>
  <c r="K1043" i="1"/>
  <c r="J1043" i="1"/>
  <c r="I1043" i="1"/>
  <c r="C1043" i="1"/>
  <c r="H1043" i="1" s="1"/>
  <c r="L1042" i="1"/>
  <c r="K1042" i="1"/>
  <c r="J1042" i="1"/>
  <c r="I1042" i="1"/>
  <c r="C1042" i="1"/>
  <c r="H1042" i="1" s="1"/>
  <c r="L1041" i="1"/>
  <c r="K1041" i="1"/>
  <c r="J1041" i="1"/>
  <c r="I1041" i="1"/>
  <c r="C1041" i="1"/>
  <c r="H1041" i="1" s="1"/>
  <c r="L1040" i="1"/>
  <c r="K1040" i="1"/>
  <c r="J1040" i="1"/>
  <c r="I1040" i="1"/>
  <c r="C1040" i="1"/>
  <c r="H1040" i="1" s="1"/>
  <c r="L1039" i="1"/>
  <c r="K1039" i="1"/>
  <c r="J1039" i="1"/>
  <c r="I1039" i="1"/>
  <c r="C1039" i="1"/>
  <c r="H1039" i="1" s="1"/>
  <c r="L1038" i="1"/>
  <c r="K1038" i="1"/>
  <c r="J1038" i="1"/>
  <c r="I1038" i="1"/>
  <c r="C1038" i="1"/>
  <c r="H1038" i="1" s="1"/>
  <c r="L1037" i="1"/>
  <c r="K1037" i="1"/>
  <c r="J1037" i="1"/>
  <c r="I1037" i="1"/>
  <c r="C1037" i="1"/>
  <c r="H1037" i="1" s="1"/>
  <c r="L1036" i="1"/>
  <c r="K1036" i="1"/>
  <c r="J1036" i="1"/>
  <c r="I1036" i="1"/>
  <c r="C1036" i="1"/>
  <c r="H1036" i="1" s="1"/>
  <c r="L1035" i="1"/>
  <c r="K1035" i="1"/>
  <c r="J1035" i="1"/>
  <c r="I1035" i="1"/>
  <c r="C1035" i="1"/>
  <c r="H1035" i="1" s="1"/>
  <c r="L1034" i="1"/>
  <c r="K1034" i="1"/>
  <c r="J1034" i="1"/>
  <c r="I1034" i="1"/>
  <c r="C1034" i="1"/>
  <c r="H1034" i="1" s="1"/>
  <c r="L1033" i="1"/>
  <c r="K1033" i="1"/>
  <c r="J1033" i="1"/>
  <c r="I1033" i="1"/>
  <c r="C1033" i="1"/>
  <c r="H1033" i="1" s="1"/>
  <c r="L1032" i="1"/>
  <c r="K1032" i="1"/>
  <c r="J1032" i="1"/>
  <c r="I1032" i="1"/>
  <c r="C1032" i="1"/>
  <c r="H1032" i="1" s="1"/>
  <c r="L1031" i="1"/>
  <c r="K1031" i="1"/>
  <c r="J1031" i="1"/>
  <c r="I1031" i="1"/>
  <c r="C1031" i="1"/>
  <c r="H1031" i="1" s="1"/>
  <c r="L1030" i="1"/>
  <c r="K1030" i="1"/>
  <c r="J1030" i="1"/>
  <c r="I1030" i="1"/>
  <c r="C1030" i="1"/>
  <c r="H1030" i="1" s="1"/>
  <c r="L1029" i="1"/>
  <c r="K1029" i="1"/>
  <c r="J1029" i="1"/>
  <c r="I1029" i="1"/>
  <c r="C1029" i="1"/>
  <c r="H1029" i="1" s="1"/>
  <c r="L1028" i="1"/>
  <c r="K1028" i="1"/>
  <c r="J1028" i="1"/>
  <c r="I1028" i="1"/>
  <c r="C1028" i="1"/>
  <c r="H1028" i="1" s="1"/>
  <c r="L1027" i="1"/>
  <c r="K1027" i="1"/>
  <c r="J1027" i="1"/>
  <c r="I1027" i="1"/>
  <c r="C1027" i="1"/>
  <c r="H1027" i="1" s="1"/>
  <c r="L1026" i="1"/>
  <c r="K1026" i="1"/>
  <c r="J1026" i="1"/>
  <c r="I1026" i="1"/>
  <c r="C1026" i="1"/>
  <c r="H1026" i="1" s="1"/>
  <c r="L1025" i="1"/>
  <c r="K1025" i="1"/>
  <c r="J1025" i="1"/>
  <c r="I1025" i="1"/>
  <c r="C1025" i="1"/>
  <c r="H1025" i="1" s="1"/>
  <c r="L1024" i="1"/>
  <c r="K1024" i="1"/>
  <c r="J1024" i="1"/>
  <c r="I1024" i="1"/>
  <c r="C1024" i="1"/>
  <c r="H1024" i="1" s="1"/>
  <c r="L1023" i="1"/>
  <c r="K1023" i="1"/>
  <c r="J1023" i="1"/>
  <c r="I1023" i="1"/>
  <c r="C1023" i="1"/>
  <c r="H1023" i="1" s="1"/>
  <c r="L1022" i="1"/>
  <c r="K1022" i="1"/>
  <c r="J1022" i="1"/>
  <c r="I1022" i="1"/>
  <c r="C1022" i="1"/>
  <c r="H1022" i="1" s="1"/>
  <c r="L1021" i="1"/>
  <c r="K1021" i="1"/>
  <c r="J1021" i="1"/>
  <c r="I1021" i="1"/>
  <c r="C1021" i="1"/>
  <c r="H1021" i="1" s="1"/>
  <c r="L1020" i="1"/>
  <c r="K1020" i="1"/>
  <c r="J1020" i="1"/>
  <c r="I1020" i="1"/>
  <c r="C1020" i="1"/>
  <c r="H1020" i="1" s="1"/>
  <c r="L1019" i="1"/>
  <c r="K1019" i="1"/>
  <c r="J1019" i="1"/>
  <c r="I1019" i="1"/>
  <c r="C1019" i="1"/>
  <c r="H1019" i="1" s="1"/>
  <c r="L1018" i="1"/>
  <c r="K1018" i="1"/>
  <c r="J1018" i="1"/>
  <c r="I1018" i="1"/>
  <c r="C1018" i="1"/>
  <c r="H1018" i="1" s="1"/>
  <c r="L1017" i="1"/>
  <c r="K1017" i="1"/>
  <c r="J1017" i="1"/>
  <c r="I1017" i="1"/>
  <c r="C1017" i="1"/>
  <c r="H1017" i="1" s="1"/>
  <c r="L1016" i="1"/>
  <c r="K1016" i="1"/>
  <c r="J1016" i="1"/>
  <c r="I1016" i="1"/>
  <c r="C1016" i="1"/>
  <c r="H1016" i="1" s="1"/>
  <c r="L1015" i="1"/>
  <c r="K1015" i="1"/>
  <c r="J1015" i="1"/>
  <c r="I1015" i="1"/>
  <c r="C1015" i="1"/>
  <c r="H1015" i="1" s="1"/>
  <c r="L1014" i="1"/>
  <c r="K1014" i="1"/>
  <c r="J1014" i="1"/>
  <c r="I1014" i="1"/>
  <c r="C1014" i="1"/>
  <c r="H1014" i="1" s="1"/>
  <c r="L1013" i="1"/>
  <c r="K1013" i="1"/>
  <c r="J1013" i="1"/>
  <c r="I1013" i="1"/>
  <c r="C1013" i="1"/>
  <c r="H1013" i="1" s="1"/>
  <c r="L1012" i="1"/>
  <c r="K1012" i="1"/>
  <c r="J1012" i="1"/>
  <c r="I1012" i="1"/>
  <c r="C1012" i="1"/>
  <c r="H1012" i="1" s="1"/>
  <c r="L1011" i="1"/>
  <c r="K1011" i="1"/>
  <c r="J1011" i="1"/>
  <c r="I1011" i="1"/>
  <c r="C1011" i="1"/>
  <c r="H1011" i="1" s="1"/>
  <c r="L1010" i="1"/>
  <c r="K1010" i="1"/>
  <c r="J1010" i="1"/>
  <c r="I1010" i="1"/>
  <c r="C1010" i="1"/>
  <c r="H1010" i="1" s="1"/>
  <c r="L1009" i="1"/>
  <c r="K1009" i="1"/>
  <c r="J1009" i="1"/>
  <c r="I1009" i="1"/>
  <c r="C1009" i="1"/>
  <c r="H1009" i="1" s="1"/>
  <c r="L1008" i="1"/>
  <c r="K1008" i="1"/>
  <c r="J1008" i="1"/>
  <c r="I1008" i="1"/>
  <c r="C1008" i="1"/>
  <c r="H1008" i="1" s="1"/>
  <c r="L1007" i="1"/>
  <c r="K1007" i="1"/>
  <c r="J1007" i="1"/>
  <c r="I1007" i="1"/>
  <c r="C1007" i="1"/>
  <c r="H1007" i="1" s="1"/>
  <c r="L1006" i="1"/>
  <c r="K1006" i="1"/>
  <c r="J1006" i="1"/>
  <c r="I1006" i="1"/>
  <c r="C1006" i="1"/>
  <c r="H1006" i="1" s="1"/>
  <c r="L1005" i="1"/>
  <c r="K1005" i="1"/>
  <c r="J1005" i="1"/>
  <c r="I1005" i="1"/>
  <c r="C1005" i="1"/>
  <c r="H1005" i="1" s="1"/>
  <c r="L1004" i="1"/>
  <c r="K1004" i="1"/>
  <c r="J1004" i="1"/>
  <c r="I1004" i="1"/>
  <c r="C1004" i="1"/>
  <c r="H1004" i="1" s="1"/>
  <c r="L1003" i="1"/>
  <c r="K1003" i="1"/>
  <c r="J1003" i="1"/>
  <c r="I1003" i="1"/>
  <c r="C1003" i="1"/>
  <c r="H1003" i="1" s="1"/>
  <c r="L1002" i="1"/>
  <c r="K1002" i="1"/>
  <c r="J1002" i="1"/>
  <c r="I1002" i="1"/>
  <c r="C1002" i="1"/>
  <c r="H1002" i="1" s="1"/>
  <c r="L1001" i="1"/>
  <c r="K1001" i="1"/>
  <c r="J1001" i="1"/>
  <c r="I1001" i="1"/>
  <c r="C1001" i="1"/>
  <c r="H1001" i="1" s="1"/>
  <c r="L1000" i="1"/>
  <c r="K1000" i="1"/>
  <c r="J1000" i="1"/>
  <c r="I1000" i="1"/>
  <c r="C1000" i="1"/>
  <c r="H1000" i="1" s="1"/>
  <c r="L999" i="1"/>
  <c r="K999" i="1"/>
  <c r="J999" i="1"/>
  <c r="I999" i="1"/>
  <c r="C999" i="1"/>
  <c r="H999" i="1" s="1"/>
  <c r="L998" i="1"/>
  <c r="K998" i="1"/>
  <c r="J998" i="1"/>
  <c r="I998" i="1"/>
  <c r="C998" i="1"/>
  <c r="H998" i="1" s="1"/>
  <c r="L997" i="1"/>
  <c r="K997" i="1"/>
  <c r="J997" i="1"/>
  <c r="I997" i="1"/>
  <c r="C997" i="1"/>
  <c r="H997" i="1" s="1"/>
  <c r="L996" i="1"/>
  <c r="K996" i="1"/>
  <c r="J996" i="1"/>
  <c r="I996" i="1"/>
  <c r="C996" i="1"/>
  <c r="H996" i="1" s="1"/>
  <c r="L995" i="1"/>
  <c r="K995" i="1"/>
  <c r="J995" i="1"/>
  <c r="I995" i="1"/>
  <c r="C995" i="1"/>
  <c r="H995" i="1" s="1"/>
  <c r="L994" i="1"/>
  <c r="K994" i="1"/>
  <c r="J994" i="1"/>
  <c r="I994" i="1"/>
  <c r="C994" i="1"/>
  <c r="H994" i="1" s="1"/>
  <c r="L993" i="1"/>
  <c r="K993" i="1"/>
  <c r="J993" i="1"/>
  <c r="I993" i="1"/>
  <c r="C993" i="1"/>
  <c r="H993" i="1" s="1"/>
  <c r="L992" i="1"/>
  <c r="K992" i="1"/>
  <c r="J992" i="1"/>
  <c r="I992" i="1"/>
  <c r="C992" i="1"/>
  <c r="H992" i="1" s="1"/>
  <c r="L991" i="1"/>
  <c r="K991" i="1"/>
  <c r="J991" i="1"/>
  <c r="I991" i="1"/>
  <c r="C991" i="1"/>
  <c r="H991" i="1" s="1"/>
  <c r="L990" i="1"/>
  <c r="K990" i="1"/>
  <c r="J990" i="1"/>
  <c r="I990" i="1"/>
  <c r="C990" i="1"/>
  <c r="H990" i="1" s="1"/>
  <c r="L989" i="1"/>
  <c r="K989" i="1"/>
  <c r="J989" i="1"/>
  <c r="I989" i="1"/>
  <c r="C989" i="1"/>
  <c r="H989" i="1" s="1"/>
  <c r="L988" i="1"/>
  <c r="K988" i="1"/>
  <c r="J988" i="1"/>
  <c r="I988" i="1"/>
  <c r="C988" i="1"/>
  <c r="H988" i="1" s="1"/>
  <c r="L987" i="1"/>
  <c r="K987" i="1"/>
  <c r="J987" i="1"/>
  <c r="I987" i="1"/>
  <c r="C987" i="1"/>
  <c r="H987" i="1" s="1"/>
  <c r="L986" i="1"/>
  <c r="K986" i="1"/>
  <c r="J986" i="1"/>
  <c r="I986" i="1"/>
  <c r="C986" i="1"/>
  <c r="H986" i="1" s="1"/>
  <c r="L985" i="1"/>
  <c r="K985" i="1"/>
  <c r="J985" i="1"/>
  <c r="I985" i="1"/>
  <c r="C985" i="1"/>
  <c r="H985" i="1" s="1"/>
  <c r="L984" i="1"/>
  <c r="K984" i="1"/>
  <c r="J984" i="1"/>
  <c r="I984" i="1"/>
  <c r="C984" i="1"/>
  <c r="H984" i="1" s="1"/>
  <c r="L983" i="1"/>
  <c r="K983" i="1"/>
  <c r="J983" i="1"/>
  <c r="I983" i="1"/>
  <c r="C983" i="1"/>
  <c r="H983" i="1" s="1"/>
  <c r="L982" i="1"/>
  <c r="K982" i="1"/>
  <c r="J982" i="1"/>
  <c r="I982" i="1"/>
  <c r="C982" i="1"/>
  <c r="H982" i="1" s="1"/>
  <c r="L981" i="1"/>
  <c r="K981" i="1"/>
  <c r="J981" i="1"/>
  <c r="I981" i="1"/>
  <c r="C981" i="1"/>
  <c r="H981" i="1" s="1"/>
  <c r="L980" i="1"/>
  <c r="K980" i="1"/>
  <c r="J980" i="1"/>
  <c r="I980" i="1"/>
  <c r="C980" i="1"/>
  <c r="H980" i="1" s="1"/>
  <c r="L979" i="1"/>
  <c r="K979" i="1"/>
  <c r="J979" i="1"/>
  <c r="I979" i="1"/>
  <c r="C979" i="1"/>
  <c r="H979" i="1" s="1"/>
  <c r="L978" i="1"/>
  <c r="K978" i="1"/>
  <c r="J978" i="1"/>
  <c r="I978" i="1"/>
  <c r="C978" i="1"/>
  <c r="H978" i="1" s="1"/>
  <c r="L977" i="1"/>
  <c r="K977" i="1"/>
  <c r="J977" i="1"/>
  <c r="I977" i="1"/>
  <c r="C977" i="1"/>
  <c r="H977" i="1" s="1"/>
  <c r="L976" i="1"/>
  <c r="K976" i="1"/>
  <c r="J976" i="1"/>
  <c r="I976" i="1"/>
  <c r="C976" i="1"/>
  <c r="H976" i="1" s="1"/>
  <c r="L975" i="1"/>
  <c r="K975" i="1"/>
  <c r="J975" i="1"/>
  <c r="I975" i="1"/>
  <c r="C975" i="1"/>
  <c r="H975" i="1" s="1"/>
  <c r="L974" i="1"/>
  <c r="K974" i="1"/>
  <c r="J974" i="1"/>
  <c r="I974" i="1"/>
  <c r="C974" i="1"/>
  <c r="H974" i="1" s="1"/>
  <c r="L973" i="1"/>
  <c r="K973" i="1"/>
  <c r="J973" i="1"/>
  <c r="I973" i="1"/>
  <c r="C973" i="1"/>
  <c r="H973" i="1" s="1"/>
  <c r="L972" i="1"/>
  <c r="K972" i="1"/>
  <c r="J972" i="1"/>
  <c r="I972" i="1"/>
  <c r="C972" i="1"/>
  <c r="H972" i="1" s="1"/>
  <c r="L971" i="1"/>
  <c r="K971" i="1"/>
  <c r="J971" i="1"/>
  <c r="I971" i="1"/>
  <c r="C971" i="1"/>
  <c r="H971" i="1" s="1"/>
  <c r="L970" i="1"/>
  <c r="K970" i="1"/>
  <c r="J970" i="1"/>
  <c r="I970" i="1"/>
  <c r="C970" i="1"/>
  <c r="H970" i="1" s="1"/>
  <c r="L969" i="1"/>
  <c r="K969" i="1"/>
  <c r="J969" i="1"/>
  <c r="I969" i="1"/>
  <c r="C969" i="1"/>
  <c r="H969" i="1" s="1"/>
  <c r="L968" i="1"/>
  <c r="K968" i="1"/>
  <c r="J968" i="1"/>
  <c r="I968" i="1"/>
  <c r="C968" i="1"/>
  <c r="H968" i="1" s="1"/>
  <c r="L967" i="1"/>
  <c r="K967" i="1"/>
  <c r="J967" i="1"/>
  <c r="I967" i="1"/>
  <c r="C967" i="1"/>
  <c r="H967" i="1" s="1"/>
  <c r="L966" i="1"/>
  <c r="K966" i="1"/>
  <c r="J966" i="1"/>
  <c r="I966" i="1"/>
  <c r="C966" i="1"/>
  <c r="H966" i="1" s="1"/>
  <c r="L965" i="1"/>
  <c r="K965" i="1"/>
  <c r="J965" i="1"/>
  <c r="I965" i="1"/>
  <c r="C965" i="1"/>
  <c r="H965" i="1" s="1"/>
  <c r="L964" i="1"/>
  <c r="K964" i="1"/>
  <c r="J964" i="1"/>
  <c r="I964" i="1"/>
  <c r="C964" i="1"/>
  <c r="H964" i="1" s="1"/>
  <c r="L963" i="1"/>
  <c r="K963" i="1"/>
  <c r="J963" i="1"/>
  <c r="I963" i="1"/>
  <c r="C963" i="1"/>
  <c r="H963" i="1" s="1"/>
  <c r="L962" i="1"/>
  <c r="K962" i="1"/>
  <c r="J962" i="1"/>
  <c r="I962" i="1"/>
  <c r="C962" i="1"/>
  <c r="H962" i="1" s="1"/>
  <c r="L961" i="1"/>
  <c r="K961" i="1"/>
  <c r="J961" i="1"/>
  <c r="I961" i="1"/>
  <c r="C961" i="1"/>
  <c r="H961" i="1" s="1"/>
  <c r="L960" i="1"/>
  <c r="K960" i="1"/>
  <c r="J960" i="1"/>
  <c r="I960" i="1"/>
  <c r="C960" i="1"/>
  <c r="H960" i="1" s="1"/>
  <c r="L959" i="1"/>
  <c r="K959" i="1"/>
  <c r="J959" i="1"/>
  <c r="I959" i="1"/>
  <c r="C959" i="1"/>
  <c r="H959" i="1" s="1"/>
  <c r="L958" i="1"/>
  <c r="K958" i="1"/>
  <c r="J958" i="1"/>
  <c r="I958" i="1"/>
  <c r="C958" i="1"/>
  <c r="H958" i="1" s="1"/>
  <c r="L957" i="1"/>
  <c r="K957" i="1"/>
  <c r="J957" i="1"/>
  <c r="I957" i="1"/>
  <c r="C957" i="1"/>
  <c r="H957" i="1" s="1"/>
  <c r="L956" i="1"/>
  <c r="K956" i="1"/>
  <c r="J956" i="1"/>
  <c r="I956" i="1"/>
  <c r="C956" i="1"/>
  <c r="H956" i="1" s="1"/>
  <c r="L955" i="1"/>
  <c r="K955" i="1"/>
  <c r="J955" i="1"/>
  <c r="I955" i="1"/>
  <c r="C955" i="1"/>
  <c r="H955" i="1" s="1"/>
  <c r="L954" i="1"/>
  <c r="K954" i="1"/>
  <c r="J954" i="1"/>
  <c r="I954" i="1"/>
  <c r="C954" i="1"/>
  <c r="H954" i="1" s="1"/>
  <c r="L953" i="1"/>
  <c r="K953" i="1"/>
  <c r="J953" i="1"/>
  <c r="I953" i="1"/>
  <c r="C953" i="1"/>
  <c r="H953" i="1" s="1"/>
  <c r="L952" i="1"/>
  <c r="K952" i="1"/>
  <c r="J952" i="1"/>
  <c r="I952" i="1"/>
  <c r="C952" i="1"/>
  <c r="H952" i="1" s="1"/>
  <c r="L951" i="1"/>
  <c r="K951" i="1"/>
  <c r="J951" i="1"/>
  <c r="I951" i="1"/>
  <c r="C951" i="1"/>
  <c r="H951" i="1" s="1"/>
  <c r="L950" i="1"/>
  <c r="K950" i="1"/>
  <c r="J950" i="1"/>
  <c r="I950" i="1"/>
  <c r="C950" i="1"/>
  <c r="H950" i="1" s="1"/>
  <c r="L949" i="1"/>
  <c r="K949" i="1"/>
  <c r="J949" i="1"/>
  <c r="I949" i="1"/>
  <c r="C949" i="1"/>
  <c r="H949" i="1" s="1"/>
  <c r="L948" i="1"/>
  <c r="K948" i="1"/>
  <c r="J948" i="1"/>
  <c r="I948" i="1"/>
  <c r="C948" i="1"/>
  <c r="H948" i="1" s="1"/>
  <c r="L947" i="1"/>
  <c r="K947" i="1"/>
  <c r="J947" i="1"/>
  <c r="I947" i="1"/>
  <c r="C947" i="1"/>
  <c r="H947" i="1" s="1"/>
  <c r="L946" i="1"/>
  <c r="K946" i="1"/>
  <c r="J946" i="1"/>
  <c r="I946" i="1"/>
  <c r="C946" i="1"/>
  <c r="H946" i="1" s="1"/>
  <c r="L945" i="1"/>
  <c r="K945" i="1"/>
  <c r="J945" i="1"/>
  <c r="I945" i="1"/>
  <c r="C945" i="1"/>
  <c r="H945" i="1" s="1"/>
  <c r="L944" i="1"/>
  <c r="K944" i="1"/>
  <c r="J944" i="1"/>
  <c r="I944" i="1"/>
  <c r="C944" i="1"/>
  <c r="H944" i="1" s="1"/>
  <c r="L943" i="1"/>
  <c r="K943" i="1"/>
  <c r="J943" i="1"/>
  <c r="I943" i="1"/>
  <c r="C943" i="1"/>
  <c r="H943" i="1" s="1"/>
  <c r="L942" i="1"/>
  <c r="K942" i="1"/>
  <c r="J942" i="1"/>
  <c r="I942" i="1"/>
  <c r="C942" i="1"/>
  <c r="H942" i="1" s="1"/>
  <c r="L941" i="1"/>
  <c r="K941" i="1"/>
  <c r="J941" i="1"/>
  <c r="I941" i="1"/>
  <c r="C941" i="1"/>
  <c r="H941" i="1" s="1"/>
  <c r="L940" i="1"/>
  <c r="K940" i="1"/>
  <c r="J940" i="1"/>
  <c r="I940" i="1"/>
  <c r="C940" i="1"/>
  <c r="H940" i="1" s="1"/>
  <c r="L939" i="1"/>
  <c r="K939" i="1"/>
  <c r="J939" i="1"/>
  <c r="I939" i="1"/>
  <c r="C939" i="1"/>
  <c r="H939" i="1" s="1"/>
  <c r="L938" i="1"/>
  <c r="K938" i="1"/>
  <c r="J938" i="1"/>
  <c r="I938" i="1"/>
  <c r="C938" i="1"/>
  <c r="H938" i="1" s="1"/>
  <c r="L937" i="1"/>
  <c r="K937" i="1"/>
  <c r="J937" i="1"/>
  <c r="I937" i="1"/>
  <c r="C937" i="1"/>
  <c r="H937" i="1" s="1"/>
  <c r="L936" i="1"/>
  <c r="K936" i="1"/>
  <c r="J936" i="1"/>
  <c r="I936" i="1"/>
  <c r="C936" i="1"/>
  <c r="H936" i="1" s="1"/>
  <c r="L935" i="1"/>
  <c r="K935" i="1"/>
  <c r="J935" i="1"/>
  <c r="I935" i="1"/>
  <c r="C935" i="1"/>
  <c r="H935" i="1" s="1"/>
  <c r="L934" i="1"/>
  <c r="K934" i="1"/>
  <c r="J934" i="1"/>
  <c r="I934" i="1"/>
  <c r="C934" i="1"/>
  <c r="H934" i="1" s="1"/>
  <c r="L933" i="1"/>
  <c r="K933" i="1"/>
  <c r="J933" i="1"/>
  <c r="I933" i="1"/>
  <c r="C933" i="1"/>
  <c r="H933" i="1" s="1"/>
  <c r="L932" i="1"/>
  <c r="K932" i="1"/>
  <c r="J932" i="1"/>
  <c r="I932" i="1"/>
  <c r="C932" i="1"/>
  <c r="H932" i="1" s="1"/>
  <c r="L931" i="1"/>
  <c r="K931" i="1"/>
  <c r="J931" i="1"/>
  <c r="I931" i="1"/>
  <c r="C931" i="1"/>
  <c r="H931" i="1" s="1"/>
  <c r="L930" i="1"/>
  <c r="K930" i="1"/>
  <c r="J930" i="1"/>
  <c r="I930" i="1"/>
  <c r="C930" i="1"/>
  <c r="H930" i="1" s="1"/>
  <c r="L929" i="1"/>
  <c r="K929" i="1"/>
  <c r="J929" i="1"/>
  <c r="I929" i="1"/>
  <c r="C929" i="1"/>
  <c r="H929" i="1" s="1"/>
  <c r="L928" i="1"/>
  <c r="K928" i="1"/>
  <c r="J928" i="1"/>
  <c r="I928" i="1"/>
  <c r="C928" i="1"/>
  <c r="H928" i="1" s="1"/>
  <c r="L927" i="1"/>
  <c r="K927" i="1"/>
  <c r="J927" i="1"/>
  <c r="I927" i="1"/>
  <c r="C927" i="1"/>
  <c r="H927" i="1" s="1"/>
  <c r="L926" i="1"/>
  <c r="K926" i="1"/>
  <c r="J926" i="1"/>
  <c r="I926" i="1"/>
  <c r="C926" i="1"/>
  <c r="H926" i="1" s="1"/>
  <c r="L925" i="1"/>
  <c r="K925" i="1"/>
  <c r="J925" i="1"/>
  <c r="I925" i="1"/>
  <c r="C925" i="1"/>
  <c r="H925" i="1" s="1"/>
  <c r="L924" i="1"/>
  <c r="K924" i="1"/>
  <c r="J924" i="1"/>
  <c r="I924" i="1"/>
  <c r="C924" i="1"/>
  <c r="H924" i="1" s="1"/>
  <c r="L923" i="1"/>
  <c r="K923" i="1"/>
  <c r="J923" i="1"/>
  <c r="I923" i="1"/>
  <c r="C923" i="1"/>
  <c r="H923" i="1" s="1"/>
  <c r="L922" i="1"/>
  <c r="K922" i="1"/>
  <c r="J922" i="1"/>
  <c r="I922" i="1"/>
  <c r="C922" i="1"/>
  <c r="H922" i="1" s="1"/>
  <c r="L921" i="1"/>
  <c r="K921" i="1"/>
  <c r="J921" i="1"/>
  <c r="I921" i="1"/>
  <c r="C921" i="1"/>
  <c r="H921" i="1" s="1"/>
  <c r="L920" i="1"/>
  <c r="K920" i="1"/>
  <c r="J920" i="1"/>
  <c r="I920" i="1"/>
  <c r="C920" i="1"/>
  <c r="H920" i="1" s="1"/>
  <c r="L919" i="1"/>
  <c r="K919" i="1"/>
  <c r="J919" i="1"/>
  <c r="I919" i="1"/>
  <c r="C919" i="1"/>
  <c r="H919" i="1" s="1"/>
  <c r="L918" i="1"/>
  <c r="K918" i="1"/>
  <c r="J918" i="1"/>
  <c r="I918" i="1"/>
  <c r="C918" i="1"/>
  <c r="H918" i="1" s="1"/>
  <c r="L917" i="1"/>
  <c r="K917" i="1"/>
  <c r="J917" i="1"/>
  <c r="I917" i="1"/>
  <c r="C917" i="1"/>
  <c r="H917" i="1" s="1"/>
  <c r="L916" i="1"/>
  <c r="K916" i="1"/>
  <c r="J916" i="1"/>
  <c r="I916" i="1"/>
  <c r="C916" i="1"/>
  <c r="H916" i="1" s="1"/>
  <c r="L915" i="1"/>
  <c r="K915" i="1"/>
  <c r="J915" i="1"/>
  <c r="I915" i="1"/>
  <c r="C915" i="1"/>
  <c r="H915" i="1" s="1"/>
  <c r="L914" i="1"/>
  <c r="K914" i="1"/>
  <c r="J914" i="1"/>
  <c r="I914" i="1"/>
  <c r="C914" i="1"/>
  <c r="H914" i="1" s="1"/>
  <c r="L913" i="1"/>
  <c r="K913" i="1"/>
  <c r="J913" i="1"/>
  <c r="I913" i="1"/>
  <c r="C913" i="1"/>
  <c r="H913" i="1" s="1"/>
  <c r="L912" i="1"/>
  <c r="K912" i="1"/>
  <c r="J912" i="1"/>
  <c r="I912" i="1"/>
  <c r="C912" i="1"/>
  <c r="H912" i="1" s="1"/>
  <c r="L911" i="1"/>
  <c r="K911" i="1"/>
  <c r="J911" i="1"/>
  <c r="I911" i="1"/>
  <c r="C911" i="1"/>
  <c r="H911" i="1" s="1"/>
  <c r="L910" i="1"/>
  <c r="K910" i="1"/>
  <c r="J910" i="1"/>
  <c r="I910" i="1"/>
  <c r="C910" i="1"/>
  <c r="H910" i="1" s="1"/>
  <c r="L909" i="1"/>
  <c r="K909" i="1"/>
  <c r="J909" i="1"/>
  <c r="I909" i="1"/>
  <c r="C909" i="1"/>
  <c r="H909" i="1" s="1"/>
  <c r="L908" i="1"/>
  <c r="K908" i="1"/>
  <c r="J908" i="1"/>
  <c r="I908" i="1"/>
  <c r="C908" i="1"/>
  <c r="H908" i="1" s="1"/>
  <c r="L907" i="1"/>
  <c r="K907" i="1"/>
  <c r="J907" i="1"/>
  <c r="I907" i="1"/>
  <c r="C907" i="1"/>
  <c r="H907" i="1" s="1"/>
  <c r="L906" i="1"/>
  <c r="K906" i="1"/>
  <c r="J906" i="1"/>
  <c r="I906" i="1"/>
  <c r="C906" i="1"/>
  <c r="H906" i="1" s="1"/>
  <c r="L905" i="1"/>
  <c r="K905" i="1"/>
  <c r="J905" i="1"/>
  <c r="I905" i="1"/>
  <c r="C905" i="1"/>
  <c r="H905" i="1" s="1"/>
  <c r="L904" i="1"/>
  <c r="K904" i="1"/>
  <c r="J904" i="1"/>
  <c r="I904" i="1"/>
  <c r="C904" i="1"/>
  <c r="H904" i="1" s="1"/>
  <c r="L903" i="1"/>
  <c r="K903" i="1"/>
  <c r="J903" i="1"/>
  <c r="I903" i="1"/>
  <c r="C903" i="1"/>
  <c r="H903" i="1" s="1"/>
  <c r="L902" i="1"/>
  <c r="K902" i="1"/>
  <c r="J902" i="1"/>
  <c r="I902" i="1"/>
  <c r="C902" i="1"/>
  <c r="H902" i="1" s="1"/>
  <c r="L901" i="1"/>
  <c r="K901" i="1"/>
  <c r="J901" i="1"/>
  <c r="I901" i="1"/>
  <c r="C901" i="1"/>
  <c r="H901" i="1" s="1"/>
  <c r="L900" i="1"/>
  <c r="K900" i="1"/>
  <c r="J900" i="1"/>
  <c r="I900" i="1"/>
  <c r="C900" i="1"/>
  <c r="H900" i="1" s="1"/>
  <c r="L899" i="1"/>
  <c r="K899" i="1"/>
  <c r="J899" i="1"/>
  <c r="I899" i="1"/>
  <c r="C899" i="1"/>
  <c r="H899" i="1" s="1"/>
  <c r="L898" i="1"/>
  <c r="K898" i="1"/>
  <c r="J898" i="1"/>
  <c r="I898" i="1"/>
  <c r="C898" i="1"/>
  <c r="H898" i="1" s="1"/>
  <c r="L897" i="1"/>
  <c r="K897" i="1"/>
  <c r="J897" i="1"/>
  <c r="I897" i="1"/>
  <c r="C897" i="1"/>
  <c r="H897" i="1" s="1"/>
  <c r="L896" i="1"/>
  <c r="K896" i="1"/>
  <c r="J896" i="1"/>
  <c r="I896" i="1"/>
  <c r="C896" i="1"/>
  <c r="H896" i="1" s="1"/>
  <c r="L895" i="1"/>
  <c r="K895" i="1"/>
  <c r="J895" i="1"/>
  <c r="I895" i="1"/>
  <c r="C895" i="1"/>
  <c r="H895" i="1" s="1"/>
  <c r="L894" i="1"/>
  <c r="K894" i="1"/>
  <c r="J894" i="1"/>
  <c r="I894" i="1"/>
  <c r="C894" i="1"/>
  <c r="H894" i="1" s="1"/>
  <c r="L893" i="1"/>
  <c r="K893" i="1"/>
  <c r="J893" i="1"/>
  <c r="I893" i="1"/>
  <c r="C893" i="1"/>
  <c r="H893" i="1" s="1"/>
  <c r="L892" i="1"/>
  <c r="K892" i="1"/>
  <c r="J892" i="1"/>
  <c r="I892" i="1"/>
  <c r="C892" i="1"/>
  <c r="H892" i="1" s="1"/>
  <c r="L891" i="1"/>
  <c r="K891" i="1"/>
  <c r="J891" i="1"/>
  <c r="I891" i="1"/>
  <c r="C891" i="1"/>
  <c r="H891" i="1" s="1"/>
  <c r="L890" i="1"/>
  <c r="K890" i="1"/>
  <c r="J890" i="1"/>
  <c r="I890" i="1"/>
  <c r="C890" i="1"/>
  <c r="H890" i="1" s="1"/>
  <c r="L889" i="1"/>
  <c r="K889" i="1"/>
  <c r="J889" i="1"/>
  <c r="I889" i="1"/>
  <c r="C889" i="1"/>
  <c r="H889" i="1" s="1"/>
  <c r="L888" i="1"/>
  <c r="K888" i="1"/>
  <c r="J888" i="1"/>
  <c r="I888" i="1"/>
  <c r="C888" i="1"/>
  <c r="H888" i="1" s="1"/>
  <c r="L887" i="1"/>
  <c r="K887" i="1"/>
  <c r="J887" i="1"/>
  <c r="I887" i="1"/>
  <c r="C887" i="1"/>
  <c r="H887" i="1" s="1"/>
  <c r="L886" i="1"/>
  <c r="K886" i="1"/>
  <c r="J886" i="1"/>
  <c r="I886" i="1"/>
  <c r="C886" i="1"/>
  <c r="H886" i="1" s="1"/>
  <c r="L885" i="1"/>
  <c r="K885" i="1"/>
  <c r="J885" i="1"/>
  <c r="I885" i="1"/>
  <c r="C885" i="1"/>
  <c r="H885" i="1" s="1"/>
  <c r="L884" i="1"/>
  <c r="K884" i="1"/>
  <c r="J884" i="1"/>
  <c r="I884" i="1"/>
  <c r="C884" i="1"/>
  <c r="H884" i="1" s="1"/>
  <c r="L883" i="1"/>
  <c r="K883" i="1"/>
  <c r="J883" i="1"/>
  <c r="I883" i="1"/>
  <c r="C883" i="1"/>
  <c r="H883" i="1" s="1"/>
  <c r="L882" i="1"/>
  <c r="K882" i="1"/>
  <c r="J882" i="1"/>
  <c r="I882" i="1"/>
  <c r="C882" i="1"/>
  <c r="H882" i="1" s="1"/>
  <c r="L881" i="1"/>
  <c r="K881" i="1"/>
  <c r="J881" i="1"/>
  <c r="I881" i="1"/>
  <c r="C881" i="1"/>
  <c r="H881" i="1" s="1"/>
  <c r="L880" i="1"/>
  <c r="K880" i="1"/>
  <c r="J880" i="1"/>
  <c r="I880" i="1"/>
  <c r="C880" i="1"/>
  <c r="H880" i="1" s="1"/>
  <c r="L879" i="1"/>
  <c r="K879" i="1"/>
  <c r="J879" i="1"/>
  <c r="I879" i="1"/>
  <c r="C879" i="1"/>
  <c r="H879" i="1" s="1"/>
  <c r="L878" i="1"/>
  <c r="K878" i="1"/>
  <c r="J878" i="1"/>
  <c r="I878" i="1"/>
  <c r="C878" i="1"/>
  <c r="H878" i="1" s="1"/>
  <c r="L877" i="1"/>
  <c r="K877" i="1"/>
  <c r="J877" i="1"/>
  <c r="I877" i="1"/>
  <c r="C877" i="1"/>
  <c r="H877" i="1" s="1"/>
  <c r="L876" i="1"/>
  <c r="K876" i="1"/>
  <c r="J876" i="1"/>
  <c r="I876" i="1"/>
  <c r="C876" i="1"/>
  <c r="H876" i="1" s="1"/>
  <c r="L875" i="1"/>
  <c r="K875" i="1"/>
  <c r="J875" i="1"/>
  <c r="I875" i="1"/>
  <c r="C875" i="1"/>
  <c r="H875" i="1" s="1"/>
  <c r="L874" i="1"/>
  <c r="K874" i="1"/>
  <c r="J874" i="1"/>
  <c r="I874" i="1"/>
  <c r="C874" i="1"/>
  <c r="H874" i="1" s="1"/>
  <c r="L873" i="1"/>
  <c r="K873" i="1"/>
  <c r="J873" i="1"/>
  <c r="I873" i="1"/>
  <c r="C873" i="1"/>
  <c r="H873" i="1" s="1"/>
  <c r="L872" i="1"/>
  <c r="K872" i="1"/>
  <c r="J872" i="1"/>
  <c r="I872" i="1"/>
  <c r="C872" i="1"/>
  <c r="H872" i="1" s="1"/>
  <c r="L871" i="1"/>
  <c r="K871" i="1"/>
  <c r="J871" i="1"/>
  <c r="I871" i="1"/>
  <c r="C871" i="1"/>
  <c r="H871" i="1" s="1"/>
  <c r="L870" i="1"/>
  <c r="K870" i="1"/>
  <c r="J870" i="1"/>
  <c r="I870" i="1"/>
  <c r="C870" i="1"/>
  <c r="H870" i="1" s="1"/>
  <c r="L869" i="1"/>
  <c r="K869" i="1"/>
  <c r="J869" i="1"/>
  <c r="I869" i="1"/>
  <c r="C869" i="1"/>
  <c r="H869" i="1" s="1"/>
  <c r="L868" i="1"/>
  <c r="K868" i="1"/>
  <c r="J868" i="1"/>
  <c r="I868" i="1"/>
  <c r="C868" i="1"/>
  <c r="H868" i="1" s="1"/>
  <c r="L867" i="1"/>
  <c r="K867" i="1"/>
  <c r="J867" i="1"/>
  <c r="I867" i="1"/>
  <c r="C867" i="1"/>
  <c r="H867" i="1" s="1"/>
  <c r="L866" i="1"/>
  <c r="K866" i="1"/>
  <c r="J866" i="1"/>
  <c r="I866" i="1"/>
  <c r="C866" i="1"/>
  <c r="H866" i="1" s="1"/>
  <c r="L865" i="1"/>
  <c r="K865" i="1"/>
  <c r="J865" i="1"/>
  <c r="I865" i="1"/>
  <c r="C865" i="1"/>
  <c r="H865" i="1" s="1"/>
  <c r="L864" i="1"/>
  <c r="K864" i="1"/>
  <c r="J864" i="1"/>
  <c r="I864" i="1"/>
  <c r="C864" i="1"/>
  <c r="H864" i="1" s="1"/>
  <c r="L863" i="1"/>
  <c r="K863" i="1"/>
  <c r="J863" i="1"/>
  <c r="I863" i="1"/>
  <c r="C863" i="1"/>
  <c r="H863" i="1" s="1"/>
  <c r="L862" i="1"/>
  <c r="K862" i="1"/>
  <c r="J862" i="1"/>
  <c r="I862" i="1"/>
  <c r="C862" i="1"/>
  <c r="H862" i="1" s="1"/>
  <c r="L861" i="1"/>
  <c r="K861" i="1"/>
  <c r="J861" i="1"/>
  <c r="I861" i="1"/>
  <c r="C861" i="1"/>
  <c r="H861" i="1" s="1"/>
  <c r="L860" i="1"/>
  <c r="K860" i="1"/>
  <c r="J860" i="1"/>
  <c r="I860" i="1"/>
  <c r="C860" i="1"/>
  <c r="H860" i="1" s="1"/>
  <c r="L859" i="1"/>
  <c r="K859" i="1"/>
  <c r="J859" i="1"/>
  <c r="I859" i="1"/>
  <c r="C859" i="1"/>
  <c r="H859" i="1" s="1"/>
  <c r="L858" i="1"/>
  <c r="K858" i="1"/>
  <c r="J858" i="1"/>
  <c r="I858" i="1"/>
  <c r="C858" i="1"/>
  <c r="H858" i="1" s="1"/>
  <c r="L857" i="1"/>
  <c r="K857" i="1"/>
  <c r="J857" i="1"/>
  <c r="I857" i="1"/>
  <c r="C857" i="1"/>
  <c r="H857" i="1" s="1"/>
  <c r="L856" i="1"/>
  <c r="K856" i="1"/>
  <c r="J856" i="1"/>
  <c r="I856" i="1"/>
  <c r="C856" i="1"/>
  <c r="H856" i="1" s="1"/>
  <c r="L855" i="1"/>
  <c r="K855" i="1"/>
  <c r="J855" i="1"/>
  <c r="I855" i="1"/>
  <c r="C855" i="1"/>
  <c r="H855" i="1" s="1"/>
  <c r="L854" i="1"/>
  <c r="K854" i="1"/>
  <c r="J854" i="1"/>
  <c r="I854" i="1"/>
  <c r="C854" i="1"/>
  <c r="H854" i="1" s="1"/>
  <c r="L853" i="1"/>
  <c r="K853" i="1"/>
  <c r="J853" i="1"/>
  <c r="I853" i="1"/>
  <c r="C853" i="1"/>
  <c r="H853" i="1" s="1"/>
  <c r="L852" i="1"/>
  <c r="K852" i="1"/>
  <c r="J852" i="1"/>
  <c r="I852" i="1"/>
  <c r="C852" i="1"/>
  <c r="H852" i="1" s="1"/>
  <c r="L851" i="1"/>
  <c r="K851" i="1"/>
  <c r="J851" i="1"/>
  <c r="I851" i="1"/>
  <c r="C851" i="1"/>
  <c r="H851" i="1" s="1"/>
  <c r="L850" i="1"/>
  <c r="K850" i="1"/>
  <c r="J850" i="1"/>
  <c r="I850" i="1"/>
  <c r="C850" i="1"/>
  <c r="H850" i="1" s="1"/>
  <c r="L849" i="1"/>
  <c r="K849" i="1"/>
  <c r="J849" i="1"/>
  <c r="I849" i="1"/>
  <c r="C849" i="1"/>
  <c r="H849" i="1" s="1"/>
  <c r="L848" i="1"/>
  <c r="K848" i="1"/>
  <c r="J848" i="1"/>
  <c r="I848" i="1"/>
  <c r="C848" i="1"/>
  <c r="H848" i="1" s="1"/>
  <c r="L847" i="1"/>
  <c r="K847" i="1"/>
  <c r="J847" i="1"/>
  <c r="I847" i="1"/>
  <c r="C847" i="1"/>
  <c r="H847" i="1" s="1"/>
  <c r="L846" i="1"/>
  <c r="K846" i="1"/>
  <c r="J846" i="1"/>
  <c r="I846" i="1"/>
  <c r="C846" i="1"/>
  <c r="H846" i="1" s="1"/>
  <c r="L845" i="1"/>
  <c r="K845" i="1"/>
  <c r="J845" i="1"/>
  <c r="I845" i="1"/>
  <c r="C845" i="1"/>
  <c r="H845" i="1" s="1"/>
  <c r="L844" i="1"/>
  <c r="K844" i="1"/>
  <c r="J844" i="1"/>
  <c r="I844" i="1"/>
  <c r="C844" i="1"/>
  <c r="H844" i="1" s="1"/>
  <c r="L843" i="1"/>
  <c r="K843" i="1"/>
  <c r="J843" i="1"/>
  <c r="I843" i="1"/>
  <c r="C843" i="1"/>
  <c r="H843" i="1" s="1"/>
  <c r="L842" i="1"/>
  <c r="K842" i="1"/>
  <c r="J842" i="1"/>
  <c r="I842" i="1"/>
  <c r="C842" i="1"/>
  <c r="H842" i="1" s="1"/>
  <c r="L841" i="1"/>
  <c r="K841" i="1"/>
  <c r="J841" i="1"/>
  <c r="I841" i="1"/>
  <c r="C841" i="1"/>
  <c r="H841" i="1" s="1"/>
  <c r="L840" i="1"/>
  <c r="K840" i="1"/>
  <c r="J840" i="1"/>
  <c r="I840" i="1"/>
  <c r="C840" i="1"/>
  <c r="H840" i="1" s="1"/>
  <c r="L839" i="1"/>
  <c r="K839" i="1"/>
  <c r="J839" i="1"/>
  <c r="I839" i="1"/>
  <c r="C839" i="1"/>
  <c r="H839" i="1" s="1"/>
  <c r="L838" i="1"/>
  <c r="K838" i="1"/>
  <c r="J838" i="1"/>
  <c r="I838" i="1"/>
  <c r="C838" i="1"/>
  <c r="H838" i="1" s="1"/>
  <c r="L837" i="1"/>
  <c r="K837" i="1"/>
  <c r="J837" i="1"/>
  <c r="I837" i="1"/>
  <c r="C837" i="1"/>
  <c r="H837" i="1" s="1"/>
  <c r="L836" i="1"/>
  <c r="K836" i="1"/>
  <c r="J836" i="1"/>
  <c r="I836" i="1"/>
  <c r="C836" i="1"/>
  <c r="H836" i="1" s="1"/>
  <c r="L835" i="1"/>
  <c r="K835" i="1"/>
  <c r="J835" i="1"/>
  <c r="I835" i="1"/>
  <c r="C835" i="1"/>
  <c r="H835" i="1" s="1"/>
  <c r="L834" i="1"/>
  <c r="K834" i="1"/>
  <c r="J834" i="1"/>
  <c r="I834" i="1"/>
  <c r="C834" i="1"/>
  <c r="H834" i="1" s="1"/>
  <c r="L833" i="1"/>
  <c r="K833" i="1"/>
  <c r="J833" i="1"/>
  <c r="I833" i="1"/>
  <c r="C833" i="1"/>
  <c r="H833" i="1" s="1"/>
  <c r="L832" i="1"/>
  <c r="K832" i="1"/>
  <c r="J832" i="1"/>
  <c r="I832" i="1"/>
  <c r="C832" i="1"/>
  <c r="H832" i="1" s="1"/>
  <c r="L831" i="1"/>
  <c r="K831" i="1"/>
  <c r="J831" i="1"/>
  <c r="I831" i="1"/>
  <c r="C831" i="1"/>
  <c r="H831" i="1" s="1"/>
  <c r="L830" i="1"/>
  <c r="K830" i="1"/>
  <c r="J830" i="1"/>
  <c r="I830" i="1"/>
  <c r="C830" i="1"/>
  <c r="H830" i="1" s="1"/>
  <c r="L829" i="1"/>
  <c r="K829" i="1"/>
  <c r="J829" i="1"/>
  <c r="I829" i="1"/>
  <c r="C829" i="1"/>
  <c r="H829" i="1" s="1"/>
  <c r="L828" i="1"/>
  <c r="K828" i="1"/>
  <c r="J828" i="1"/>
  <c r="I828" i="1"/>
  <c r="C828" i="1"/>
  <c r="H828" i="1" s="1"/>
  <c r="L827" i="1"/>
  <c r="K827" i="1"/>
  <c r="J827" i="1"/>
  <c r="I827" i="1"/>
  <c r="C827" i="1"/>
  <c r="H827" i="1" s="1"/>
  <c r="L826" i="1"/>
  <c r="K826" i="1"/>
  <c r="J826" i="1"/>
  <c r="I826" i="1"/>
  <c r="C826" i="1"/>
  <c r="H826" i="1" s="1"/>
  <c r="L825" i="1"/>
  <c r="K825" i="1"/>
  <c r="J825" i="1"/>
  <c r="I825" i="1"/>
  <c r="C825" i="1"/>
  <c r="H825" i="1" s="1"/>
  <c r="L824" i="1"/>
  <c r="K824" i="1"/>
  <c r="J824" i="1"/>
  <c r="I824" i="1"/>
  <c r="C824" i="1"/>
  <c r="H824" i="1" s="1"/>
  <c r="L823" i="1"/>
  <c r="K823" i="1"/>
  <c r="J823" i="1"/>
  <c r="I823" i="1"/>
  <c r="C823" i="1"/>
  <c r="H823" i="1" s="1"/>
  <c r="L822" i="1"/>
  <c r="K822" i="1"/>
  <c r="J822" i="1"/>
  <c r="I822" i="1"/>
  <c r="C822" i="1"/>
  <c r="H822" i="1" s="1"/>
  <c r="L821" i="1"/>
  <c r="K821" i="1"/>
  <c r="J821" i="1"/>
  <c r="I821" i="1"/>
  <c r="C821" i="1"/>
  <c r="H821" i="1" s="1"/>
  <c r="L820" i="1"/>
  <c r="K820" i="1"/>
  <c r="J820" i="1"/>
  <c r="I820" i="1"/>
  <c r="C820" i="1"/>
  <c r="H820" i="1" s="1"/>
  <c r="L819" i="1"/>
  <c r="K819" i="1"/>
  <c r="J819" i="1"/>
  <c r="I819" i="1"/>
  <c r="C819" i="1"/>
  <c r="H819" i="1" s="1"/>
  <c r="L818" i="1"/>
  <c r="K818" i="1"/>
  <c r="J818" i="1"/>
  <c r="I818" i="1"/>
  <c r="C818" i="1"/>
  <c r="H818" i="1" s="1"/>
  <c r="L817" i="1"/>
  <c r="K817" i="1"/>
  <c r="J817" i="1"/>
  <c r="I817" i="1"/>
  <c r="C817" i="1"/>
  <c r="H817" i="1" s="1"/>
  <c r="L816" i="1"/>
  <c r="K816" i="1"/>
  <c r="J816" i="1"/>
  <c r="I816" i="1"/>
  <c r="C816" i="1"/>
  <c r="H816" i="1" s="1"/>
  <c r="L815" i="1"/>
  <c r="K815" i="1"/>
  <c r="J815" i="1"/>
  <c r="I815" i="1"/>
  <c r="C815" i="1"/>
  <c r="H815" i="1" s="1"/>
  <c r="L814" i="1"/>
  <c r="K814" i="1"/>
  <c r="J814" i="1"/>
  <c r="I814" i="1"/>
  <c r="C814" i="1"/>
  <c r="H814" i="1" s="1"/>
  <c r="L813" i="1"/>
  <c r="K813" i="1"/>
  <c r="J813" i="1"/>
  <c r="I813" i="1"/>
  <c r="C813" i="1"/>
  <c r="H813" i="1" s="1"/>
  <c r="L812" i="1"/>
  <c r="K812" i="1"/>
  <c r="J812" i="1"/>
  <c r="I812" i="1"/>
  <c r="C812" i="1"/>
  <c r="H812" i="1" s="1"/>
  <c r="L811" i="1"/>
  <c r="K811" i="1"/>
  <c r="J811" i="1"/>
  <c r="I811" i="1"/>
  <c r="C811" i="1"/>
  <c r="H811" i="1" s="1"/>
  <c r="L810" i="1"/>
  <c r="K810" i="1"/>
  <c r="J810" i="1"/>
  <c r="I810" i="1"/>
  <c r="C810" i="1"/>
  <c r="H810" i="1" s="1"/>
  <c r="L809" i="1"/>
  <c r="K809" i="1"/>
  <c r="J809" i="1"/>
  <c r="I809" i="1"/>
  <c r="C809" i="1"/>
  <c r="H809" i="1" s="1"/>
  <c r="L808" i="1"/>
  <c r="K808" i="1"/>
  <c r="J808" i="1"/>
  <c r="I808" i="1"/>
  <c r="C808" i="1"/>
  <c r="H808" i="1" s="1"/>
  <c r="L807" i="1"/>
  <c r="K807" i="1"/>
  <c r="J807" i="1"/>
  <c r="I807" i="1"/>
  <c r="C807" i="1"/>
  <c r="H807" i="1" s="1"/>
  <c r="L806" i="1"/>
  <c r="K806" i="1"/>
  <c r="J806" i="1"/>
  <c r="I806" i="1"/>
  <c r="C806" i="1"/>
  <c r="H806" i="1" s="1"/>
  <c r="L805" i="1"/>
  <c r="K805" i="1"/>
  <c r="J805" i="1"/>
  <c r="I805" i="1"/>
  <c r="C805" i="1"/>
  <c r="H805" i="1" s="1"/>
  <c r="L804" i="1"/>
  <c r="K804" i="1"/>
  <c r="J804" i="1"/>
  <c r="I804" i="1"/>
  <c r="C804" i="1"/>
  <c r="H804" i="1" s="1"/>
  <c r="L803" i="1"/>
  <c r="K803" i="1"/>
  <c r="J803" i="1"/>
  <c r="I803" i="1"/>
  <c r="C803" i="1"/>
  <c r="H803" i="1" s="1"/>
  <c r="L802" i="1"/>
  <c r="K802" i="1"/>
  <c r="J802" i="1"/>
  <c r="I802" i="1"/>
  <c r="C802" i="1"/>
  <c r="H802" i="1" s="1"/>
  <c r="L801" i="1"/>
  <c r="K801" i="1"/>
  <c r="J801" i="1"/>
  <c r="I801" i="1"/>
  <c r="C801" i="1"/>
  <c r="H801" i="1" s="1"/>
  <c r="L800" i="1"/>
  <c r="K800" i="1"/>
  <c r="J800" i="1"/>
  <c r="I800" i="1"/>
  <c r="C800" i="1"/>
  <c r="H800" i="1" s="1"/>
  <c r="L799" i="1"/>
  <c r="K799" i="1"/>
  <c r="J799" i="1"/>
  <c r="I799" i="1"/>
  <c r="C799" i="1"/>
  <c r="H799" i="1" s="1"/>
  <c r="L798" i="1"/>
  <c r="K798" i="1"/>
  <c r="J798" i="1"/>
  <c r="I798" i="1"/>
  <c r="C798" i="1"/>
  <c r="H798" i="1" s="1"/>
  <c r="L797" i="1"/>
  <c r="K797" i="1"/>
  <c r="J797" i="1"/>
  <c r="I797" i="1"/>
  <c r="C797" i="1"/>
  <c r="H797" i="1" s="1"/>
  <c r="L796" i="1"/>
  <c r="K796" i="1"/>
  <c r="J796" i="1"/>
  <c r="I796" i="1"/>
  <c r="C796" i="1"/>
  <c r="H796" i="1" s="1"/>
  <c r="L795" i="1"/>
  <c r="K795" i="1"/>
  <c r="J795" i="1"/>
  <c r="I795" i="1"/>
  <c r="C795" i="1"/>
  <c r="H795" i="1" s="1"/>
  <c r="L794" i="1"/>
  <c r="K794" i="1"/>
  <c r="J794" i="1"/>
  <c r="I794" i="1"/>
  <c r="C794" i="1"/>
  <c r="H794" i="1" s="1"/>
  <c r="L793" i="1"/>
  <c r="K793" i="1"/>
  <c r="J793" i="1"/>
  <c r="I793" i="1"/>
  <c r="C793" i="1"/>
  <c r="H793" i="1" s="1"/>
  <c r="L792" i="1"/>
  <c r="K792" i="1"/>
  <c r="J792" i="1"/>
  <c r="I792" i="1"/>
  <c r="C792" i="1"/>
  <c r="H792" i="1" s="1"/>
  <c r="L791" i="1"/>
  <c r="K791" i="1"/>
  <c r="J791" i="1"/>
  <c r="I791" i="1"/>
  <c r="C791" i="1"/>
  <c r="H791" i="1" s="1"/>
  <c r="L790" i="1"/>
  <c r="K790" i="1"/>
  <c r="J790" i="1"/>
  <c r="I790" i="1"/>
  <c r="C790" i="1"/>
  <c r="H790" i="1" s="1"/>
  <c r="L789" i="1"/>
  <c r="K789" i="1"/>
  <c r="J789" i="1"/>
  <c r="I789" i="1"/>
  <c r="C789" i="1"/>
  <c r="H789" i="1" s="1"/>
  <c r="L788" i="1"/>
  <c r="K788" i="1"/>
  <c r="J788" i="1"/>
  <c r="I788" i="1"/>
  <c r="C788" i="1"/>
  <c r="H788" i="1" s="1"/>
  <c r="L787" i="1"/>
  <c r="K787" i="1"/>
  <c r="J787" i="1"/>
  <c r="I787" i="1"/>
  <c r="C787" i="1"/>
  <c r="H787" i="1" s="1"/>
  <c r="L786" i="1"/>
  <c r="K786" i="1"/>
  <c r="J786" i="1"/>
  <c r="I786" i="1"/>
  <c r="C786" i="1"/>
  <c r="H786" i="1" s="1"/>
  <c r="L785" i="1"/>
  <c r="K785" i="1"/>
  <c r="J785" i="1"/>
  <c r="I785" i="1"/>
  <c r="C785" i="1"/>
  <c r="H785" i="1" s="1"/>
  <c r="L784" i="1"/>
  <c r="K784" i="1"/>
  <c r="J784" i="1"/>
  <c r="I784" i="1"/>
  <c r="C784" i="1"/>
  <c r="H784" i="1" s="1"/>
  <c r="L783" i="1"/>
  <c r="K783" i="1"/>
  <c r="J783" i="1"/>
  <c r="I783" i="1"/>
  <c r="C783" i="1"/>
  <c r="H783" i="1" s="1"/>
  <c r="L782" i="1"/>
  <c r="K782" i="1"/>
  <c r="J782" i="1"/>
  <c r="I782" i="1"/>
  <c r="C782" i="1"/>
  <c r="H782" i="1" s="1"/>
  <c r="L781" i="1"/>
  <c r="K781" i="1"/>
  <c r="J781" i="1"/>
  <c r="I781" i="1"/>
  <c r="C781" i="1"/>
  <c r="H781" i="1" s="1"/>
  <c r="L780" i="1"/>
  <c r="K780" i="1"/>
  <c r="J780" i="1"/>
  <c r="I780" i="1"/>
  <c r="C780" i="1"/>
  <c r="H780" i="1" s="1"/>
  <c r="L779" i="1"/>
  <c r="K779" i="1"/>
  <c r="J779" i="1"/>
  <c r="I779" i="1"/>
  <c r="C779" i="1"/>
  <c r="H779" i="1" s="1"/>
  <c r="L778" i="1"/>
  <c r="K778" i="1"/>
  <c r="J778" i="1"/>
  <c r="I778" i="1"/>
  <c r="C778" i="1"/>
  <c r="H778" i="1" s="1"/>
  <c r="L777" i="1"/>
  <c r="K777" i="1"/>
  <c r="J777" i="1"/>
  <c r="I777" i="1"/>
  <c r="C777" i="1"/>
  <c r="H777" i="1" s="1"/>
  <c r="L776" i="1"/>
  <c r="K776" i="1"/>
  <c r="J776" i="1"/>
  <c r="I776" i="1"/>
  <c r="C776" i="1"/>
  <c r="H776" i="1" s="1"/>
  <c r="L775" i="1"/>
  <c r="K775" i="1"/>
  <c r="J775" i="1"/>
  <c r="I775" i="1"/>
  <c r="C775" i="1"/>
  <c r="H775" i="1" s="1"/>
  <c r="L774" i="1"/>
  <c r="K774" i="1"/>
  <c r="J774" i="1"/>
  <c r="I774" i="1"/>
  <c r="C774" i="1"/>
  <c r="H774" i="1" s="1"/>
  <c r="L773" i="1"/>
  <c r="K773" i="1"/>
  <c r="J773" i="1"/>
  <c r="I773" i="1"/>
  <c r="C773" i="1"/>
  <c r="H773" i="1" s="1"/>
  <c r="L772" i="1"/>
  <c r="K772" i="1"/>
  <c r="J772" i="1"/>
  <c r="I772" i="1"/>
  <c r="C772" i="1"/>
  <c r="H772" i="1" s="1"/>
  <c r="L771" i="1"/>
  <c r="K771" i="1"/>
  <c r="J771" i="1"/>
  <c r="I771" i="1"/>
  <c r="C771" i="1"/>
  <c r="H771" i="1" s="1"/>
  <c r="L770" i="1"/>
  <c r="K770" i="1"/>
  <c r="J770" i="1"/>
  <c r="I770" i="1"/>
  <c r="C770" i="1"/>
  <c r="H770" i="1" s="1"/>
  <c r="L769" i="1"/>
  <c r="K769" i="1"/>
  <c r="J769" i="1"/>
  <c r="I769" i="1"/>
  <c r="C769" i="1"/>
  <c r="H769" i="1" s="1"/>
  <c r="L768" i="1"/>
  <c r="K768" i="1"/>
  <c r="J768" i="1"/>
  <c r="I768" i="1"/>
  <c r="C768" i="1"/>
  <c r="H768" i="1" s="1"/>
  <c r="L767" i="1"/>
  <c r="K767" i="1"/>
  <c r="J767" i="1"/>
  <c r="I767" i="1"/>
  <c r="C767" i="1"/>
  <c r="H767" i="1" s="1"/>
  <c r="L766" i="1"/>
  <c r="K766" i="1"/>
  <c r="J766" i="1"/>
  <c r="I766" i="1"/>
  <c r="C766" i="1"/>
  <c r="H766" i="1" s="1"/>
  <c r="L765" i="1"/>
  <c r="K765" i="1"/>
  <c r="J765" i="1"/>
  <c r="I765" i="1"/>
  <c r="C765" i="1"/>
  <c r="H765" i="1" s="1"/>
  <c r="L764" i="1"/>
  <c r="K764" i="1"/>
  <c r="J764" i="1"/>
  <c r="I764" i="1"/>
  <c r="C764" i="1"/>
  <c r="H764" i="1" s="1"/>
  <c r="L763" i="1"/>
  <c r="K763" i="1"/>
  <c r="J763" i="1"/>
  <c r="I763" i="1"/>
  <c r="C763" i="1"/>
  <c r="H763" i="1" s="1"/>
  <c r="L762" i="1"/>
  <c r="K762" i="1"/>
  <c r="J762" i="1"/>
  <c r="I762" i="1"/>
  <c r="C762" i="1"/>
  <c r="H762" i="1" s="1"/>
  <c r="L761" i="1"/>
  <c r="K761" i="1"/>
  <c r="J761" i="1"/>
  <c r="I761" i="1"/>
  <c r="C761" i="1"/>
  <c r="H761" i="1" s="1"/>
  <c r="L760" i="1"/>
  <c r="K760" i="1"/>
  <c r="J760" i="1"/>
  <c r="I760" i="1"/>
  <c r="C760" i="1"/>
  <c r="H760" i="1" s="1"/>
  <c r="L759" i="1"/>
  <c r="K759" i="1"/>
  <c r="J759" i="1"/>
  <c r="I759" i="1"/>
  <c r="C759" i="1"/>
  <c r="H759" i="1" s="1"/>
  <c r="L758" i="1"/>
  <c r="K758" i="1"/>
  <c r="J758" i="1"/>
  <c r="I758" i="1"/>
  <c r="C758" i="1"/>
  <c r="H758" i="1" s="1"/>
  <c r="L757" i="1"/>
  <c r="K757" i="1"/>
  <c r="J757" i="1"/>
  <c r="I757" i="1"/>
  <c r="C757" i="1"/>
  <c r="H757" i="1" s="1"/>
  <c r="L756" i="1"/>
  <c r="K756" i="1"/>
  <c r="J756" i="1"/>
  <c r="I756" i="1"/>
  <c r="C756" i="1"/>
  <c r="H756" i="1" s="1"/>
  <c r="L755" i="1"/>
  <c r="K755" i="1"/>
  <c r="J755" i="1"/>
  <c r="I755" i="1"/>
  <c r="C755" i="1"/>
  <c r="H755" i="1" s="1"/>
  <c r="L754" i="1"/>
  <c r="K754" i="1"/>
  <c r="J754" i="1"/>
  <c r="I754" i="1"/>
  <c r="C754" i="1"/>
  <c r="H754" i="1" s="1"/>
  <c r="L753" i="1"/>
  <c r="K753" i="1"/>
  <c r="J753" i="1"/>
  <c r="I753" i="1"/>
  <c r="C753" i="1"/>
  <c r="H753" i="1" s="1"/>
  <c r="L752" i="1"/>
  <c r="K752" i="1"/>
  <c r="J752" i="1"/>
  <c r="I752" i="1"/>
  <c r="C752" i="1"/>
  <c r="H752" i="1" s="1"/>
  <c r="L751" i="1"/>
  <c r="K751" i="1"/>
  <c r="J751" i="1"/>
  <c r="I751" i="1"/>
  <c r="C751" i="1"/>
  <c r="H751" i="1" s="1"/>
  <c r="L750" i="1"/>
  <c r="K750" i="1"/>
  <c r="J750" i="1"/>
  <c r="I750" i="1"/>
  <c r="C750" i="1"/>
  <c r="H750" i="1" s="1"/>
  <c r="L749" i="1"/>
  <c r="K749" i="1"/>
  <c r="J749" i="1"/>
  <c r="I749" i="1"/>
  <c r="C749" i="1"/>
  <c r="H749" i="1" s="1"/>
  <c r="L748" i="1"/>
  <c r="K748" i="1"/>
  <c r="J748" i="1"/>
  <c r="I748" i="1"/>
  <c r="C748" i="1"/>
  <c r="H748" i="1" s="1"/>
  <c r="L747" i="1"/>
  <c r="K747" i="1"/>
  <c r="J747" i="1"/>
  <c r="I747" i="1"/>
  <c r="C747" i="1"/>
  <c r="H747" i="1" s="1"/>
  <c r="L746" i="1"/>
  <c r="K746" i="1"/>
  <c r="J746" i="1"/>
  <c r="I746" i="1"/>
  <c r="C746" i="1"/>
  <c r="H746" i="1" s="1"/>
  <c r="L745" i="1"/>
  <c r="K745" i="1"/>
  <c r="J745" i="1"/>
  <c r="I745" i="1"/>
  <c r="C745" i="1"/>
  <c r="H745" i="1" s="1"/>
  <c r="L744" i="1"/>
  <c r="K744" i="1"/>
  <c r="J744" i="1"/>
  <c r="I744" i="1"/>
  <c r="C744" i="1"/>
  <c r="H744" i="1" s="1"/>
  <c r="L743" i="1"/>
  <c r="K743" i="1"/>
  <c r="J743" i="1"/>
  <c r="I743" i="1"/>
  <c r="C743" i="1"/>
  <c r="H743" i="1" s="1"/>
  <c r="L742" i="1"/>
  <c r="K742" i="1"/>
  <c r="J742" i="1"/>
  <c r="I742" i="1"/>
  <c r="C742" i="1"/>
  <c r="H742" i="1" s="1"/>
  <c r="L741" i="1"/>
  <c r="K741" i="1"/>
  <c r="J741" i="1"/>
  <c r="I741" i="1"/>
  <c r="C741" i="1"/>
  <c r="H741" i="1" s="1"/>
  <c r="L740" i="1"/>
  <c r="K740" i="1"/>
  <c r="J740" i="1"/>
  <c r="I740" i="1"/>
  <c r="C740" i="1"/>
  <c r="H740" i="1" s="1"/>
  <c r="L739" i="1"/>
  <c r="K739" i="1"/>
  <c r="J739" i="1"/>
  <c r="I739" i="1"/>
  <c r="C739" i="1"/>
  <c r="H739" i="1" s="1"/>
  <c r="L738" i="1"/>
  <c r="K738" i="1"/>
  <c r="J738" i="1"/>
  <c r="I738" i="1"/>
  <c r="C738" i="1"/>
  <c r="H738" i="1" s="1"/>
  <c r="L737" i="1"/>
  <c r="K737" i="1"/>
  <c r="J737" i="1"/>
  <c r="I737" i="1"/>
  <c r="C737" i="1"/>
  <c r="H737" i="1" s="1"/>
  <c r="L736" i="1"/>
  <c r="K736" i="1"/>
  <c r="J736" i="1"/>
  <c r="I736" i="1"/>
  <c r="C736" i="1"/>
  <c r="H736" i="1" s="1"/>
  <c r="L735" i="1"/>
  <c r="K735" i="1"/>
  <c r="J735" i="1"/>
  <c r="I735" i="1"/>
  <c r="C735" i="1"/>
  <c r="H735" i="1" s="1"/>
  <c r="L734" i="1"/>
  <c r="K734" i="1"/>
  <c r="J734" i="1"/>
  <c r="I734" i="1"/>
  <c r="C734" i="1"/>
  <c r="H734" i="1" s="1"/>
  <c r="L733" i="1"/>
  <c r="K733" i="1"/>
  <c r="J733" i="1"/>
  <c r="I733" i="1"/>
  <c r="C733" i="1"/>
  <c r="H733" i="1" s="1"/>
  <c r="L732" i="1"/>
  <c r="K732" i="1"/>
  <c r="J732" i="1"/>
  <c r="I732" i="1"/>
  <c r="C732" i="1"/>
  <c r="H732" i="1" s="1"/>
  <c r="L731" i="1"/>
  <c r="K731" i="1"/>
  <c r="J731" i="1"/>
  <c r="I731" i="1"/>
  <c r="C731" i="1"/>
  <c r="H731" i="1" s="1"/>
  <c r="L730" i="1"/>
  <c r="K730" i="1"/>
  <c r="J730" i="1"/>
  <c r="I730" i="1"/>
  <c r="C730" i="1"/>
  <c r="H730" i="1" s="1"/>
  <c r="L729" i="1"/>
  <c r="K729" i="1"/>
  <c r="J729" i="1"/>
  <c r="I729" i="1"/>
  <c r="C729" i="1"/>
  <c r="H729" i="1" s="1"/>
  <c r="L728" i="1"/>
  <c r="K728" i="1"/>
  <c r="J728" i="1"/>
  <c r="I728" i="1"/>
  <c r="C728" i="1"/>
  <c r="H728" i="1" s="1"/>
  <c r="L727" i="1"/>
  <c r="K727" i="1"/>
  <c r="J727" i="1"/>
  <c r="I727" i="1"/>
  <c r="C727" i="1"/>
  <c r="H727" i="1" s="1"/>
  <c r="L726" i="1"/>
  <c r="K726" i="1"/>
  <c r="J726" i="1"/>
  <c r="I726" i="1"/>
  <c r="C726" i="1"/>
  <c r="H726" i="1" s="1"/>
  <c r="L725" i="1"/>
  <c r="K725" i="1"/>
  <c r="J725" i="1"/>
  <c r="I725" i="1"/>
  <c r="C725" i="1"/>
  <c r="H725" i="1" s="1"/>
  <c r="L724" i="1"/>
  <c r="K724" i="1"/>
  <c r="J724" i="1"/>
  <c r="I724" i="1"/>
  <c r="C724" i="1"/>
  <c r="H724" i="1" s="1"/>
  <c r="L723" i="1"/>
  <c r="K723" i="1"/>
  <c r="J723" i="1"/>
  <c r="I723" i="1"/>
  <c r="C723" i="1"/>
  <c r="H723" i="1" s="1"/>
  <c r="L722" i="1"/>
  <c r="K722" i="1"/>
  <c r="J722" i="1"/>
  <c r="I722" i="1"/>
  <c r="C722" i="1"/>
  <c r="H722" i="1" s="1"/>
  <c r="L721" i="1"/>
  <c r="K721" i="1"/>
  <c r="J721" i="1"/>
  <c r="I721" i="1"/>
  <c r="C721" i="1"/>
  <c r="H721" i="1" s="1"/>
  <c r="L720" i="1"/>
  <c r="K720" i="1"/>
  <c r="J720" i="1"/>
  <c r="I720" i="1"/>
  <c r="C720" i="1"/>
  <c r="H720" i="1" s="1"/>
  <c r="L719" i="1"/>
  <c r="K719" i="1"/>
  <c r="J719" i="1"/>
  <c r="I719" i="1"/>
  <c r="C719" i="1"/>
  <c r="H719" i="1" s="1"/>
  <c r="L718" i="1"/>
  <c r="K718" i="1"/>
  <c r="J718" i="1"/>
  <c r="I718" i="1"/>
  <c r="C718" i="1"/>
  <c r="H718" i="1" s="1"/>
  <c r="L717" i="1"/>
  <c r="K717" i="1"/>
  <c r="J717" i="1"/>
  <c r="I717" i="1"/>
  <c r="C717" i="1"/>
  <c r="H717" i="1" s="1"/>
  <c r="L716" i="1"/>
  <c r="K716" i="1"/>
  <c r="J716" i="1"/>
  <c r="I716" i="1"/>
  <c r="C716" i="1"/>
  <c r="H716" i="1" s="1"/>
  <c r="L715" i="1"/>
  <c r="K715" i="1"/>
  <c r="J715" i="1"/>
  <c r="I715" i="1"/>
  <c r="C715" i="1"/>
  <c r="H715" i="1" s="1"/>
  <c r="L714" i="1"/>
  <c r="K714" i="1"/>
  <c r="J714" i="1"/>
  <c r="I714" i="1"/>
  <c r="C714" i="1"/>
  <c r="H714" i="1" s="1"/>
  <c r="L713" i="1"/>
  <c r="K713" i="1"/>
  <c r="J713" i="1"/>
  <c r="I713" i="1"/>
  <c r="C713" i="1"/>
  <c r="H713" i="1" s="1"/>
  <c r="L712" i="1"/>
  <c r="K712" i="1"/>
  <c r="J712" i="1"/>
  <c r="I712" i="1"/>
  <c r="C712" i="1"/>
  <c r="H712" i="1" s="1"/>
  <c r="L711" i="1"/>
  <c r="K711" i="1"/>
  <c r="J711" i="1"/>
  <c r="I711" i="1"/>
  <c r="C711" i="1"/>
  <c r="H711" i="1" s="1"/>
  <c r="L710" i="1"/>
  <c r="K710" i="1"/>
  <c r="J710" i="1"/>
  <c r="I710" i="1"/>
  <c r="C710" i="1"/>
  <c r="H710" i="1" s="1"/>
  <c r="L709" i="1"/>
  <c r="K709" i="1"/>
  <c r="J709" i="1"/>
  <c r="I709" i="1"/>
  <c r="C709" i="1"/>
  <c r="H709" i="1" s="1"/>
  <c r="L708" i="1"/>
  <c r="K708" i="1"/>
  <c r="J708" i="1"/>
  <c r="I708" i="1"/>
  <c r="C708" i="1"/>
  <c r="H708" i="1" s="1"/>
  <c r="L707" i="1"/>
  <c r="K707" i="1"/>
  <c r="J707" i="1"/>
  <c r="I707" i="1"/>
  <c r="C707" i="1"/>
  <c r="H707" i="1" s="1"/>
  <c r="L706" i="1"/>
  <c r="K706" i="1"/>
  <c r="J706" i="1"/>
  <c r="I706" i="1"/>
  <c r="C706" i="1"/>
  <c r="H706" i="1" s="1"/>
  <c r="L705" i="1"/>
  <c r="K705" i="1"/>
  <c r="J705" i="1"/>
  <c r="I705" i="1"/>
  <c r="C705" i="1"/>
  <c r="H705" i="1" s="1"/>
  <c r="L704" i="1"/>
  <c r="K704" i="1"/>
  <c r="J704" i="1"/>
  <c r="I704" i="1"/>
  <c r="C704" i="1"/>
  <c r="H704" i="1" s="1"/>
  <c r="L703" i="1"/>
  <c r="K703" i="1"/>
  <c r="J703" i="1"/>
  <c r="I703" i="1"/>
  <c r="C703" i="1"/>
  <c r="H703" i="1" s="1"/>
  <c r="L702" i="1"/>
  <c r="K702" i="1"/>
  <c r="J702" i="1"/>
  <c r="I702" i="1"/>
  <c r="C702" i="1"/>
  <c r="H702" i="1" s="1"/>
  <c r="L701" i="1"/>
  <c r="K701" i="1"/>
  <c r="J701" i="1"/>
  <c r="I701" i="1"/>
  <c r="C701" i="1"/>
  <c r="H701" i="1" s="1"/>
  <c r="L700" i="1"/>
  <c r="K700" i="1"/>
  <c r="J700" i="1"/>
  <c r="I700" i="1"/>
  <c r="C700" i="1"/>
  <c r="H700" i="1" s="1"/>
  <c r="L699" i="1"/>
  <c r="K699" i="1"/>
  <c r="J699" i="1"/>
  <c r="I699" i="1"/>
  <c r="C699" i="1"/>
  <c r="H699" i="1" s="1"/>
  <c r="L698" i="1"/>
  <c r="K698" i="1"/>
  <c r="J698" i="1"/>
  <c r="I698" i="1"/>
  <c r="C698" i="1"/>
  <c r="H698" i="1" s="1"/>
  <c r="L697" i="1"/>
  <c r="K697" i="1"/>
  <c r="J697" i="1"/>
  <c r="I697" i="1"/>
  <c r="C697" i="1"/>
  <c r="H697" i="1" s="1"/>
  <c r="L696" i="1"/>
  <c r="K696" i="1"/>
  <c r="J696" i="1"/>
  <c r="I696" i="1"/>
  <c r="C696" i="1"/>
  <c r="H696" i="1" s="1"/>
  <c r="L695" i="1"/>
  <c r="K695" i="1"/>
  <c r="J695" i="1"/>
  <c r="I695" i="1"/>
  <c r="C695" i="1"/>
  <c r="H695" i="1" s="1"/>
  <c r="L694" i="1"/>
  <c r="K694" i="1"/>
  <c r="J694" i="1"/>
  <c r="I694" i="1"/>
  <c r="C694" i="1"/>
  <c r="H694" i="1" s="1"/>
  <c r="L693" i="1"/>
  <c r="K693" i="1"/>
  <c r="J693" i="1"/>
  <c r="I693" i="1"/>
  <c r="C693" i="1"/>
  <c r="H693" i="1" s="1"/>
  <c r="L692" i="1"/>
  <c r="K692" i="1"/>
  <c r="J692" i="1"/>
  <c r="I692" i="1"/>
  <c r="C692" i="1"/>
  <c r="H692" i="1" s="1"/>
  <c r="L691" i="1"/>
  <c r="K691" i="1"/>
  <c r="J691" i="1"/>
  <c r="I691" i="1"/>
  <c r="C691" i="1"/>
  <c r="H691" i="1" s="1"/>
  <c r="L690" i="1"/>
  <c r="K690" i="1"/>
  <c r="J690" i="1"/>
  <c r="I690" i="1"/>
  <c r="C690" i="1"/>
  <c r="H690" i="1" s="1"/>
  <c r="L689" i="1"/>
  <c r="K689" i="1"/>
  <c r="J689" i="1"/>
  <c r="I689" i="1"/>
  <c r="C689" i="1"/>
  <c r="H689" i="1" s="1"/>
  <c r="L688" i="1"/>
  <c r="K688" i="1"/>
  <c r="J688" i="1"/>
  <c r="I688" i="1"/>
  <c r="C688" i="1"/>
  <c r="H688" i="1" s="1"/>
  <c r="L687" i="1"/>
  <c r="K687" i="1"/>
  <c r="J687" i="1"/>
  <c r="I687" i="1"/>
  <c r="C687" i="1"/>
  <c r="H687" i="1" s="1"/>
  <c r="L686" i="1"/>
  <c r="K686" i="1"/>
  <c r="J686" i="1"/>
  <c r="I686" i="1"/>
  <c r="C686" i="1"/>
  <c r="H686" i="1" s="1"/>
  <c r="L685" i="1"/>
  <c r="K685" i="1"/>
  <c r="J685" i="1"/>
  <c r="I685" i="1"/>
  <c r="C685" i="1"/>
  <c r="H685" i="1" s="1"/>
  <c r="L684" i="1"/>
  <c r="K684" i="1"/>
  <c r="J684" i="1"/>
  <c r="I684" i="1"/>
  <c r="C684" i="1"/>
  <c r="H684" i="1" s="1"/>
  <c r="L683" i="1"/>
  <c r="K683" i="1"/>
  <c r="J683" i="1"/>
  <c r="I683" i="1"/>
  <c r="C683" i="1"/>
  <c r="H683" i="1" s="1"/>
  <c r="L682" i="1"/>
  <c r="K682" i="1"/>
  <c r="J682" i="1"/>
  <c r="I682" i="1"/>
  <c r="C682" i="1"/>
  <c r="H682" i="1" s="1"/>
  <c r="L681" i="1"/>
  <c r="K681" i="1"/>
  <c r="J681" i="1"/>
  <c r="I681" i="1"/>
  <c r="C681" i="1"/>
  <c r="H681" i="1" s="1"/>
  <c r="L680" i="1"/>
  <c r="K680" i="1"/>
  <c r="J680" i="1"/>
  <c r="I680" i="1"/>
  <c r="C680" i="1"/>
  <c r="H680" i="1" s="1"/>
  <c r="L679" i="1"/>
  <c r="K679" i="1"/>
  <c r="J679" i="1"/>
  <c r="I679" i="1"/>
  <c r="C679" i="1"/>
  <c r="H679" i="1" s="1"/>
  <c r="L678" i="1"/>
  <c r="K678" i="1"/>
  <c r="J678" i="1"/>
  <c r="I678" i="1"/>
  <c r="C678" i="1"/>
  <c r="H678" i="1" s="1"/>
  <c r="L677" i="1"/>
  <c r="K677" i="1"/>
  <c r="J677" i="1"/>
  <c r="I677" i="1"/>
  <c r="C677" i="1"/>
  <c r="H677" i="1" s="1"/>
  <c r="L676" i="1"/>
  <c r="K676" i="1"/>
  <c r="J676" i="1"/>
  <c r="I676" i="1"/>
  <c r="C676" i="1"/>
  <c r="H676" i="1" s="1"/>
  <c r="L675" i="1"/>
  <c r="K675" i="1"/>
  <c r="J675" i="1"/>
  <c r="I675" i="1"/>
  <c r="C675" i="1"/>
  <c r="H675" i="1" s="1"/>
  <c r="L674" i="1"/>
  <c r="K674" i="1"/>
  <c r="J674" i="1"/>
  <c r="I674" i="1"/>
  <c r="C674" i="1"/>
  <c r="H674" i="1" s="1"/>
  <c r="L673" i="1"/>
  <c r="K673" i="1"/>
  <c r="J673" i="1"/>
  <c r="I673" i="1"/>
  <c r="C673" i="1"/>
  <c r="H673" i="1" s="1"/>
  <c r="L672" i="1"/>
  <c r="K672" i="1"/>
  <c r="J672" i="1"/>
  <c r="I672" i="1"/>
  <c r="C672" i="1"/>
  <c r="H672" i="1" s="1"/>
  <c r="L671" i="1"/>
  <c r="K671" i="1"/>
  <c r="J671" i="1"/>
  <c r="I671" i="1"/>
  <c r="C671" i="1"/>
  <c r="H671" i="1" s="1"/>
  <c r="L670" i="1"/>
  <c r="K670" i="1"/>
  <c r="J670" i="1"/>
  <c r="I670" i="1"/>
  <c r="C670" i="1"/>
  <c r="H670" i="1" s="1"/>
  <c r="L669" i="1"/>
  <c r="K669" i="1"/>
  <c r="J669" i="1"/>
  <c r="I669" i="1"/>
  <c r="C669" i="1"/>
  <c r="H669" i="1" s="1"/>
  <c r="L668" i="1"/>
  <c r="K668" i="1"/>
  <c r="J668" i="1"/>
  <c r="I668" i="1"/>
  <c r="C668" i="1"/>
  <c r="H668" i="1" s="1"/>
  <c r="L667" i="1"/>
  <c r="K667" i="1"/>
  <c r="J667" i="1"/>
  <c r="I667" i="1"/>
  <c r="C667" i="1"/>
  <c r="H667" i="1" s="1"/>
  <c r="L666" i="1"/>
  <c r="K666" i="1"/>
  <c r="J666" i="1"/>
  <c r="I666" i="1"/>
  <c r="C666" i="1"/>
  <c r="H666" i="1" s="1"/>
  <c r="L665" i="1"/>
  <c r="K665" i="1"/>
  <c r="J665" i="1"/>
  <c r="I665" i="1"/>
  <c r="C665" i="1"/>
  <c r="H665" i="1" s="1"/>
  <c r="L664" i="1"/>
  <c r="K664" i="1"/>
  <c r="J664" i="1"/>
  <c r="I664" i="1"/>
  <c r="C664" i="1"/>
  <c r="H664" i="1" s="1"/>
  <c r="L663" i="1"/>
  <c r="K663" i="1"/>
  <c r="J663" i="1"/>
  <c r="I663" i="1"/>
  <c r="C663" i="1"/>
  <c r="H663" i="1" s="1"/>
  <c r="L662" i="1"/>
  <c r="K662" i="1"/>
  <c r="J662" i="1"/>
  <c r="I662" i="1"/>
  <c r="C662" i="1"/>
  <c r="H662" i="1" s="1"/>
  <c r="L661" i="1"/>
  <c r="K661" i="1"/>
  <c r="J661" i="1"/>
  <c r="I661" i="1"/>
  <c r="C661" i="1"/>
  <c r="H661" i="1" s="1"/>
  <c r="L660" i="1"/>
  <c r="K660" i="1"/>
  <c r="J660" i="1"/>
  <c r="I660" i="1"/>
  <c r="C660" i="1"/>
  <c r="H660" i="1" s="1"/>
  <c r="L659" i="1"/>
  <c r="K659" i="1"/>
  <c r="J659" i="1"/>
  <c r="I659" i="1"/>
  <c r="C659" i="1"/>
  <c r="H659" i="1" s="1"/>
  <c r="L658" i="1"/>
  <c r="K658" i="1"/>
  <c r="J658" i="1"/>
  <c r="I658" i="1"/>
  <c r="C658" i="1"/>
  <c r="H658" i="1" s="1"/>
  <c r="L657" i="1"/>
  <c r="K657" i="1"/>
  <c r="J657" i="1"/>
  <c r="I657" i="1"/>
  <c r="C657" i="1"/>
  <c r="H657" i="1" s="1"/>
  <c r="L656" i="1"/>
  <c r="K656" i="1"/>
  <c r="J656" i="1"/>
  <c r="I656" i="1"/>
  <c r="C656" i="1"/>
  <c r="H656" i="1" s="1"/>
  <c r="L655" i="1"/>
  <c r="K655" i="1"/>
  <c r="J655" i="1"/>
  <c r="I655" i="1"/>
  <c r="C655" i="1"/>
  <c r="H655" i="1" s="1"/>
  <c r="L654" i="1"/>
  <c r="K654" i="1"/>
  <c r="J654" i="1"/>
  <c r="I654" i="1"/>
  <c r="C654" i="1"/>
  <c r="H654" i="1" s="1"/>
  <c r="L653" i="1"/>
  <c r="K653" i="1"/>
  <c r="J653" i="1"/>
  <c r="I653" i="1"/>
  <c r="C653" i="1"/>
  <c r="H653" i="1" s="1"/>
  <c r="L652" i="1"/>
  <c r="K652" i="1"/>
  <c r="J652" i="1"/>
  <c r="I652" i="1"/>
  <c r="C652" i="1"/>
  <c r="H652" i="1" s="1"/>
  <c r="L651" i="1"/>
  <c r="K651" i="1"/>
  <c r="J651" i="1"/>
  <c r="I651" i="1"/>
  <c r="C651" i="1"/>
  <c r="H651" i="1" s="1"/>
  <c r="L650" i="1"/>
  <c r="K650" i="1"/>
  <c r="J650" i="1"/>
  <c r="I650" i="1"/>
  <c r="C650" i="1"/>
  <c r="H650" i="1" s="1"/>
  <c r="L649" i="1"/>
  <c r="K649" i="1"/>
  <c r="J649" i="1"/>
  <c r="I649" i="1"/>
  <c r="C649" i="1"/>
  <c r="H649" i="1" s="1"/>
  <c r="L648" i="1"/>
  <c r="K648" i="1"/>
  <c r="J648" i="1"/>
  <c r="I648" i="1"/>
  <c r="C648" i="1"/>
  <c r="H648" i="1" s="1"/>
  <c r="L647" i="1"/>
  <c r="K647" i="1"/>
  <c r="J647" i="1"/>
  <c r="I647" i="1"/>
  <c r="C647" i="1"/>
  <c r="H647" i="1" s="1"/>
  <c r="L646" i="1"/>
  <c r="K646" i="1"/>
  <c r="J646" i="1"/>
  <c r="I646" i="1"/>
  <c r="C646" i="1"/>
  <c r="H646" i="1" s="1"/>
  <c r="L645" i="1"/>
  <c r="K645" i="1"/>
  <c r="J645" i="1"/>
  <c r="I645" i="1"/>
  <c r="C645" i="1"/>
  <c r="H645" i="1" s="1"/>
  <c r="L644" i="1"/>
  <c r="K644" i="1"/>
  <c r="J644" i="1"/>
  <c r="I644" i="1"/>
  <c r="C644" i="1"/>
  <c r="H644" i="1" s="1"/>
  <c r="L643" i="1"/>
  <c r="K643" i="1"/>
  <c r="J643" i="1"/>
  <c r="I643" i="1"/>
  <c r="C643" i="1"/>
  <c r="H643" i="1" s="1"/>
  <c r="L642" i="1"/>
  <c r="K642" i="1"/>
  <c r="J642" i="1"/>
  <c r="I642" i="1"/>
  <c r="C642" i="1"/>
  <c r="H642" i="1" s="1"/>
  <c r="L641" i="1"/>
  <c r="K641" i="1"/>
  <c r="J641" i="1"/>
  <c r="I641" i="1"/>
  <c r="C641" i="1"/>
  <c r="H641" i="1" s="1"/>
  <c r="L640" i="1"/>
  <c r="K640" i="1"/>
  <c r="J640" i="1"/>
  <c r="I640" i="1"/>
  <c r="C640" i="1"/>
  <c r="H640" i="1" s="1"/>
  <c r="L639" i="1"/>
  <c r="K639" i="1"/>
  <c r="J639" i="1"/>
  <c r="I639" i="1"/>
  <c r="C639" i="1"/>
  <c r="H639" i="1" s="1"/>
  <c r="L638" i="1"/>
  <c r="K638" i="1"/>
  <c r="J638" i="1"/>
  <c r="I638" i="1"/>
  <c r="C638" i="1"/>
  <c r="H638" i="1" s="1"/>
  <c r="L637" i="1"/>
  <c r="K637" i="1"/>
  <c r="J637" i="1"/>
  <c r="I637" i="1"/>
  <c r="C637" i="1"/>
  <c r="H637" i="1" s="1"/>
  <c r="L636" i="1"/>
  <c r="K636" i="1"/>
  <c r="J636" i="1"/>
  <c r="I636" i="1"/>
  <c r="C636" i="1"/>
  <c r="H636" i="1" s="1"/>
  <c r="L635" i="1"/>
  <c r="K635" i="1"/>
  <c r="J635" i="1"/>
  <c r="I635" i="1"/>
  <c r="C635" i="1"/>
  <c r="H635" i="1" s="1"/>
  <c r="L634" i="1"/>
  <c r="K634" i="1"/>
  <c r="J634" i="1"/>
  <c r="I634" i="1"/>
  <c r="C634" i="1"/>
  <c r="H634" i="1" s="1"/>
  <c r="L633" i="1"/>
  <c r="K633" i="1"/>
  <c r="J633" i="1"/>
  <c r="I633" i="1"/>
  <c r="C633" i="1"/>
  <c r="H633" i="1" s="1"/>
  <c r="L632" i="1"/>
  <c r="K632" i="1"/>
  <c r="J632" i="1"/>
  <c r="I632" i="1"/>
  <c r="C632" i="1"/>
  <c r="H632" i="1" s="1"/>
  <c r="L631" i="1"/>
  <c r="K631" i="1"/>
  <c r="J631" i="1"/>
  <c r="I631" i="1"/>
  <c r="C631" i="1"/>
  <c r="H631" i="1" s="1"/>
  <c r="L630" i="1"/>
  <c r="K630" i="1"/>
  <c r="J630" i="1"/>
  <c r="I630" i="1"/>
  <c r="C630" i="1"/>
  <c r="H630" i="1" s="1"/>
  <c r="L629" i="1"/>
  <c r="K629" i="1"/>
  <c r="J629" i="1"/>
  <c r="I629" i="1"/>
  <c r="C629" i="1"/>
  <c r="H629" i="1" s="1"/>
  <c r="L628" i="1"/>
  <c r="K628" i="1"/>
  <c r="J628" i="1"/>
  <c r="I628" i="1"/>
  <c r="C628" i="1"/>
  <c r="H628" i="1" s="1"/>
  <c r="L627" i="1"/>
  <c r="K627" i="1"/>
  <c r="J627" i="1"/>
  <c r="I627" i="1"/>
  <c r="C627" i="1"/>
  <c r="H627" i="1" s="1"/>
  <c r="L626" i="1"/>
  <c r="K626" i="1"/>
  <c r="J626" i="1"/>
  <c r="I626" i="1"/>
  <c r="C626" i="1"/>
  <c r="H626" i="1" s="1"/>
  <c r="L625" i="1"/>
  <c r="K625" i="1"/>
  <c r="J625" i="1"/>
  <c r="I625" i="1"/>
  <c r="C625" i="1"/>
  <c r="H625" i="1" s="1"/>
  <c r="L624" i="1"/>
  <c r="K624" i="1"/>
  <c r="J624" i="1"/>
  <c r="I624" i="1"/>
  <c r="C624" i="1"/>
  <c r="H624" i="1" s="1"/>
  <c r="L623" i="1"/>
  <c r="K623" i="1"/>
  <c r="J623" i="1"/>
  <c r="I623" i="1"/>
  <c r="C623" i="1"/>
  <c r="H623" i="1" s="1"/>
  <c r="L622" i="1"/>
  <c r="K622" i="1"/>
  <c r="J622" i="1"/>
  <c r="I622" i="1"/>
  <c r="C622" i="1"/>
  <c r="H622" i="1" s="1"/>
  <c r="L621" i="1"/>
  <c r="K621" i="1"/>
  <c r="J621" i="1"/>
  <c r="I621" i="1"/>
  <c r="C621" i="1"/>
  <c r="H621" i="1" s="1"/>
  <c r="L620" i="1"/>
  <c r="K620" i="1"/>
  <c r="J620" i="1"/>
  <c r="I620" i="1"/>
  <c r="C620" i="1"/>
  <c r="H620" i="1" s="1"/>
  <c r="L619" i="1"/>
  <c r="K619" i="1"/>
  <c r="J619" i="1"/>
  <c r="I619" i="1"/>
  <c r="C619" i="1"/>
  <c r="H619" i="1" s="1"/>
  <c r="L618" i="1"/>
  <c r="K618" i="1"/>
  <c r="J618" i="1"/>
  <c r="I618" i="1"/>
  <c r="C618" i="1"/>
  <c r="H618" i="1" s="1"/>
  <c r="L617" i="1"/>
  <c r="K617" i="1"/>
  <c r="J617" i="1"/>
  <c r="I617" i="1"/>
  <c r="C617" i="1"/>
  <c r="H617" i="1" s="1"/>
  <c r="L616" i="1"/>
  <c r="K616" i="1"/>
  <c r="J616" i="1"/>
  <c r="I616" i="1"/>
  <c r="C616" i="1"/>
  <c r="H616" i="1" s="1"/>
  <c r="L615" i="1"/>
  <c r="K615" i="1"/>
  <c r="J615" i="1"/>
  <c r="I615" i="1"/>
  <c r="C615" i="1"/>
  <c r="H615" i="1" s="1"/>
  <c r="L614" i="1"/>
  <c r="K614" i="1"/>
  <c r="J614" i="1"/>
  <c r="I614" i="1"/>
  <c r="C614" i="1"/>
  <c r="H614" i="1" s="1"/>
  <c r="L613" i="1"/>
  <c r="K613" i="1"/>
  <c r="J613" i="1"/>
  <c r="I613" i="1"/>
  <c r="C613" i="1"/>
  <c r="H613" i="1" s="1"/>
  <c r="L612" i="1"/>
  <c r="K612" i="1"/>
  <c r="J612" i="1"/>
  <c r="I612" i="1"/>
  <c r="C612" i="1"/>
  <c r="H612" i="1" s="1"/>
  <c r="L611" i="1"/>
  <c r="K611" i="1"/>
  <c r="J611" i="1"/>
  <c r="I611" i="1"/>
  <c r="C611" i="1"/>
  <c r="H611" i="1" s="1"/>
  <c r="L610" i="1"/>
  <c r="K610" i="1"/>
  <c r="J610" i="1"/>
  <c r="I610" i="1"/>
  <c r="C610" i="1"/>
  <c r="H610" i="1" s="1"/>
  <c r="L609" i="1"/>
  <c r="K609" i="1"/>
  <c r="J609" i="1"/>
  <c r="I609" i="1"/>
  <c r="C609" i="1"/>
  <c r="H609" i="1" s="1"/>
  <c r="L608" i="1"/>
  <c r="K608" i="1"/>
  <c r="J608" i="1"/>
  <c r="I608" i="1"/>
  <c r="C608" i="1"/>
  <c r="H608" i="1" s="1"/>
  <c r="L607" i="1"/>
  <c r="K607" i="1"/>
  <c r="J607" i="1"/>
  <c r="I607" i="1"/>
  <c r="C607" i="1"/>
  <c r="H607" i="1" s="1"/>
  <c r="L606" i="1"/>
  <c r="K606" i="1"/>
  <c r="J606" i="1"/>
  <c r="I606" i="1"/>
  <c r="C606" i="1"/>
  <c r="H606" i="1" s="1"/>
  <c r="L605" i="1"/>
  <c r="K605" i="1"/>
  <c r="J605" i="1"/>
  <c r="I605" i="1"/>
  <c r="C605" i="1"/>
  <c r="H605" i="1" s="1"/>
  <c r="L604" i="1"/>
  <c r="K604" i="1"/>
  <c r="J604" i="1"/>
  <c r="I604" i="1"/>
  <c r="C604" i="1"/>
  <c r="H604" i="1" s="1"/>
  <c r="L603" i="1"/>
  <c r="K603" i="1"/>
  <c r="J603" i="1"/>
  <c r="I603" i="1"/>
  <c r="C603" i="1"/>
  <c r="H603" i="1" s="1"/>
  <c r="L602" i="1"/>
  <c r="K602" i="1"/>
  <c r="J602" i="1"/>
  <c r="I602" i="1"/>
  <c r="C602" i="1"/>
  <c r="H602" i="1" s="1"/>
  <c r="L601" i="1"/>
  <c r="K601" i="1"/>
  <c r="J601" i="1"/>
  <c r="I601" i="1"/>
  <c r="C601" i="1"/>
  <c r="H601" i="1" s="1"/>
  <c r="L600" i="1"/>
  <c r="K600" i="1"/>
  <c r="J600" i="1"/>
  <c r="I600" i="1"/>
  <c r="C600" i="1"/>
  <c r="H600" i="1" s="1"/>
  <c r="L599" i="1"/>
  <c r="K599" i="1"/>
  <c r="J599" i="1"/>
  <c r="I599" i="1"/>
  <c r="C599" i="1"/>
  <c r="H599" i="1" s="1"/>
  <c r="L598" i="1"/>
  <c r="K598" i="1"/>
  <c r="J598" i="1"/>
  <c r="I598" i="1"/>
  <c r="C598" i="1"/>
  <c r="H598" i="1" s="1"/>
  <c r="L597" i="1"/>
  <c r="K597" i="1"/>
  <c r="J597" i="1"/>
  <c r="I597" i="1"/>
  <c r="C597" i="1"/>
  <c r="H597" i="1" s="1"/>
  <c r="L596" i="1"/>
  <c r="K596" i="1"/>
  <c r="J596" i="1"/>
  <c r="I596" i="1"/>
  <c r="C596" i="1"/>
  <c r="H596" i="1" s="1"/>
  <c r="L595" i="1"/>
  <c r="K595" i="1"/>
  <c r="J595" i="1"/>
  <c r="I595" i="1"/>
  <c r="C595" i="1"/>
  <c r="H595" i="1" s="1"/>
  <c r="L594" i="1"/>
  <c r="K594" i="1"/>
  <c r="J594" i="1"/>
  <c r="I594" i="1"/>
  <c r="C594" i="1"/>
  <c r="H594" i="1" s="1"/>
  <c r="L593" i="1"/>
  <c r="K593" i="1"/>
  <c r="J593" i="1"/>
  <c r="I593" i="1"/>
  <c r="C593" i="1"/>
  <c r="H593" i="1" s="1"/>
  <c r="L592" i="1"/>
  <c r="K592" i="1"/>
  <c r="J592" i="1"/>
  <c r="I592" i="1"/>
  <c r="C592" i="1"/>
  <c r="H592" i="1" s="1"/>
  <c r="L591" i="1"/>
  <c r="K591" i="1"/>
  <c r="J591" i="1"/>
  <c r="I591" i="1"/>
  <c r="C591" i="1"/>
  <c r="H591" i="1" s="1"/>
  <c r="L590" i="1"/>
  <c r="K590" i="1"/>
  <c r="J590" i="1"/>
  <c r="I590" i="1"/>
  <c r="C590" i="1"/>
  <c r="H590" i="1" s="1"/>
  <c r="L589" i="1"/>
  <c r="K589" i="1"/>
  <c r="J589" i="1"/>
  <c r="I589" i="1"/>
  <c r="C589" i="1"/>
  <c r="H589" i="1" s="1"/>
  <c r="L588" i="1"/>
  <c r="K588" i="1"/>
  <c r="J588" i="1"/>
  <c r="I588" i="1"/>
  <c r="C588" i="1"/>
  <c r="H588" i="1" s="1"/>
  <c r="L587" i="1"/>
  <c r="K587" i="1"/>
  <c r="J587" i="1"/>
  <c r="I587" i="1"/>
  <c r="C587" i="1"/>
  <c r="H587" i="1" s="1"/>
  <c r="L586" i="1"/>
  <c r="K586" i="1"/>
  <c r="J586" i="1"/>
  <c r="I586" i="1"/>
  <c r="C586" i="1"/>
  <c r="H586" i="1" s="1"/>
  <c r="L585" i="1"/>
  <c r="K585" i="1"/>
  <c r="J585" i="1"/>
  <c r="I585" i="1"/>
  <c r="C585" i="1"/>
  <c r="H585" i="1" s="1"/>
  <c r="L584" i="1"/>
  <c r="K584" i="1"/>
  <c r="J584" i="1"/>
  <c r="I584" i="1"/>
  <c r="C584" i="1"/>
  <c r="H584" i="1" s="1"/>
  <c r="L583" i="1"/>
  <c r="K583" i="1"/>
  <c r="J583" i="1"/>
  <c r="I583" i="1"/>
  <c r="C583" i="1"/>
  <c r="H583" i="1" s="1"/>
  <c r="L582" i="1"/>
  <c r="K582" i="1"/>
  <c r="J582" i="1"/>
  <c r="I582" i="1"/>
  <c r="C582" i="1"/>
  <c r="H582" i="1" s="1"/>
  <c r="L581" i="1"/>
  <c r="K581" i="1"/>
  <c r="J581" i="1"/>
  <c r="I581" i="1"/>
  <c r="C581" i="1"/>
  <c r="H581" i="1" s="1"/>
  <c r="L580" i="1"/>
  <c r="K580" i="1"/>
  <c r="J580" i="1"/>
  <c r="I580" i="1"/>
  <c r="C580" i="1"/>
  <c r="H580" i="1" s="1"/>
  <c r="L579" i="1"/>
  <c r="K579" i="1"/>
  <c r="J579" i="1"/>
  <c r="I579" i="1"/>
  <c r="C579" i="1"/>
  <c r="H579" i="1" s="1"/>
  <c r="L578" i="1"/>
  <c r="K578" i="1"/>
  <c r="J578" i="1"/>
  <c r="I578" i="1"/>
  <c r="C578" i="1"/>
  <c r="H578" i="1" s="1"/>
  <c r="L577" i="1"/>
  <c r="K577" i="1"/>
  <c r="J577" i="1"/>
  <c r="I577" i="1"/>
  <c r="C577" i="1"/>
  <c r="H577" i="1" s="1"/>
  <c r="L576" i="1"/>
  <c r="K576" i="1"/>
  <c r="J576" i="1"/>
  <c r="I576" i="1"/>
  <c r="C576" i="1"/>
  <c r="H576" i="1" s="1"/>
  <c r="L575" i="1"/>
  <c r="K575" i="1"/>
  <c r="J575" i="1"/>
  <c r="I575" i="1"/>
  <c r="C575" i="1"/>
  <c r="H575" i="1" s="1"/>
  <c r="L574" i="1"/>
  <c r="K574" i="1"/>
  <c r="J574" i="1"/>
  <c r="I574" i="1"/>
  <c r="C574" i="1"/>
  <c r="H574" i="1" s="1"/>
  <c r="L573" i="1"/>
  <c r="K573" i="1"/>
  <c r="J573" i="1"/>
  <c r="I573" i="1"/>
  <c r="C573" i="1"/>
  <c r="H573" i="1" s="1"/>
  <c r="L572" i="1"/>
  <c r="K572" i="1"/>
  <c r="J572" i="1"/>
  <c r="I572" i="1"/>
  <c r="C572" i="1"/>
  <c r="H572" i="1" s="1"/>
  <c r="L571" i="1"/>
  <c r="K571" i="1"/>
  <c r="J571" i="1"/>
  <c r="I571" i="1"/>
  <c r="C571" i="1"/>
  <c r="H571" i="1" s="1"/>
  <c r="L570" i="1"/>
  <c r="K570" i="1"/>
  <c r="J570" i="1"/>
  <c r="I570" i="1"/>
  <c r="C570" i="1"/>
  <c r="H570" i="1" s="1"/>
  <c r="L569" i="1"/>
  <c r="K569" i="1"/>
  <c r="J569" i="1"/>
  <c r="I569" i="1"/>
  <c r="C569" i="1"/>
  <c r="H569" i="1" s="1"/>
  <c r="L568" i="1"/>
  <c r="K568" i="1"/>
  <c r="J568" i="1"/>
  <c r="I568" i="1"/>
  <c r="C568" i="1"/>
  <c r="H568" i="1" s="1"/>
  <c r="L567" i="1"/>
  <c r="K567" i="1"/>
  <c r="J567" i="1"/>
  <c r="I567" i="1"/>
  <c r="C567" i="1"/>
  <c r="H567" i="1" s="1"/>
  <c r="L566" i="1"/>
  <c r="K566" i="1"/>
  <c r="J566" i="1"/>
  <c r="I566" i="1"/>
  <c r="C566" i="1"/>
  <c r="H566" i="1" s="1"/>
  <c r="L565" i="1"/>
  <c r="K565" i="1"/>
  <c r="J565" i="1"/>
  <c r="I565" i="1"/>
  <c r="C565" i="1"/>
  <c r="H565" i="1" s="1"/>
  <c r="L564" i="1"/>
  <c r="K564" i="1"/>
  <c r="J564" i="1"/>
  <c r="I564" i="1"/>
  <c r="C564" i="1"/>
  <c r="H564" i="1" s="1"/>
  <c r="L563" i="1"/>
  <c r="K563" i="1"/>
  <c r="J563" i="1"/>
  <c r="I563" i="1"/>
  <c r="C563" i="1"/>
  <c r="H563" i="1" s="1"/>
  <c r="L562" i="1"/>
  <c r="K562" i="1"/>
  <c r="J562" i="1"/>
  <c r="I562" i="1"/>
  <c r="C562" i="1"/>
  <c r="H562" i="1" s="1"/>
  <c r="L561" i="1"/>
  <c r="K561" i="1"/>
  <c r="J561" i="1"/>
  <c r="I561" i="1"/>
  <c r="C561" i="1"/>
  <c r="H561" i="1" s="1"/>
  <c r="L560" i="1"/>
  <c r="K560" i="1"/>
  <c r="J560" i="1"/>
  <c r="I560" i="1"/>
  <c r="C560" i="1"/>
  <c r="H560" i="1" s="1"/>
  <c r="L559" i="1"/>
  <c r="K559" i="1"/>
  <c r="J559" i="1"/>
  <c r="I559" i="1"/>
  <c r="C559" i="1"/>
  <c r="H559" i="1" s="1"/>
  <c r="L558" i="1"/>
  <c r="K558" i="1"/>
  <c r="J558" i="1"/>
  <c r="I558" i="1"/>
  <c r="C558" i="1"/>
  <c r="H558" i="1" s="1"/>
  <c r="L557" i="1"/>
  <c r="K557" i="1"/>
  <c r="J557" i="1"/>
  <c r="I557" i="1"/>
  <c r="C557" i="1"/>
  <c r="H557" i="1" s="1"/>
  <c r="L556" i="1"/>
  <c r="K556" i="1"/>
  <c r="J556" i="1"/>
  <c r="I556" i="1"/>
  <c r="C556" i="1"/>
  <c r="H556" i="1" s="1"/>
  <c r="L555" i="1"/>
  <c r="K555" i="1"/>
  <c r="J555" i="1"/>
  <c r="I555" i="1"/>
  <c r="C555" i="1"/>
  <c r="H555" i="1" s="1"/>
  <c r="L554" i="1"/>
  <c r="K554" i="1"/>
  <c r="J554" i="1"/>
  <c r="I554" i="1"/>
  <c r="C554" i="1"/>
  <c r="H554" i="1" s="1"/>
  <c r="L553" i="1"/>
  <c r="K553" i="1"/>
  <c r="J553" i="1"/>
  <c r="I553" i="1"/>
  <c r="C553" i="1"/>
  <c r="H553" i="1" s="1"/>
  <c r="L552" i="1"/>
  <c r="K552" i="1"/>
  <c r="J552" i="1"/>
  <c r="I552" i="1"/>
  <c r="C552" i="1"/>
  <c r="H552" i="1" s="1"/>
  <c r="L551" i="1"/>
  <c r="K551" i="1"/>
  <c r="J551" i="1"/>
  <c r="I551" i="1"/>
  <c r="C551" i="1"/>
  <c r="H551" i="1" s="1"/>
  <c r="L550" i="1"/>
  <c r="K550" i="1"/>
  <c r="J550" i="1"/>
  <c r="I550" i="1"/>
  <c r="C550" i="1"/>
  <c r="H550" i="1" s="1"/>
  <c r="L549" i="1"/>
  <c r="K549" i="1"/>
  <c r="J549" i="1"/>
  <c r="I549" i="1"/>
  <c r="C549" i="1"/>
  <c r="H549" i="1" s="1"/>
  <c r="L548" i="1"/>
  <c r="K548" i="1"/>
  <c r="J548" i="1"/>
  <c r="I548" i="1"/>
  <c r="C548" i="1"/>
  <c r="H548" i="1" s="1"/>
  <c r="L547" i="1"/>
  <c r="K547" i="1"/>
  <c r="J547" i="1"/>
  <c r="I547" i="1"/>
  <c r="C547" i="1"/>
  <c r="H547" i="1" s="1"/>
  <c r="L546" i="1"/>
  <c r="K546" i="1"/>
  <c r="J546" i="1"/>
  <c r="I546" i="1"/>
  <c r="C546" i="1"/>
  <c r="H546" i="1" s="1"/>
  <c r="L545" i="1"/>
  <c r="K545" i="1"/>
  <c r="J545" i="1"/>
  <c r="I545" i="1"/>
  <c r="C545" i="1"/>
  <c r="H545" i="1" s="1"/>
  <c r="L544" i="1"/>
  <c r="K544" i="1"/>
  <c r="J544" i="1"/>
  <c r="I544" i="1"/>
  <c r="C544" i="1"/>
  <c r="H544" i="1" s="1"/>
  <c r="L543" i="1"/>
  <c r="K543" i="1"/>
  <c r="J543" i="1"/>
  <c r="I543" i="1"/>
  <c r="C543" i="1"/>
  <c r="H543" i="1" s="1"/>
  <c r="L542" i="1"/>
  <c r="K542" i="1"/>
  <c r="J542" i="1"/>
  <c r="I542" i="1"/>
  <c r="C542" i="1"/>
  <c r="H542" i="1" s="1"/>
  <c r="L541" i="1"/>
  <c r="K541" i="1"/>
  <c r="J541" i="1"/>
  <c r="I541" i="1"/>
  <c r="C541" i="1"/>
  <c r="H541" i="1" s="1"/>
  <c r="L540" i="1"/>
  <c r="K540" i="1"/>
  <c r="J540" i="1"/>
  <c r="I540" i="1"/>
  <c r="C540" i="1"/>
  <c r="H540" i="1" s="1"/>
  <c r="L539" i="1"/>
  <c r="K539" i="1"/>
  <c r="J539" i="1"/>
  <c r="I539" i="1"/>
  <c r="C539" i="1"/>
  <c r="H539" i="1" s="1"/>
  <c r="L538" i="1"/>
  <c r="K538" i="1"/>
  <c r="J538" i="1"/>
  <c r="I538" i="1"/>
  <c r="C538" i="1"/>
  <c r="H538" i="1" s="1"/>
  <c r="L537" i="1"/>
  <c r="K537" i="1"/>
  <c r="J537" i="1"/>
  <c r="I537" i="1"/>
  <c r="C537" i="1"/>
  <c r="H537" i="1" s="1"/>
  <c r="L536" i="1"/>
  <c r="K536" i="1"/>
  <c r="J536" i="1"/>
  <c r="I536" i="1"/>
  <c r="C536" i="1"/>
  <c r="H536" i="1" s="1"/>
  <c r="L535" i="1"/>
  <c r="K535" i="1"/>
  <c r="J535" i="1"/>
  <c r="I535" i="1"/>
  <c r="C535" i="1"/>
  <c r="H535" i="1" s="1"/>
  <c r="L534" i="1"/>
  <c r="K534" i="1"/>
  <c r="J534" i="1"/>
  <c r="I534" i="1"/>
  <c r="C534" i="1"/>
  <c r="H534" i="1" s="1"/>
  <c r="L533" i="1"/>
  <c r="K533" i="1"/>
  <c r="J533" i="1"/>
  <c r="I533" i="1"/>
  <c r="C533" i="1"/>
  <c r="H533" i="1" s="1"/>
  <c r="L532" i="1"/>
  <c r="K532" i="1"/>
  <c r="J532" i="1"/>
  <c r="I532" i="1"/>
  <c r="C532" i="1"/>
  <c r="H532" i="1" s="1"/>
  <c r="L531" i="1"/>
  <c r="K531" i="1"/>
  <c r="J531" i="1"/>
  <c r="I531" i="1"/>
  <c r="C531" i="1"/>
  <c r="H531" i="1" s="1"/>
  <c r="L530" i="1"/>
  <c r="K530" i="1"/>
  <c r="J530" i="1"/>
  <c r="I530" i="1"/>
  <c r="C530" i="1"/>
  <c r="H530" i="1" s="1"/>
  <c r="L529" i="1"/>
  <c r="K529" i="1"/>
  <c r="J529" i="1"/>
  <c r="I529" i="1"/>
  <c r="C529" i="1"/>
  <c r="H529" i="1" s="1"/>
  <c r="L528" i="1"/>
  <c r="K528" i="1"/>
  <c r="J528" i="1"/>
  <c r="I528" i="1"/>
  <c r="C528" i="1"/>
  <c r="H528" i="1" s="1"/>
  <c r="L527" i="1"/>
  <c r="K527" i="1"/>
  <c r="J527" i="1"/>
  <c r="I527" i="1"/>
  <c r="C527" i="1"/>
  <c r="H527" i="1" s="1"/>
  <c r="L526" i="1"/>
  <c r="K526" i="1"/>
  <c r="J526" i="1"/>
  <c r="I526" i="1"/>
  <c r="C526" i="1"/>
  <c r="H526" i="1" s="1"/>
  <c r="L525" i="1"/>
  <c r="K525" i="1"/>
  <c r="J525" i="1"/>
  <c r="I525" i="1"/>
  <c r="C525" i="1"/>
  <c r="H525" i="1" s="1"/>
  <c r="L524" i="1"/>
  <c r="K524" i="1"/>
  <c r="J524" i="1"/>
  <c r="I524" i="1"/>
  <c r="C524" i="1"/>
  <c r="H524" i="1" s="1"/>
  <c r="L523" i="1"/>
  <c r="K523" i="1"/>
  <c r="J523" i="1"/>
  <c r="I523" i="1"/>
  <c r="C523" i="1"/>
  <c r="H523" i="1" s="1"/>
  <c r="L522" i="1"/>
  <c r="K522" i="1"/>
  <c r="J522" i="1"/>
  <c r="I522" i="1"/>
  <c r="C522" i="1"/>
  <c r="H522" i="1" s="1"/>
  <c r="L521" i="1"/>
  <c r="K521" i="1"/>
  <c r="J521" i="1"/>
  <c r="I521" i="1"/>
  <c r="C521" i="1"/>
  <c r="H521" i="1" s="1"/>
  <c r="L520" i="1"/>
  <c r="K520" i="1"/>
  <c r="J520" i="1"/>
  <c r="I520" i="1"/>
  <c r="C520" i="1"/>
  <c r="H520" i="1" s="1"/>
  <c r="L519" i="1"/>
  <c r="K519" i="1"/>
  <c r="J519" i="1"/>
  <c r="I519" i="1"/>
  <c r="C519" i="1"/>
  <c r="H519" i="1" s="1"/>
  <c r="L518" i="1"/>
  <c r="K518" i="1"/>
  <c r="J518" i="1"/>
  <c r="I518" i="1"/>
  <c r="C518" i="1"/>
  <c r="H518" i="1" s="1"/>
  <c r="L517" i="1"/>
  <c r="K517" i="1"/>
  <c r="J517" i="1"/>
  <c r="I517" i="1"/>
  <c r="C517" i="1"/>
  <c r="H517" i="1" s="1"/>
  <c r="L516" i="1"/>
  <c r="K516" i="1"/>
  <c r="J516" i="1"/>
  <c r="I516" i="1"/>
  <c r="C516" i="1"/>
  <c r="H516" i="1" s="1"/>
  <c r="L515" i="1"/>
  <c r="K515" i="1"/>
  <c r="J515" i="1"/>
  <c r="I515" i="1"/>
  <c r="C515" i="1"/>
  <c r="H515" i="1" s="1"/>
  <c r="L514" i="1"/>
  <c r="K514" i="1"/>
  <c r="J514" i="1"/>
  <c r="I514" i="1"/>
  <c r="C514" i="1"/>
  <c r="H514" i="1" s="1"/>
  <c r="L513" i="1"/>
  <c r="K513" i="1"/>
  <c r="J513" i="1"/>
  <c r="I513" i="1"/>
  <c r="C513" i="1"/>
  <c r="H513" i="1" s="1"/>
  <c r="L512" i="1"/>
  <c r="K512" i="1"/>
  <c r="J512" i="1"/>
  <c r="I512" i="1"/>
  <c r="C512" i="1"/>
  <c r="H512" i="1" s="1"/>
  <c r="L511" i="1"/>
  <c r="K511" i="1"/>
  <c r="J511" i="1"/>
  <c r="I511" i="1"/>
  <c r="C511" i="1"/>
  <c r="H511" i="1" s="1"/>
  <c r="L510" i="1"/>
  <c r="K510" i="1"/>
  <c r="J510" i="1"/>
  <c r="I510" i="1"/>
  <c r="C510" i="1"/>
  <c r="H510" i="1" s="1"/>
  <c r="L509" i="1"/>
  <c r="K509" i="1"/>
  <c r="J509" i="1"/>
  <c r="I509" i="1"/>
  <c r="C509" i="1"/>
  <c r="H509" i="1" s="1"/>
  <c r="L508" i="1"/>
  <c r="K508" i="1"/>
  <c r="J508" i="1"/>
  <c r="I508" i="1"/>
  <c r="C508" i="1"/>
  <c r="H508" i="1" s="1"/>
  <c r="L507" i="1"/>
  <c r="K507" i="1"/>
  <c r="J507" i="1"/>
  <c r="I507" i="1"/>
  <c r="C507" i="1"/>
  <c r="H507" i="1" s="1"/>
  <c r="L506" i="1"/>
  <c r="K506" i="1"/>
  <c r="J506" i="1"/>
  <c r="I506" i="1"/>
  <c r="C506" i="1"/>
  <c r="H506" i="1" s="1"/>
  <c r="L505" i="1"/>
  <c r="K505" i="1"/>
  <c r="J505" i="1"/>
  <c r="I505" i="1"/>
  <c r="C505" i="1"/>
  <c r="H505" i="1" s="1"/>
  <c r="L504" i="1"/>
  <c r="K504" i="1"/>
  <c r="J504" i="1"/>
  <c r="I504" i="1"/>
  <c r="C504" i="1"/>
  <c r="H504" i="1" s="1"/>
  <c r="L503" i="1"/>
  <c r="K503" i="1"/>
  <c r="J503" i="1"/>
  <c r="I503" i="1"/>
  <c r="C503" i="1"/>
  <c r="H503" i="1" s="1"/>
  <c r="L502" i="1"/>
  <c r="K502" i="1"/>
  <c r="J502" i="1"/>
  <c r="I502" i="1"/>
  <c r="C502" i="1"/>
  <c r="H502" i="1" s="1"/>
  <c r="L501" i="1"/>
  <c r="K501" i="1"/>
  <c r="J501" i="1"/>
  <c r="I501" i="1"/>
  <c r="C501" i="1"/>
  <c r="H501" i="1" s="1"/>
  <c r="L500" i="1"/>
  <c r="K500" i="1"/>
  <c r="J500" i="1"/>
  <c r="I500" i="1"/>
  <c r="C500" i="1"/>
  <c r="H500" i="1" s="1"/>
  <c r="L499" i="1"/>
  <c r="K499" i="1"/>
  <c r="J499" i="1"/>
  <c r="I499" i="1"/>
  <c r="C499" i="1"/>
  <c r="H499" i="1" s="1"/>
  <c r="L498" i="1"/>
  <c r="K498" i="1"/>
  <c r="J498" i="1"/>
  <c r="I498" i="1"/>
  <c r="C498" i="1"/>
  <c r="H498" i="1" s="1"/>
  <c r="L497" i="1"/>
  <c r="K497" i="1"/>
  <c r="J497" i="1"/>
  <c r="I497" i="1"/>
  <c r="C497" i="1"/>
  <c r="H497" i="1" s="1"/>
  <c r="L496" i="1"/>
  <c r="K496" i="1"/>
  <c r="J496" i="1"/>
  <c r="I496" i="1"/>
  <c r="C496" i="1"/>
  <c r="H496" i="1" s="1"/>
  <c r="L495" i="1"/>
  <c r="K495" i="1"/>
  <c r="J495" i="1"/>
  <c r="I495" i="1"/>
  <c r="C495" i="1"/>
  <c r="H495" i="1" s="1"/>
  <c r="L494" i="1"/>
  <c r="K494" i="1"/>
  <c r="J494" i="1"/>
  <c r="I494" i="1"/>
  <c r="C494" i="1"/>
  <c r="H494" i="1" s="1"/>
  <c r="L493" i="1"/>
  <c r="K493" i="1"/>
  <c r="J493" i="1"/>
  <c r="I493" i="1"/>
  <c r="C493" i="1"/>
  <c r="H493" i="1" s="1"/>
  <c r="L492" i="1"/>
  <c r="K492" i="1"/>
  <c r="J492" i="1"/>
  <c r="I492" i="1"/>
  <c r="C492" i="1"/>
  <c r="H492" i="1" s="1"/>
  <c r="L491" i="1"/>
  <c r="K491" i="1"/>
  <c r="J491" i="1"/>
  <c r="I491" i="1"/>
  <c r="C491" i="1"/>
  <c r="H491" i="1" s="1"/>
  <c r="L490" i="1"/>
  <c r="K490" i="1"/>
  <c r="J490" i="1"/>
  <c r="I490" i="1"/>
  <c r="C490" i="1"/>
  <c r="H490" i="1" s="1"/>
  <c r="L489" i="1"/>
  <c r="K489" i="1"/>
  <c r="J489" i="1"/>
  <c r="I489" i="1"/>
  <c r="C489" i="1"/>
  <c r="H489" i="1" s="1"/>
  <c r="L488" i="1"/>
  <c r="K488" i="1"/>
  <c r="J488" i="1"/>
  <c r="I488" i="1"/>
  <c r="C488" i="1"/>
  <c r="H488" i="1" s="1"/>
  <c r="L487" i="1"/>
  <c r="K487" i="1"/>
  <c r="J487" i="1"/>
  <c r="I487" i="1"/>
  <c r="C487" i="1"/>
  <c r="H487" i="1" s="1"/>
  <c r="L486" i="1"/>
  <c r="K486" i="1"/>
  <c r="J486" i="1"/>
  <c r="I486" i="1"/>
  <c r="C486" i="1"/>
  <c r="H486" i="1" s="1"/>
  <c r="L485" i="1"/>
  <c r="K485" i="1"/>
  <c r="J485" i="1"/>
  <c r="I485" i="1"/>
  <c r="C485" i="1"/>
  <c r="H485" i="1" s="1"/>
  <c r="L484" i="1"/>
  <c r="K484" i="1"/>
  <c r="J484" i="1"/>
  <c r="I484" i="1"/>
  <c r="C484" i="1"/>
  <c r="H484" i="1" s="1"/>
  <c r="L483" i="1"/>
  <c r="K483" i="1"/>
  <c r="J483" i="1"/>
  <c r="I483" i="1"/>
  <c r="C483" i="1"/>
  <c r="H483" i="1" s="1"/>
  <c r="L482" i="1"/>
  <c r="K482" i="1"/>
  <c r="J482" i="1"/>
  <c r="I482" i="1"/>
  <c r="C482" i="1"/>
  <c r="H482" i="1" s="1"/>
  <c r="L481" i="1"/>
  <c r="K481" i="1"/>
  <c r="J481" i="1"/>
  <c r="I481" i="1"/>
  <c r="C481" i="1"/>
  <c r="H481" i="1" s="1"/>
  <c r="L480" i="1"/>
  <c r="K480" i="1"/>
  <c r="J480" i="1"/>
  <c r="I480" i="1"/>
  <c r="C480" i="1"/>
  <c r="H480" i="1" s="1"/>
  <c r="L479" i="1"/>
  <c r="K479" i="1"/>
  <c r="J479" i="1"/>
  <c r="I479" i="1"/>
  <c r="C479" i="1"/>
  <c r="H479" i="1" s="1"/>
  <c r="L478" i="1"/>
  <c r="K478" i="1"/>
  <c r="J478" i="1"/>
  <c r="I478" i="1"/>
  <c r="C478" i="1"/>
  <c r="H478" i="1" s="1"/>
  <c r="L477" i="1"/>
  <c r="K477" i="1"/>
  <c r="J477" i="1"/>
  <c r="I477" i="1"/>
  <c r="C477" i="1"/>
  <c r="H477" i="1" s="1"/>
  <c r="L476" i="1"/>
  <c r="K476" i="1"/>
  <c r="J476" i="1"/>
  <c r="I476" i="1"/>
  <c r="C476" i="1"/>
  <c r="H476" i="1" s="1"/>
  <c r="L475" i="1"/>
  <c r="K475" i="1"/>
  <c r="J475" i="1"/>
  <c r="I475" i="1"/>
  <c r="C475" i="1"/>
  <c r="H475" i="1" s="1"/>
  <c r="L474" i="1"/>
  <c r="K474" i="1"/>
  <c r="J474" i="1"/>
  <c r="I474" i="1"/>
  <c r="C474" i="1"/>
  <c r="H474" i="1" s="1"/>
  <c r="L473" i="1"/>
  <c r="K473" i="1"/>
  <c r="J473" i="1"/>
  <c r="I473" i="1"/>
  <c r="C473" i="1"/>
  <c r="H473" i="1" s="1"/>
  <c r="L472" i="1"/>
  <c r="K472" i="1"/>
  <c r="J472" i="1"/>
  <c r="I472" i="1"/>
  <c r="C472" i="1"/>
  <c r="H472" i="1" s="1"/>
  <c r="L471" i="1"/>
  <c r="K471" i="1"/>
  <c r="J471" i="1"/>
  <c r="I471" i="1"/>
  <c r="C471" i="1"/>
  <c r="H471" i="1" s="1"/>
  <c r="L470" i="1"/>
  <c r="K470" i="1"/>
  <c r="J470" i="1"/>
  <c r="I470" i="1"/>
  <c r="C470" i="1"/>
  <c r="H470" i="1" s="1"/>
  <c r="L469" i="1"/>
  <c r="K469" i="1"/>
  <c r="J469" i="1"/>
  <c r="I469" i="1"/>
  <c r="C469" i="1"/>
  <c r="H469" i="1" s="1"/>
  <c r="L468" i="1"/>
  <c r="K468" i="1"/>
  <c r="J468" i="1"/>
  <c r="I468" i="1"/>
  <c r="C468" i="1"/>
  <c r="H468" i="1" s="1"/>
  <c r="L467" i="1"/>
  <c r="K467" i="1"/>
  <c r="J467" i="1"/>
  <c r="I467" i="1"/>
  <c r="C467" i="1"/>
  <c r="H467" i="1" s="1"/>
  <c r="L466" i="1"/>
  <c r="K466" i="1"/>
  <c r="J466" i="1"/>
  <c r="I466" i="1"/>
  <c r="C466" i="1"/>
  <c r="H466" i="1" s="1"/>
  <c r="L465" i="1"/>
  <c r="K465" i="1"/>
  <c r="J465" i="1"/>
  <c r="I465" i="1"/>
  <c r="C465" i="1"/>
  <c r="H465" i="1" s="1"/>
  <c r="L464" i="1"/>
  <c r="K464" i="1"/>
  <c r="J464" i="1"/>
  <c r="I464" i="1"/>
  <c r="C464" i="1"/>
  <c r="H464" i="1" s="1"/>
  <c r="L463" i="1"/>
  <c r="K463" i="1"/>
  <c r="J463" i="1"/>
  <c r="I463" i="1"/>
  <c r="C463" i="1"/>
  <c r="H463" i="1" s="1"/>
  <c r="L462" i="1"/>
  <c r="K462" i="1"/>
  <c r="J462" i="1"/>
  <c r="I462" i="1"/>
  <c r="C462" i="1"/>
  <c r="H462" i="1" s="1"/>
  <c r="L461" i="1"/>
  <c r="K461" i="1"/>
  <c r="J461" i="1"/>
  <c r="I461" i="1"/>
  <c r="C461" i="1"/>
  <c r="H461" i="1" s="1"/>
  <c r="L460" i="1"/>
  <c r="K460" i="1"/>
  <c r="J460" i="1"/>
  <c r="I460" i="1"/>
  <c r="C460" i="1"/>
  <c r="H460" i="1" s="1"/>
  <c r="L459" i="1"/>
  <c r="K459" i="1"/>
  <c r="J459" i="1"/>
  <c r="I459" i="1"/>
  <c r="C459" i="1"/>
  <c r="H459" i="1" s="1"/>
  <c r="L458" i="1"/>
  <c r="K458" i="1"/>
  <c r="J458" i="1"/>
  <c r="I458" i="1"/>
  <c r="C458" i="1"/>
  <c r="H458" i="1" s="1"/>
  <c r="L457" i="1"/>
  <c r="K457" i="1"/>
  <c r="J457" i="1"/>
  <c r="I457" i="1"/>
  <c r="C457" i="1"/>
  <c r="H457" i="1" s="1"/>
  <c r="L456" i="1"/>
  <c r="K456" i="1"/>
  <c r="J456" i="1"/>
  <c r="I456" i="1"/>
  <c r="C456" i="1"/>
  <c r="H456" i="1" s="1"/>
  <c r="L455" i="1"/>
  <c r="K455" i="1"/>
  <c r="J455" i="1"/>
  <c r="I455" i="1"/>
  <c r="C455" i="1"/>
  <c r="H455" i="1" s="1"/>
  <c r="L454" i="1"/>
  <c r="K454" i="1"/>
  <c r="J454" i="1"/>
  <c r="I454" i="1"/>
  <c r="C454" i="1"/>
  <c r="H454" i="1" s="1"/>
  <c r="L453" i="1"/>
  <c r="K453" i="1"/>
  <c r="J453" i="1"/>
  <c r="I453" i="1"/>
  <c r="C453" i="1"/>
  <c r="H453" i="1" s="1"/>
  <c r="L452" i="1"/>
  <c r="K452" i="1"/>
  <c r="J452" i="1"/>
  <c r="I452" i="1"/>
  <c r="C452" i="1"/>
  <c r="H452" i="1" s="1"/>
  <c r="L451" i="1"/>
  <c r="K451" i="1"/>
  <c r="J451" i="1"/>
  <c r="I451" i="1"/>
  <c r="C451" i="1"/>
  <c r="H451" i="1" s="1"/>
  <c r="L450" i="1"/>
  <c r="K450" i="1"/>
  <c r="J450" i="1"/>
  <c r="I450" i="1"/>
  <c r="C450" i="1"/>
  <c r="H450" i="1" s="1"/>
  <c r="L449" i="1"/>
  <c r="K449" i="1"/>
  <c r="J449" i="1"/>
  <c r="I449" i="1"/>
  <c r="C449" i="1"/>
  <c r="H449" i="1" s="1"/>
  <c r="L448" i="1"/>
  <c r="K448" i="1"/>
  <c r="J448" i="1"/>
  <c r="I448" i="1"/>
  <c r="C448" i="1"/>
  <c r="H448" i="1" s="1"/>
  <c r="L447" i="1"/>
  <c r="K447" i="1"/>
  <c r="J447" i="1"/>
  <c r="I447" i="1"/>
  <c r="C447" i="1"/>
  <c r="H447" i="1" s="1"/>
  <c r="L446" i="1"/>
  <c r="K446" i="1"/>
  <c r="J446" i="1"/>
  <c r="I446" i="1"/>
  <c r="C446" i="1"/>
  <c r="H446" i="1" s="1"/>
  <c r="L445" i="1"/>
  <c r="K445" i="1"/>
  <c r="J445" i="1"/>
  <c r="I445" i="1"/>
  <c r="C445" i="1"/>
  <c r="H445" i="1" s="1"/>
  <c r="L444" i="1"/>
  <c r="K444" i="1"/>
  <c r="J444" i="1"/>
  <c r="I444" i="1"/>
  <c r="C444" i="1"/>
  <c r="H444" i="1" s="1"/>
  <c r="L443" i="1"/>
  <c r="K443" i="1"/>
  <c r="J443" i="1"/>
  <c r="I443" i="1"/>
  <c r="C443" i="1"/>
  <c r="H443" i="1" s="1"/>
  <c r="L442" i="1"/>
  <c r="K442" i="1"/>
  <c r="J442" i="1"/>
  <c r="I442" i="1"/>
  <c r="C442" i="1"/>
  <c r="H442" i="1" s="1"/>
  <c r="L441" i="1"/>
  <c r="K441" i="1"/>
  <c r="J441" i="1"/>
  <c r="I441" i="1"/>
  <c r="C441" i="1"/>
  <c r="H441" i="1" s="1"/>
  <c r="L440" i="1"/>
  <c r="K440" i="1"/>
  <c r="J440" i="1"/>
  <c r="I440" i="1"/>
  <c r="C440" i="1"/>
  <c r="H440" i="1" s="1"/>
  <c r="L439" i="1"/>
  <c r="K439" i="1"/>
  <c r="J439" i="1"/>
  <c r="I439" i="1"/>
  <c r="C439" i="1"/>
  <c r="H439" i="1" s="1"/>
  <c r="L438" i="1"/>
  <c r="K438" i="1"/>
  <c r="J438" i="1"/>
  <c r="I438" i="1"/>
  <c r="C438" i="1"/>
  <c r="H438" i="1" s="1"/>
  <c r="L437" i="1"/>
  <c r="K437" i="1"/>
  <c r="J437" i="1"/>
  <c r="I437" i="1"/>
  <c r="C437" i="1"/>
  <c r="H437" i="1" s="1"/>
  <c r="L436" i="1"/>
  <c r="K436" i="1"/>
  <c r="J436" i="1"/>
  <c r="I436" i="1"/>
  <c r="C436" i="1"/>
  <c r="H436" i="1" s="1"/>
  <c r="L435" i="1"/>
  <c r="K435" i="1"/>
  <c r="J435" i="1"/>
  <c r="I435" i="1"/>
  <c r="C435" i="1"/>
  <c r="H435" i="1" s="1"/>
  <c r="L434" i="1"/>
  <c r="K434" i="1"/>
  <c r="J434" i="1"/>
  <c r="I434" i="1"/>
  <c r="C434" i="1"/>
  <c r="H434" i="1" s="1"/>
  <c r="L433" i="1"/>
  <c r="K433" i="1"/>
  <c r="J433" i="1"/>
  <c r="I433" i="1"/>
  <c r="C433" i="1"/>
  <c r="H433" i="1" s="1"/>
  <c r="L432" i="1"/>
  <c r="K432" i="1"/>
  <c r="J432" i="1"/>
  <c r="I432" i="1"/>
  <c r="C432" i="1"/>
  <c r="H432" i="1" s="1"/>
  <c r="L431" i="1"/>
  <c r="K431" i="1"/>
  <c r="J431" i="1"/>
  <c r="I431" i="1"/>
  <c r="C431" i="1"/>
  <c r="H431" i="1" s="1"/>
  <c r="L430" i="1"/>
  <c r="K430" i="1"/>
  <c r="J430" i="1"/>
  <c r="I430" i="1"/>
  <c r="C430" i="1"/>
  <c r="H430" i="1" s="1"/>
  <c r="L429" i="1"/>
  <c r="K429" i="1"/>
  <c r="J429" i="1"/>
  <c r="I429" i="1"/>
  <c r="C429" i="1"/>
  <c r="H429" i="1" s="1"/>
  <c r="L428" i="1"/>
  <c r="K428" i="1"/>
  <c r="J428" i="1"/>
  <c r="I428" i="1"/>
  <c r="C428" i="1"/>
  <c r="H428" i="1" s="1"/>
  <c r="L427" i="1"/>
  <c r="K427" i="1"/>
  <c r="J427" i="1"/>
  <c r="I427" i="1"/>
  <c r="C427" i="1"/>
  <c r="H427" i="1" s="1"/>
  <c r="L426" i="1"/>
  <c r="K426" i="1"/>
  <c r="J426" i="1"/>
  <c r="I426" i="1"/>
  <c r="C426" i="1"/>
  <c r="H426" i="1" s="1"/>
  <c r="L425" i="1"/>
  <c r="K425" i="1"/>
  <c r="J425" i="1"/>
  <c r="I425" i="1"/>
  <c r="C425" i="1"/>
  <c r="H425" i="1" s="1"/>
  <c r="L424" i="1"/>
  <c r="K424" i="1"/>
  <c r="J424" i="1"/>
  <c r="I424" i="1"/>
  <c r="C424" i="1"/>
  <c r="H424" i="1" s="1"/>
  <c r="L423" i="1"/>
  <c r="K423" i="1"/>
  <c r="J423" i="1"/>
  <c r="I423" i="1"/>
  <c r="C423" i="1"/>
  <c r="H423" i="1" s="1"/>
  <c r="L422" i="1"/>
  <c r="K422" i="1"/>
  <c r="J422" i="1"/>
  <c r="I422" i="1"/>
  <c r="C422" i="1"/>
  <c r="H422" i="1" s="1"/>
  <c r="L421" i="1"/>
  <c r="K421" i="1"/>
  <c r="J421" i="1"/>
  <c r="I421" i="1"/>
  <c r="C421" i="1"/>
  <c r="H421" i="1" s="1"/>
  <c r="L420" i="1"/>
  <c r="K420" i="1"/>
  <c r="J420" i="1"/>
  <c r="I420" i="1"/>
  <c r="C420" i="1"/>
  <c r="H420" i="1" s="1"/>
  <c r="L419" i="1"/>
  <c r="K419" i="1"/>
  <c r="J419" i="1"/>
  <c r="I419" i="1"/>
  <c r="C419" i="1"/>
  <c r="H419" i="1" s="1"/>
  <c r="L418" i="1"/>
  <c r="K418" i="1"/>
  <c r="J418" i="1"/>
  <c r="I418" i="1"/>
  <c r="C418" i="1"/>
  <c r="H418" i="1" s="1"/>
  <c r="L417" i="1"/>
  <c r="K417" i="1"/>
  <c r="J417" i="1"/>
  <c r="I417" i="1"/>
  <c r="C417" i="1"/>
  <c r="H417" i="1" s="1"/>
  <c r="L416" i="1"/>
  <c r="K416" i="1"/>
  <c r="J416" i="1"/>
  <c r="I416" i="1"/>
  <c r="C416" i="1"/>
  <c r="H416" i="1" s="1"/>
  <c r="L415" i="1"/>
  <c r="K415" i="1"/>
  <c r="J415" i="1"/>
  <c r="I415" i="1"/>
  <c r="C415" i="1"/>
  <c r="H415" i="1" s="1"/>
  <c r="L414" i="1"/>
  <c r="K414" i="1"/>
  <c r="J414" i="1"/>
  <c r="I414" i="1"/>
  <c r="C414" i="1"/>
  <c r="H414" i="1" s="1"/>
  <c r="L413" i="1"/>
  <c r="K413" i="1"/>
  <c r="J413" i="1"/>
  <c r="I413" i="1"/>
  <c r="C413" i="1"/>
  <c r="H413" i="1" s="1"/>
  <c r="L412" i="1"/>
  <c r="K412" i="1"/>
  <c r="J412" i="1"/>
  <c r="I412" i="1"/>
  <c r="C412" i="1"/>
  <c r="H412" i="1" s="1"/>
  <c r="L411" i="1"/>
  <c r="K411" i="1"/>
  <c r="J411" i="1"/>
  <c r="I411" i="1"/>
  <c r="C411" i="1"/>
  <c r="H411" i="1" s="1"/>
  <c r="L410" i="1"/>
  <c r="K410" i="1"/>
  <c r="J410" i="1"/>
  <c r="I410" i="1"/>
  <c r="C410" i="1"/>
  <c r="H410" i="1" s="1"/>
  <c r="L409" i="1"/>
  <c r="K409" i="1"/>
  <c r="J409" i="1"/>
  <c r="I409" i="1"/>
  <c r="C409" i="1"/>
  <c r="H409" i="1" s="1"/>
  <c r="L408" i="1"/>
  <c r="K408" i="1"/>
  <c r="J408" i="1"/>
  <c r="I408" i="1"/>
  <c r="C408" i="1"/>
  <c r="H408" i="1" s="1"/>
  <c r="L407" i="1"/>
  <c r="K407" i="1"/>
  <c r="J407" i="1"/>
  <c r="I407" i="1"/>
  <c r="C407" i="1"/>
  <c r="H407" i="1" s="1"/>
  <c r="L406" i="1"/>
  <c r="K406" i="1"/>
  <c r="J406" i="1"/>
  <c r="I406" i="1"/>
  <c r="C406" i="1"/>
  <c r="H406" i="1" s="1"/>
  <c r="L405" i="1"/>
  <c r="K405" i="1"/>
  <c r="J405" i="1"/>
  <c r="I405" i="1"/>
  <c r="C405" i="1"/>
  <c r="H405" i="1" s="1"/>
  <c r="L404" i="1"/>
  <c r="K404" i="1"/>
  <c r="J404" i="1"/>
  <c r="I404" i="1"/>
  <c r="C404" i="1"/>
  <c r="H404" i="1" s="1"/>
  <c r="L403" i="1"/>
  <c r="K403" i="1"/>
  <c r="J403" i="1"/>
  <c r="I403" i="1"/>
  <c r="C403" i="1"/>
  <c r="H403" i="1" s="1"/>
  <c r="L402" i="1"/>
  <c r="K402" i="1"/>
  <c r="J402" i="1"/>
  <c r="I402" i="1"/>
  <c r="C402" i="1"/>
  <c r="H402" i="1" s="1"/>
  <c r="L401" i="1"/>
  <c r="K401" i="1"/>
  <c r="J401" i="1"/>
  <c r="I401" i="1"/>
  <c r="C401" i="1"/>
  <c r="H401" i="1" s="1"/>
  <c r="L400" i="1"/>
  <c r="K400" i="1"/>
  <c r="J400" i="1"/>
  <c r="I400" i="1"/>
  <c r="C400" i="1"/>
  <c r="H400" i="1" s="1"/>
  <c r="L399" i="1"/>
  <c r="K399" i="1"/>
  <c r="J399" i="1"/>
  <c r="I399" i="1"/>
  <c r="C399" i="1"/>
  <c r="H399" i="1" s="1"/>
  <c r="L398" i="1"/>
  <c r="K398" i="1"/>
  <c r="J398" i="1"/>
  <c r="I398" i="1"/>
  <c r="C398" i="1"/>
  <c r="H398" i="1" s="1"/>
  <c r="L397" i="1"/>
  <c r="K397" i="1"/>
  <c r="J397" i="1"/>
  <c r="I397" i="1"/>
  <c r="C397" i="1"/>
  <c r="H397" i="1" s="1"/>
  <c r="L396" i="1"/>
  <c r="K396" i="1"/>
  <c r="J396" i="1"/>
  <c r="I396" i="1"/>
  <c r="C396" i="1"/>
  <c r="H396" i="1" s="1"/>
  <c r="L395" i="1"/>
  <c r="K395" i="1"/>
  <c r="J395" i="1"/>
  <c r="I395" i="1"/>
  <c r="C395" i="1"/>
  <c r="H395" i="1" s="1"/>
  <c r="L394" i="1"/>
  <c r="K394" i="1"/>
  <c r="J394" i="1"/>
  <c r="I394" i="1"/>
  <c r="C394" i="1"/>
  <c r="H394" i="1" s="1"/>
  <c r="L393" i="1"/>
  <c r="K393" i="1"/>
  <c r="J393" i="1"/>
  <c r="I393" i="1"/>
  <c r="C393" i="1"/>
  <c r="H393" i="1" s="1"/>
  <c r="L392" i="1"/>
  <c r="K392" i="1"/>
  <c r="J392" i="1"/>
  <c r="I392" i="1"/>
  <c r="C392" i="1"/>
  <c r="H392" i="1" s="1"/>
  <c r="L391" i="1"/>
  <c r="K391" i="1"/>
  <c r="J391" i="1"/>
  <c r="I391" i="1"/>
  <c r="C391" i="1"/>
  <c r="H391" i="1" s="1"/>
  <c r="L390" i="1"/>
  <c r="K390" i="1"/>
  <c r="J390" i="1"/>
  <c r="I390" i="1"/>
  <c r="C390" i="1"/>
  <c r="H390" i="1" s="1"/>
  <c r="L389" i="1"/>
  <c r="K389" i="1"/>
  <c r="J389" i="1"/>
  <c r="I389" i="1"/>
  <c r="C389" i="1"/>
  <c r="H389" i="1" s="1"/>
  <c r="L388" i="1"/>
  <c r="K388" i="1"/>
  <c r="J388" i="1"/>
  <c r="I388" i="1"/>
  <c r="C388" i="1"/>
  <c r="H388" i="1" s="1"/>
  <c r="L387" i="1"/>
  <c r="K387" i="1"/>
  <c r="J387" i="1"/>
  <c r="I387" i="1"/>
  <c r="C387" i="1"/>
  <c r="H387" i="1" s="1"/>
  <c r="L386" i="1"/>
  <c r="K386" i="1"/>
  <c r="J386" i="1"/>
  <c r="I386" i="1"/>
  <c r="C386" i="1"/>
  <c r="H386" i="1" s="1"/>
  <c r="L385" i="1"/>
  <c r="K385" i="1"/>
  <c r="J385" i="1"/>
  <c r="I385" i="1"/>
  <c r="C385" i="1"/>
  <c r="H385" i="1" s="1"/>
  <c r="L384" i="1"/>
  <c r="K384" i="1"/>
  <c r="J384" i="1"/>
  <c r="I384" i="1"/>
  <c r="C384" i="1"/>
  <c r="H384" i="1" s="1"/>
  <c r="L383" i="1"/>
  <c r="K383" i="1"/>
  <c r="J383" i="1"/>
  <c r="I383" i="1"/>
  <c r="C383" i="1"/>
  <c r="H383" i="1" s="1"/>
  <c r="L382" i="1"/>
  <c r="K382" i="1"/>
  <c r="J382" i="1"/>
  <c r="I382" i="1"/>
  <c r="C382" i="1"/>
  <c r="H382" i="1" s="1"/>
  <c r="L381" i="1"/>
  <c r="K381" i="1"/>
  <c r="J381" i="1"/>
  <c r="I381" i="1"/>
  <c r="C381" i="1"/>
  <c r="H381" i="1" s="1"/>
  <c r="L380" i="1"/>
  <c r="K380" i="1"/>
  <c r="J380" i="1"/>
  <c r="I380" i="1"/>
  <c r="C380" i="1"/>
  <c r="H380" i="1" s="1"/>
  <c r="L379" i="1"/>
  <c r="K379" i="1"/>
  <c r="J379" i="1"/>
  <c r="I379" i="1"/>
  <c r="C379" i="1"/>
  <c r="H379" i="1" s="1"/>
  <c r="L378" i="1"/>
  <c r="K378" i="1"/>
  <c r="J378" i="1"/>
  <c r="I378" i="1"/>
  <c r="C378" i="1"/>
  <c r="H378" i="1" s="1"/>
  <c r="L377" i="1"/>
  <c r="K377" i="1"/>
  <c r="J377" i="1"/>
  <c r="I377" i="1"/>
  <c r="C377" i="1"/>
  <c r="H377" i="1" s="1"/>
  <c r="L376" i="1"/>
  <c r="K376" i="1"/>
  <c r="J376" i="1"/>
  <c r="I376" i="1"/>
  <c r="C376" i="1"/>
  <c r="H376" i="1" s="1"/>
  <c r="L375" i="1"/>
  <c r="K375" i="1"/>
  <c r="J375" i="1"/>
  <c r="I375" i="1"/>
  <c r="C375" i="1"/>
  <c r="H375" i="1" s="1"/>
  <c r="L374" i="1"/>
  <c r="K374" i="1"/>
  <c r="J374" i="1"/>
  <c r="I374" i="1"/>
  <c r="C374" i="1"/>
  <c r="H374" i="1" s="1"/>
  <c r="L373" i="1"/>
  <c r="K373" i="1"/>
  <c r="J373" i="1"/>
  <c r="I373" i="1"/>
  <c r="C373" i="1"/>
  <c r="H373" i="1" s="1"/>
  <c r="L372" i="1"/>
  <c r="K372" i="1"/>
  <c r="J372" i="1"/>
  <c r="I372" i="1"/>
  <c r="C372" i="1"/>
  <c r="H372" i="1" s="1"/>
  <c r="L371" i="1"/>
  <c r="K371" i="1"/>
  <c r="J371" i="1"/>
  <c r="I371" i="1"/>
  <c r="C371" i="1"/>
  <c r="H371" i="1" s="1"/>
  <c r="L370" i="1"/>
  <c r="K370" i="1"/>
  <c r="J370" i="1"/>
  <c r="I370" i="1"/>
  <c r="C370" i="1"/>
  <c r="H370" i="1" s="1"/>
  <c r="L369" i="1"/>
  <c r="K369" i="1"/>
  <c r="J369" i="1"/>
  <c r="I369" i="1"/>
  <c r="C369" i="1"/>
  <c r="H369" i="1" s="1"/>
  <c r="L368" i="1"/>
  <c r="K368" i="1"/>
  <c r="J368" i="1"/>
  <c r="I368" i="1"/>
  <c r="C368" i="1"/>
  <c r="H368" i="1" s="1"/>
  <c r="L367" i="1"/>
  <c r="K367" i="1"/>
  <c r="J367" i="1"/>
  <c r="I367" i="1"/>
  <c r="C367" i="1"/>
  <c r="H367" i="1" s="1"/>
  <c r="L366" i="1"/>
  <c r="K366" i="1"/>
  <c r="J366" i="1"/>
  <c r="I366" i="1"/>
  <c r="C366" i="1"/>
  <c r="H366" i="1" s="1"/>
  <c r="L365" i="1"/>
  <c r="K365" i="1"/>
  <c r="J365" i="1"/>
  <c r="I365" i="1"/>
  <c r="C365" i="1"/>
  <c r="H365" i="1" s="1"/>
  <c r="L364" i="1"/>
  <c r="K364" i="1"/>
  <c r="J364" i="1"/>
  <c r="I364" i="1"/>
  <c r="C364" i="1"/>
  <c r="H364" i="1" s="1"/>
  <c r="L363" i="1"/>
  <c r="K363" i="1"/>
  <c r="J363" i="1"/>
  <c r="I363" i="1"/>
  <c r="C363" i="1"/>
  <c r="H363" i="1" s="1"/>
  <c r="L362" i="1"/>
  <c r="K362" i="1"/>
  <c r="J362" i="1"/>
  <c r="I362" i="1"/>
  <c r="C362" i="1"/>
  <c r="H362" i="1" s="1"/>
  <c r="L361" i="1"/>
  <c r="K361" i="1"/>
  <c r="J361" i="1"/>
  <c r="I361" i="1"/>
  <c r="C361" i="1"/>
  <c r="H361" i="1" s="1"/>
  <c r="L360" i="1"/>
  <c r="K360" i="1"/>
  <c r="J360" i="1"/>
  <c r="I360" i="1"/>
  <c r="C360" i="1"/>
  <c r="H360" i="1" s="1"/>
  <c r="L359" i="1"/>
  <c r="K359" i="1"/>
  <c r="J359" i="1"/>
  <c r="I359" i="1"/>
  <c r="C359" i="1"/>
  <c r="H359" i="1" s="1"/>
  <c r="L358" i="1"/>
  <c r="K358" i="1"/>
  <c r="J358" i="1"/>
  <c r="I358" i="1"/>
  <c r="C358" i="1"/>
  <c r="H358" i="1" s="1"/>
  <c r="L357" i="1"/>
  <c r="K357" i="1"/>
  <c r="J357" i="1"/>
  <c r="I357" i="1"/>
  <c r="C357" i="1"/>
  <c r="H357" i="1" s="1"/>
  <c r="L356" i="1"/>
  <c r="K356" i="1"/>
  <c r="J356" i="1"/>
  <c r="I356" i="1"/>
  <c r="C356" i="1"/>
  <c r="H356" i="1" s="1"/>
  <c r="L355" i="1"/>
  <c r="K355" i="1"/>
  <c r="J355" i="1"/>
  <c r="I355" i="1"/>
  <c r="C355" i="1"/>
  <c r="H355" i="1" s="1"/>
  <c r="L354" i="1"/>
  <c r="K354" i="1"/>
  <c r="J354" i="1"/>
  <c r="I354" i="1"/>
  <c r="C354" i="1"/>
  <c r="H354" i="1" s="1"/>
  <c r="L353" i="1"/>
  <c r="K353" i="1"/>
  <c r="J353" i="1"/>
  <c r="I353" i="1"/>
  <c r="C353" i="1"/>
  <c r="H353" i="1" s="1"/>
  <c r="L352" i="1"/>
  <c r="K352" i="1"/>
  <c r="J352" i="1"/>
  <c r="I352" i="1"/>
  <c r="C352" i="1"/>
  <c r="H352" i="1" s="1"/>
  <c r="L351" i="1"/>
  <c r="K351" i="1"/>
  <c r="J351" i="1"/>
  <c r="I351" i="1"/>
  <c r="C351" i="1"/>
  <c r="H351" i="1" s="1"/>
  <c r="L350" i="1"/>
  <c r="K350" i="1"/>
  <c r="J350" i="1"/>
  <c r="I350" i="1"/>
  <c r="C350" i="1"/>
  <c r="H350" i="1" s="1"/>
  <c r="L349" i="1"/>
  <c r="K349" i="1"/>
  <c r="J349" i="1"/>
  <c r="I349" i="1"/>
  <c r="C349" i="1"/>
  <c r="H349" i="1" s="1"/>
  <c r="L348" i="1"/>
  <c r="K348" i="1"/>
  <c r="J348" i="1"/>
  <c r="I348" i="1"/>
  <c r="C348" i="1"/>
  <c r="H348" i="1" s="1"/>
  <c r="L347" i="1"/>
  <c r="K347" i="1"/>
  <c r="J347" i="1"/>
  <c r="I347" i="1"/>
  <c r="C347" i="1"/>
  <c r="H347" i="1" s="1"/>
  <c r="L346" i="1"/>
  <c r="K346" i="1"/>
  <c r="J346" i="1"/>
  <c r="I346" i="1"/>
  <c r="C346" i="1"/>
  <c r="H346" i="1" s="1"/>
  <c r="L345" i="1"/>
  <c r="K345" i="1"/>
  <c r="J345" i="1"/>
  <c r="I345" i="1"/>
  <c r="C345" i="1"/>
  <c r="H345" i="1" s="1"/>
  <c r="L344" i="1"/>
  <c r="K344" i="1"/>
  <c r="J344" i="1"/>
  <c r="I344" i="1"/>
  <c r="C344" i="1"/>
  <c r="H344" i="1" s="1"/>
  <c r="L343" i="1"/>
  <c r="K343" i="1"/>
  <c r="J343" i="1"/>
  <c r="I343" i="1"/>
  <c r="C343" i="1"/>
  <c r="H343" i="1" s="1"/>
  <c r="L342" i="1"/>
  <c r="K342" i="1"/>
  <c r="J342" i="1"/>
  <c r="I342" i="1"/>
  <c r="C342" i="1"/>
  <c r="H342" i="1" s="1"/>
  <c r="L341" i="1"/>
  <c r="K341" i="1"/>
  <c r="J341" i="1"/>
  <c r="I341" i="1"/>
  <c r="C341" i="1"/>
  <c r="H341" i="1" s="1"/>
  <c r="L340" i="1"/>
  <c r="K340" i="1"/>
  <c r="J340" i="1"/>
  <c r="I340" i="1"/>
  <c r="C340" i="1"/>
  <c r="H340" i="1" s="1"/>
  <c r="L339" i="1"/>
  <c r="K339" i="1"/>
  <c r="J339" i="1"/>
  <c r="I339" i="1"/>
  <c r="C339" i="1"/>
  <c r="H339" i="1" s="1"/>
  <c r="L338" i="1"/>
  <c r="K338" i="1"/>
  <c r="J338" i="1"/>
  <c r="I338" i="1"/>
  <c r="C338" i="1"/>
  <c r="H338" i="1" s="1"/>
  <c r="L337" i="1"/>
  <c r="K337" i="1"/>
  <c r="J337" i="1"/>
  <c r="I337" i="1"/>
  <c r="C337" i="1"/>
  <c r="H337" i="1" s="1"/>
  <c r="L336" i="1"/>
  <c r="K336" i="1"/>
  <c r="J336" i="1"/>
  <c r="I336" i="1"/>
  <c r="C336" i="1"/>
  <c r="H336" i="1" s="1"/>
  <c r="L335" i="1"/>
  <c r="K335" i="1"/>
  <c r="J335" i="1"/>
  <c r="I335" i="1"/>
  <c r="C335" i="1"/>
  <c r="H335" i="1" s="1"/>
  <c r="L334" i="1"/>
  <c r="K334" i="1"/>
  <c r="J334" i="1"/>
  <c r="I334" i="1"/>
  <c r="C334" i="1"/>
  <c r="H334" i="1" s="1"/>
  <c r="L333" i="1"/>
  <c r="K333" i="1"/>
  <c r="J333" i="1"/>
  <c r="I333" i="1"/>
  <c r="C333" i="1"/>
  <c r="H333" i="1" s="1"/>
  <c r="L332" i="1"/>
  <c r="K332" i="1"/>
  <c r="J332" i="1"/>
  <c r="I332" i="1"/>
  <c r="C332" i="1"/>
  <c r="H332" i="1" s="1"/>
  <c r="L331" i="1"/>
  <c r="K331" i="1"/>
  <c r="J331" i="1"/>
  <c r="I331" i="1"/>
  <c r="C331" i="1"/>
  <c r="H331" i="1" s="1"/>
  <c r="L330" i="1"/>
  <c r="K330" i="1"/>
  <c r="J330" i="1"/>
  <c r="I330" i="1"/>
  <c r="C330" i="1"/>
  <c r="H330" i="1" s="1"/>
  <c r="L329" i="1"/>
  <c r="K329" i="1"/>
  <c r="J329" i="1"/>
  <c r="I329" i="1"/>
  <c r="C329" i="1"/>
  <c r="H329" i="1" s="1"/>
  <c r="L328" i="1"/>
  <c r="K328" i="1"/>
  <c r="J328" i="1"/>
  <c r="I328" i="1"/>
  <c r="C328" i="1"/>
  <c r="H328" i="1" s="1"/>
  <c r="L327" i="1"/>
  <c r="K327" i="1"/>
  <c r="J327" i="1"/>
  <c r="I327" i="1"/>
  <c r="C327" i="1"/>
  <c r="H327" i="1" s="1"/>
  <c r="L326" i="1"/>
  <c r="K326" i="1"/>
  <c r="J326" i="1"/>
  <c r="I326" i="1"/>
  <c r="C326" i="1"/>
  <c r="H326" i="1" s="1"/>
  <c r="L325" i="1"/>
  <c r="K325" i="1"/>
  <c r="J325" i="1"/>
  <c r="I325" i="1"/>
  <c r="C325" i="1"/>
  <c r="H325" i="1" s="1"/>
  <c r="L324" i="1"/>
  <c r="K324" i="1"/>
  <c r="J324" i="1"/>
  <c r="I324" i="1"/>
  <c r="C324" i="1"/>
  <c r="H324" i="1" s="1"/>
  <c r="L323" i="1"/>
  <c r="K323" i="1"/>
  <c r="J323" i="1"/>
  <c r="I323" i="1"/>
  <c r="C323" i="1"/>
  <c r="H323" i="1" s="1"/>
  <c r="L322" i="1"/>
  <c r="K322" i="1"/>
  <c r="J322" i="1"/>
  <c r="I322" i="1"/>
  <c r="C322" i="1"/>
  <c r="H322" i="1" s="1"/>
  <c r="L321" i="1"/>
  <c r="K321" i="1"/>
  <c r="J321" i="1"/>
  <c r="I321" i="1"/>
  <c r="C321" i="1"/>
  <c r="H321" i="1" s="1"/>
  <c r="L320" i="1"/>
  <c r="K320" i="1"/>
  <c r="J320" i="1"/>
  <c r="I320" i="1"/>
  <c r="C320" i="1"/>
  <c r="H320" i="1" s="1"/>
  <c r="L319" i="1"/>
  <c r="K319" i="1"/>
  <c r="J319" i="1"/>
  <c r="I319" i="1"/>
  <c r="C319" i="1"/>
  <c r="H319" i="1" s="1"/>
  <c r="L318" i="1"/>
  <c r="K318" i="1"/>
  <c r="J318" i="1"/>
  <c r="I318" i="1"/>
  <c r="C318" i="1"/>
  <c r="H318" i="1" s="1"/>
  <c r="L317" i="1"/>
  <c r="K317" i="1"/>
  <c r="J317" i="1"/>
  <c r="I317" i="1"/>
  <c r="C317" i="1"/>
  <c r="H317" i="1" s="1"/>
  <c r="L316" i="1"/>
  <c r="K316" i="1"/>
  <c r="J316" i="1"/>
  <c r="I316" i="1"/>
  <c r="C316" i="1"/>
  <c r="H316" i="1" s="1"/>
  <c r="L315" i="1"/>
  <c r="K315" i="1"/>
  <c r="J315" i="1"/>
  <c r="I315" i="1"/>
  <c r="C315" i="1"/>
  <c r="H315" i="1" s="1"/>
  <c r="L314" i="1"/>
  <c r="K314" i="1"/>
  <c r="J314" i="1"/>
  <c r="I314" i="1"/>
  <c r="C314" i="1"/>
  <c r="H314" i="1" s="1"/>
  <c r="L313" i="1"/>
  <c r="K313" i="1"/>
  <c r="J313" i="1"/>
  <c r="I313" i="1"/>
  <c r="C313" i="1"/>
  <c r="H313" i="1" s="1"/>
  <c r="L312" i="1"/>
  <c r="K312" i="1"/>
  <c r="J312" i="1"/>
  <c r="I312" i="1"/>
  <c r="C312" i="1"/>
  <c r="H312" i="1" s="1"/>
  <c r="L311" i="1"/>
  <c r="K311" i="1"/>
  <c r="J311" i="1"/>
  <c r="I311" i="1"/>
  <c r="C311" i="1"/>
  <c r="H311" i="1" s="1"/>
  <c r="L310" i="1"/>
  <c r="K310" i="1"/>
  <c r="J310" i="1"/>
  <c r="I310" i="1"/>
  <c r="C310" i="1"/>
  <c r="H310" i="1" s="1"/>
  <c r="L309" i="1"/>
  <c r="K309" i="1"/>
  <c r="J309" i="1"/>
  <c r="I309" i="1"/>
  <c r="C309" i="1"/>
  <c r="H309" i="1" s="1"/>
  <c r="L308" i="1"/>
  <c r="K308" i="1"/>
  <c r="J308" i="1"/>
  <c r="I308" i="1"/>
  <c r="C308" i="1"/>
  <c r="H308" i="1" s="1"/>
  <c r="L307" i="1"/>
  <c r="K307" i="1"/>
  <c r="J307" i="1"/>
  <c r="I307" i="1"/>
  <c r="C307" i="1"/>
  <c r="H307" i="1" s="1"/>
  <c r="L306" i="1"/>
  <c r="K306" i="1"/>
  <c r="J306" i="1"/>
  <c r="I306" i="1"/>
  <c r="C306" i="1"/>
  <c r="H306" i="1" s="1"/>
  <c r="L305" i="1"/>
  <c r="K305" i="1"/>
  <c r="J305" i="1"/>
  <c r="I305" i="1"/>
  <c r="C305" i="1"/>
  <c r="H305" i="1" s="1"/>
  <c r="L304" i="1"/>
  <c r="K304" i="1"/>
  <c r="J304" i="1"/>
  <c r="I304" i="1"/>
  <c r="C304" i="1"/>
  <c r="H304" i="1" s="1"/>
  <c r="L303" i="1"/>
  <c r="K303" i="1"/>
  <c r="J303" i="1"/>
  <c r="I303" i="1"/>
  <c r="C303" i="1"/>
  <c r="H303" i="1" s="1"/>
  <c r="L302" i="1"/>
  <c r="K302" i="1"/>
  <c r="J302" i="1"/>
  <c r="I302" i="1"/>
  <c r="C302" i="1"/>
  <c r="H302" i="1" s="1"/>
  <c r="L301" i="1"/>
  <c r="K301" i="1"/>
  <c r="J301" i="1"/>
  <c r="I301" i="1"/>
  <c r="C301" i="1"/>
  <c r="H301" i="1" s="1"/>
  <c r="L300" i="1"/>
  <c r="K300" i="1"/>
  <c r="J300" i="1"/>
  <c r="I300" i="1"/>
  <c r="C300" i="1"/>
  <c r="H300" i="1" s="1"/>
  <c r="L299" i="1"/>
  <c r="K299" i="1"/>
  <c r="J299" i="1"/>
  <c r="I299" i="1"/>
  <c r="C299" i="1"/>
  <c r="H299" i="1" s="1"/>
  <c r="L298" i="1"/>
  <c r="K298" i="1"/>
  <c r="J298" i="1"/>
  <c r="I298" i="1"/>
  <c r="C298" i="1"/>
  <c r="H298" i="1" s="1"/>
  <c r="L297" i="1"/>
  <c r="K297" i="1"/>
  <c r="J297" i="1"/>
  <c r="I297" i="1"/>
  <c r="C297" i="1"/>
  <c r="H297" i="1" s="1"/>
  <c r="L296" i="1"/>
  <c r="K296" i="1"/>
  <c r="J296" i="1"/>
  <c r="I296" i="1"/>
  <c r="C296" i="1"/>
  <c r="H296" i="1" s="1"/>
  <c r="L295" i="1"/>
  <c r="K295" i="1"/>
  <c r="J295" i="1"/>
  <c r="I295" i="1"/>
  <c r="C295" i="1"/>
  <c r="H295" i="1" s="1"/>
  <c r="L294" i="1"/>
  <c r="K294" i="1"/>
  <c r="J294" i="1"/>
  <c r="I294" i="1"/>
  <c r="C294" i="1"/>
  <c r="H294" i="1" s="1"/>
  <c r="L293" i="1"/>
  <c r="K293" i="1"/>
  <c r="J293" i="1"/>
  <c r="I293" i="1"/>
  <c r="C293" i="1"/>
  <c r="H293" i="1" s="1"/>
  <c r="L292" i="1"/>
  <c r="K292" i="1"/>
  <c r="J292" i="1"/>
  <c r="I292" i="1"/>
  <c r="C292" i="1"/>
  <c r="H292" i="1" s="1"/>
  <c r="L291" i="1"/>
  <c r="K291" i="1"/>
  <c r="J291" i="1"/>
  <c r="I291" i="1"/>
  <c r="C291" i="1"/>
  <c r="H291" i="1" s="1"/>
  <c r="L290" i="1"/>
  <c r="K290" i="1"/>
  <c r="J290" i="1"/>
  <c r="I290" i="1"/>
  <c r="C290" i="1"/>
  <c r="H290" i="1" s="1"/>
  <c r="L289" i="1"/>
  <c r="K289" i="1"/>
  <c r="J289" i="1"/>
  <c r="I289" i="1"/>
  <c r="C289" i="1"/>
  <c r="H289" i="1" s="1"/>
  <c r="L288" i="1"/>
  <c r="K288" i="1"/>
  <c r="J288" i="1"/>
  <c r="I288" i="1"/>
  <c r="C288" i="1"/>
  <c r="H288" i="1" s="1"/>
  <c r="L287" i="1"/>
  <c r="K287" i="1"/>
  <c r="J287" i="1"/>
  <c r="I287" i="1"/>
  <c r="C287" i="1"/>
  <c r="H287" i="1" s="1"/>
  <c r="L286" i="1"/>
  <c r="K286" i="1"/>
  <c r="J286" i="1"/>
  <c r="I286" i="1"/>
  <c r="C286" i="1"/>
  <c r="H286" i="1" s="1"/>
  <c r="L285" i="1"/>
  <c r="K285" i="1"/>
  <c r="J285" i="1"/>
  <c r="I285" i="1"/>
  <c r="C285" i="1"/>
  <c r="H285" i="1" s="1"/>
  <c r="L284" i="1"/>
  <c r="K284" i="1"/>
  <c r="J284" i="1"/>
  <c r="I284" i="1"/>
  <c r="C284" i="1"/>
  <c r="H284" i="1" s="1"/>
  <c r="L283" i="1"/>
  <c r="K283" i="1"/>
  <c r="J283" i="1"/>
  <c r="I283" i="1"/>
  <c r="C283" i="1"/>
  <c r="H283" i="1" s="1"/>
  <c r="L282" i="1"/>
  <c r="K282" i="1"/>
  <c r="J282" i="1"/>
  <c r="I282" i="1"/>
  <c r="C282" i="1"/>
  <c r="H282" i="1" s="1"/>
  <c r="L281" i="1"/>
  <c r="K281" i="1"/>
  <c r="J281" i="1"/>
  <c r="I281" i="1"/>
  <c r="C281" i="1"/>
  <c r="H281" i="1" s="1"/>
  <c r="L280" i="1"/>
  <c r="K280" i="1"/>
  <c r="J280" i="1"/>
  <c r="I280" i="1"/>
  <c r="C280" i="1"/>
  <c r="H280" i="1" s="1"/>
  <c r="L279" i="1"/>
  <c r="K279" i="1"/>
  <c r="J279" i="1"/>
  <c r="I279" i="1"/>
  <c r="C279" i="1"/>
  <c r="H279" i="1" s="1"/>
  <c r="L278" i="1"/>
  <c r="K278" i="1"/>
  <c r="J278" i="1"/>
  <c r="I278" i="1"/>
  <c r="C278" i="1"/>
  <c r="H278" i="1" s="1"/>
  <c r="L277" i="1"/>
  <c r="K277" i="1"/>
  <c r="J277" i="1"/>
  <c r="I277" i="1"/>
  <c r="C277" i="1"/>
  <c r="H277" i="1" s="1"/>
  <c r="L276" i="1"/>
  <c r="K276" i="1"/>
  <c r="J276" i="1"/>
  <c r="I276" i="1"/>
  <c r="C276" i="1"/>
  <c r="H276" i="1" s="1"/>
  <c r="L275" i="1"/>
  <c r="K275" i="1"/>
  <c r="J275" i="1"/>
  <c r="I275" i="1"/>
  <c r="C275" i="1"/>
  <c r="H275" i="1" s="1"/>
  <c r="L274" i="1"/>
  <c r="K274" i="1"/>
  <c r="J274" i="1"/>
  <c r="I274" i="1"/>
  <c r="C274" i="1"/>
  <c r="H274" i="1" s="1"/>
  <c r="L273" i="1"/>
  <c r="K273" i="1"/>
  <c r="J273" i="1"/>
  <c r="I273" i="1"/>
  <c r="C273" i="1"/>
  <c r="H273" i="1" s="1"/>
  <c r="L272" i="1"/>
  <c r="K272" i="1"/>
  <c r="J272" i="1"/>
  <c r="I272" i="1"/>
  <c r="C272" i="1"/>
  <c r="H272" i="1" s="1"/>
  <c r="L271" i="1"/>
  <c r="K271" i="1"/>
  <c r="J271" i="1"/>
  <c r="I271" i="1"/>
  <c r="C271" i="1"/>
  <c r="H271" i="1" s="1"/>
  <c r="L270" i="1"/>
  <c r="K270" i="1"/>
  <c r="J270" i="1"/>
  <c r="I270" i="1"/>
  <c r="C270" i="1"/>
  <c r="H270" i="1" s="1"/>
  <c r="L269" i="1"/>
  <c r="K269" i="1"/>
  <c r="J269" i="1"/>
  <c r="I269" i="1"/>
  <c r="C269" i="1"/>
  <c r="H269" i="1" s="1"/>
  <c r="L268" i="1"/>
  <c r="K268" i="1"/>
  <c r="J268" i="1"/>
  <c r="I268" i="1"/>
  <c r="C268" i="1"/>
  <c r="H268" i="1" s="1"/>
  <c r="L267" i="1"/>
  <c r="K267" i="1"/>
  <c r="J267" i="1"/>
  <c r="I267" i="1"/>
  <c r="C267" i="1"/>
  <c r="H267" i="1" s="1"/>
  <c r="L266" i="1"/>
  <c r="K266" i="1"/>
  <c r="J266" i="1"/>
  <c r="I266" i="1"/>
  <c r="C266" i="1"/>
  <c r="H266" i="1" s="1"/>
  <c r="L265" i="1"/>
  <c r="K265" i="1"/>
  <c r="J265" i="1"/>
  <c r="I265" i="1"/>
  <c r="C265" i="1"/>
  <c r="H265" i="1" s="1"/>
  <c r="L264" i="1"/>
  <c r="K264" i="1"/>
  <c r="J264" i="1"/>
  <c r="I264" i="1"/>
  <c r="C264" i="1"/>
  <c r="H264" i="1" s="1"/>
  <c r="L263" i="1"/>
  <c r="K263" i="1"/>
  <c r="J263" i="1"/>
  <c r="I263" i="1"/>
  <c r="C263" i="1"/>
  <c r="H263" i="1" s="1"/>
  <c r="L262" i="1"/>
  <c r="K262" i="1"/>
  <c r="J262" i="1"/>
  <c r="I262" i="1"/>
  <c r="C262" i="1"/>
  <c r="H262" i="1" s="1"/>
  <c r="L261" i="1"/>
  <c r="K261" i="1"/>
  <c r="J261" i="1"/>
  <c r="I261" i="1"/>
  <c r="C261" i="1"/>
  <c r="H261" i="1" s="1"/>
  <c r="L260" i="1"/>
  <c r="K260" i="1"/>
  <c r="J260" i="1"/>
  <c r="I260" i="1"/>
  <c r="C260" i="1"/>
  <c r="H260" i="1" s="1"/>
  <c r="L259" i="1"/>
  <c r="K259" i="1"/>
  <c r="J259" i="1"/>
  <c r="I259" i="1"/>
  <c r="C259" i="1"/>
  <c r="H259" i="1" s="1"/>
  <c r="L258" i="1"/>
  <c r="K258" i="1"/>
  <c r="J258" i="1"/>
  <c r="I258" i="1"/>
  <c r="C258" i="1"/>
  <c r="H258" i="1" s="1"/>
  <c r="L257" i="1"/>
  <c r="K257" i="1"/>
  <c r="J257" i="1"/>
  <c r="I257" i="1"/>
  <c r="C257" i="1"/>
  <c r="H257" i="1" s="1"/>
  <c r="L256" i="1"/>
  <c r="K256" i="1"/>
  <c r="J256" i="1"/>
  <c r="I256" i="1"/>
  <c r="C256" i="1"/>
  <c r="H256" i="1" s="1"/>
  <c r="L255" i="1"/>
  <c r="K255" i="1"/>
  <c r="J255" i="1"/>
  <c r="I255" i="1"/>
  <c r="C255" i="1"/>
  <c r="H255" i="1" s="1"/>
  <c r="L254" i="1"/>
  <c r="K254" i="1"/>
  <c r="J254" i="1"/>
  <c r="I254" i="1"/>
  <c r="C254" i="1"/>
  <c r="H254" i="1" s="1"/>
  <c r="L253" i="1"/>
  <c r="K253" i="1"/>
  <c r="J253" i="1"/>
  <c r="I253" i="1"/>
  <c r="C253" i="1"/>
  <c r="H253" i="1" s="1"/>
  <c r="L252" i="1"/>
  <c r="K252" i="1"/>
  <c r="J252" i="1"/>
  <c r="I252" i="1"/>
  <c r="C252" i="1"/>
  <c r="H252" i="1" s="1"/>
  <c r="L251" i="1"/>
  <c r="K251" i="1"/>
  <c r="J251" i="1"/>
  <c r="I251" i="1"/>
  <c r="C251" i="1"/>
  <c r="H251" i="1" s="1"/>
  <c r="L250" i="1"/>
  <c r="K250" i="1"/>
  <c r="J250" i="1"/>
  <c r="I250" i="1"/>
  <c r="C250" i="1"/>
  <c r="H250" i="1" s="1"/>
  <c r="L249" i="1"/>
  <c r="K249" i="1"/>
  <c r="J249" i="1"/>
  <c r="I249" i="1"/>
  <c r="C249" i="1"/>
  <c r="H249" i="1" s="1"/>
  <c r="L248" i="1"/>
  <c r="K248" i="1"/>
  <c r="J248" i="1"/>
  <c r="I248" i="1"/>
  <c r="C248" i="1"/>
  <c r="H248" i="1" s="1"/>
  <c r="L247" i="1"/>
  <c r="K247" i="1"/>
  <c r="J247" i="1"/>
  <c r="I247" i="1"/>
  <c r="C247" i="1"/>
  <c r="H247" i="1" s="1"/>
  <c r="L246" i="1"/>
  <c r="K246" i="1"/>
  <c r="J246" i="1"/>
  <c r="I246" i="1"/>
  <c r="C246" i="1"/>
  <c r="H246" i="1" s="1"/>
  <c r="L245" i="1"/>
  <c r="K245" i="1"/>
  <c r="J245" i="1"/>
  <c r="I245" i="1"/>
  <c r="C245" i="1"/>
  <c r="H245" i="1" s="1"/>
  <c r="L244" i="1"/>
  <c r="K244" i="1"/>
  <c r="J244" i="1"/>
  <c r="I244" i="1"/>
  <c r="C244" i="1"/>
  <c r="H244" i="1" s="1"/>
  <c r="L243" i="1"/>
  <c r="K243" i="1"/>
  <c r="J243" i="1"/>
  <c r="I243" i="1"/>
  <c r="C243" i="1"/>
  <c r="H243" i="1" s="1"/>
  <c r="L242" i="1"/>
  <c r="K242" i="1"/>
  <c r="J242" i="1"/>
  <c r="I242" i="1"/>
  <c r="C242" i="1"/>
  <c r="H242" i="1" s="1"/>
  <c r="L241" i="1"/>
  <c r="K241" i="1"/>
  <c r="J241" i="1"/>
  <c r="I241" i="1"/>
  <c r="C241" i="1"/>
  <c r="H241" i="1" s="1"/>
  <c r="L240" i="1"/>
  <c r="K240" i="1"/>
  <c r="J240" i="1"/>
  <c r="I240" i="1"/>
  <c r="C240" i="1"/>
  <c r="H240" i="1" s="1"/>
  <c r="L239" i="1"/>
  <c r="K239" i="1"/>
  <c r="J239" i="1"/>
  <c r="I239" i="1"/>
  <c r="C239" i="1"/>
  <c r="H239" i="1" s="1"/>
  <c r="L238" i="1"/>
  <c r="K238" i="1"/>
  <c r="J238" i="1"/>
  <c r="I238" i="1"/>
  <c r="C238" i="1"/>
  <c r="H238" i="1" s="1"/>
  <c r="L237" i="1"/>
  <c r="K237" i="1"/>
  <c r="J237" i="1"/>
  <c r="I237" i="1"/>
  <c r="C237" i="1"/>
  <c r="H237" i="1" s="1"/>
  <c r="L236" i="1"/>
  <c r="K236" i="1"/>
  <c r="J236" i="1"/>
  <c r="I236" i="1"/>
  <c r="C236" i="1"/>
  <c r="H236" i="1" s="1"/>
  <c r="L235" i="1"/>
  <c r="K235" i="1"/>
  <c r="J235" i="1"/>
  <c r="I235" i="1"/>
  <c r="C235" i="1"/>
  <c r="H235" i="1" s="1"/>
  <c r="L234" i="1"/>
  <c r="K234" i="1"/>
  <c r="J234" i="1"/>
  <c r="I234" i="1"/>
  <c r="C234" i="1"/>
  <c r="H234" i="1" s="1"/>
  <c r="L233" i="1"/>
  <c r="K233" i="1"/>
  <c r="J233" i="1"/>
  <c r="I233" i="1"/>
  <c r="C233" i="1"/>
  <c r="H233" i="1" s="1"/>
  <c r="L232" i="1"/>
  <c r="K232" i="1"/>
  <c r="J232" i="1"/>
  <c r="I232" i="1"/>
  <c r="C232" i="1"/>
  <c r="H232" i="1" s="1"/>
  <c r="L231" i="1"/>
  <c r="K231" i="1"/>
  <c r="J231" i="1"/>
  <c r="I231" i="1"/>
  <c r="C231" i="1"/>
  <c r="H231" i="1" s="1"/>
  <c r="L230" i="1"/>
  <c r="K230" i="1"/>
  <c r="J230" i="1"/>
  <c r="I230" i="1"/>
  <c r="C230" i="1"/>
  <c r="H230" i="1" s="1"/>
  <c r="L229" i="1"/>
  <c r="K229" i="1"/>
  <c r="J229" i="1"/>
  <c r="I229" i="1"/>
  <c r="C229" i="1"/>
  <c r="H229" i="1" s="1"/>
  <c r="L228" i="1"/>
  <c r="K228" i="1"/>
  <c r="J228" i="1"/>
  <c r="I228" i="1"/>
  <c r="C228" i="1"/>
  <c r="H228" i="1" s="1"/>
  <c r="L227" i="1"/>
  <c r="K227" i="1"/>
  <c r="J227" i="1"/>
  <c r="I227" i="1"/>
  <c r="C227" i="1"/>
  <c r="H227" i="1" s="1"/>
  <c r="L226" i="1"/>
  <c r="K226" i="1"/>
  <c r="J226" i="1"/>
  <c r="I226" i="1"/>
  <c r="C226" i="1"/>
  <c r="H226" i="1" s="1"/>
  <c r="L225" i="1"/>
  <c r="K225" i="1"/>
  <c r="J225" i="1"/>
  <c r="I225" i="1"/>
  <c r="C225" i="1"/>
  <c r="H225" i="1" s="1"/>
  <c r="L224" i="1"/>
  <c r="K224" i="1"/>
  <c r="J224" i="1"/>
  <c r="I224" i="1"/>
  <c r="C224" i="1"/>
  <c r="H224" i="1" s="1"/>
  <c r="L223" i="1"/>
  <c r="K223" i="1"/>
  <c r="J223" i="1"/>
  <c r="I223" i="1"/>
  <c r="C223" i="1"/>
  <c r="H223" i="1" s="1"/>
  <c r="L222" i="1"/>
  <c r="K222" i="1"/>
  <c r="J222" i="1"/>
  <c r="I222" i="1"/>
  <c r="C222" i="1"/>
  <c r="H222" i="1" s="1"/>
  <c r="L221" i="1"/>
  <c r="K221" i="1"/>
  <c r="J221" i="1"/>
  <c r="I221" i="1"/>
  <c r="C221" i="1"/>
  <c r="H221" i="1" s="1"/>
  <c r="L220" i="1"/>
  <c r="K220" i="1"/>
  <c r="J220" i="1"/>
  <c r="I220" i="1"/>
  <c r="C220" i="1"/>
  <c r="H220" i="1" s="1"/>
  <c r="L219" i="1"/>
  <c r="K219" i="1"/>
  <c r="J219" i="1"/>
  <c r="I219" i="1"/>
  <c r="C219" i="1"/>
  <c r="H219" i="1" s="1"/>
  <c r="L218" i="1"/>
  <c r="K218" i="1"/>
  <c r="J218" i="1"/>
  <c r="I218" i="1"/>
  <c r="C218" i="1"/>
  <c r="H218" i="1" s="1"/>
  <c r="L217" i="1"/>
  <c r="K217" i="1"/>
  <c r="J217" i="1"/>
  <c r="I217" i="1"/>
  <c r="C217" i="1"/>
  <c r="H217" i="1" s="1"/>
  <c r="L216" i="1"/>
  <c r="K216" i="1"/>
  <c r="J216" i="1"/>
  <c r="I216" i="1"/>
  <c r="C216" i="1"/>
  <c r="H216" i="1" s="1"/>
  <c r="L215" i="1"/>
  <c r="K215" i="1"/>
  <c r="J215" i="1"/>
  <c r="I215" i="1"/>
  <c r="C215" i="1"/>
  <c r="H215" i="1" s="1"/>
  <c r="L214" i="1"/>
  <c r="K214" i="1"/>
  <c r="J214" i="1"/>
  <c r="I214" i="1"/>
  <c r="C214" i="1"/>
  <c r="H214" i="1" s="1"/>
  <c r="L213" i="1"/>
  <c r="K213" i="1"/>
  <c r="J213" i="1"/>
  <c r="I213" i="1"/>
  <c r="C213" i="1"/>
  <c r="H213" i="1" s="1"/>
  <c r="L212" i="1"/>
  <c r="K212" i="1"/>
  <c r="J212" i="1"/>
  <c r="I212" i="1"/>
  <c r="C212" i="1"/>
  <c r="H212" i="1" s="1"/>
  <c r="L211" i="1"/>
  <c r="K211" i="1"/>
  <c r="J211" i="1"/>
  <c r="I211" i="1"/>
  <c r="C211" i="1"/>
  <c r="H211" i="1" s="1"/>
  <c r="L210" i="1"/>
  <c r="K210" i="1"/>
  <c r="J210" i="1"/>
  <c r="I210" i="1"/>
  <c r="C210" i="1"/>
  <c r="H210" i="1" s="1"/>
  <c r="L209" i="1"/>
  <c r="K209" i="1"/>
  <c r="J209" i="1"/>
  <c r="I209" i="1"/>
  <c r="C209" i="1"/>
  <c r="H209" i="1" s="1"/>
  <c r="L208" i="1"/>
  <c r="K208" i="1"/>
  <c r="J208" i="1"/>
  <c r="I208" i="1"/>
  <c r="C208" i="1"/>
  <c r="H208" i="1" s="1"/>
  <c r="L207" i="1"/>
  <c r="K207" i="1"/>
  <c r="J207" i="1"/>
  <c r="I207" i="1"/>
  <c r="C207" i="1"/>
  <c r="H207" i="1" s="1"/>
  <c r="L206" i="1"/>
  <c r="K206" i="1"/>
  <c r="J206" i="1"/>
  <c r="I206" i="1"/>
  <c r="C206" i="1"/>
  <c r="H206" i="1" s="1"/>
  <c r="L205" i="1"/>
  <c r="K205" i="1"/>
  <c r="J205" i="1"/>
  <c r="I205" i="1"/>
  <c r="C205" i="1"/>
  <c r="H205" i="1" s="1"/>
  <c r="L204" i="1"/>
  <c r="K204" i="1"/>
  <c r="J204" i="1"/>
  <c r="I204" i="1"/>
  <c r="C204" i="1"/>
  <c r="H204" i="1" s="1"/>
  <c r="L203" i="1"/>
  <c r="K203" i="1"/>
  <c r="J203" i="1"/>
  <c r="I203" i="1"/>
  <c r="C203" i="1"/>
  <c r="H203" i="1" s="1"/>
  <c r="L202" i="1"/>
  <c r="K202" i="1"/>
  <c r="J202" i="1"/>
  <c r="I202" i="1"/>
  <c r="C202" i="1"/>
  <c r="H202" i="1" s="1"/>
  <c r="L201" i="1"/>
  <c r="K201" i="1"/>
  <c r="J201" i="1"/>
  <c r="I201" i="1"/>
  <c r="C201" i="1"/>
  <c r="H201" i="1" s="1"/>
  <c r="L200" i="1"/>
  <c r="K200" i="1"/>
  <c r="J200" i="1"/>
  <c r="I200" i="1"/>
  <c r="C200" i="1"/>
  <c r="H200" i="1" s="1"/>
  <c r="L199" i="1"/>
  <c r="K199" i="1"/>
  <c r="J199" i="1"/>
  <c r="I199" i="1"/>
  <c r="C199" i="1"/>
  <c r="H199" i="1" s="1"/>
  <c r="L198" i="1"/>
  <c r="K198" i="1"/>
  <c r="J198" i="1"/>
  <c r="I198" i="1"/>
  <c r="C198" i="1"/>
  <c r="H198" i="1" s="1"/>
  <c r="L197" i="1"/>
  <c r="K197" i="1"/>
  <c r="J197" i="1"/>
  <c r="I197" i="1"/>
  <c r="C197" i="1"/>
  <c r="H197" i="1" s="1"/>
  <c r="L196" i="1"/>
  <c r="K196" i="1"/>
  <c r="J196" i="1"/>
  <c r="I196" i="1"/>
  <c r="C196" i="1"/>
  <c r="H196" i="1" s="1"/>
  <c r="L195" i="1"/>
  <c r="K195" i="1"/>
  <c r="J195" i="1"/>
  <c r="I195" i="1"/>
  <c r="C195" i="1"/>
  <c r="H195" i="1" s="1"/>
  <c r="L194" i="1"/>
  <c r="K194" i="1"/>
  <c r="J194" i="1"/>
  <c r="I194" i="1"/>
  <c r="C194" i="1"/>
  <c r="H194" i="1" s="1"/>
  <c r="L193" i="1"/>
  <c r="K193" i="1"/>
  <c r="J193" i="1"/>
  <c r="I193" i="1"/>
  <c r="C193" i="1"/>
  <c r="H193" i="1" s="1"/>
  <c r="L192" i="1"/>
  <c r="K192" i="1"/>
  <c r="J192" i="1"/>
  <c r="I192" i="1"/>
  <c r="C192" i="1"/>
  <c r="H192" i="1" s="1"/>
  <c r="L191" i="1"/>
  <c r="K191" i="1"/>
  <c r="J191" i="1"/>
  <c r="I191" i="1"/>
  <c r="C191" i="1"/>
  <c r="H191" i="1" s="1"/>
  <c r="L190" i="1"/>
  <c r="K190" i="1"/>
  <c r="J190" i="1"/>
  <c r="I190" i="1"/>
  <c r="C190" i="1"/>
  <c r="H190" i="1" s="1"/>
  <c r="L189" i="1"/>
  <c r="K189" i="1"/>
  <c r="J189" i="1"/>
  <c r="I189" i="1"/>
  <c r="C189" i="1"/>
  <c r="H189" i="1" s="1"/>
  <c r="L188" i="1"/>
  <c r="K188" i="1"/>
  <c r="J188" i="1"/>
  <c r="I188" i="1"/>
  <c r="C188" i="1"/>
  <c r="H188" i="1" s="1"/>
  <c r="L187" i="1"/>
  <c r="K187" i="1"/>
  <c r="J187" i="1"/>
  <c r="I187" i="1"/>
  <c r="C187" i="1"/>
  <c r="H187" i="1" s="1"/>
  <c r="L186" i="1"/>
  <c r="K186" i="1"/>
  <c r="J186" i="1"/>
  <c r="I186" i="1"/>
  <c r="C186" i="1"/>
  <c r="H186" i="1" s="1"/>
  <c r="L185" i="1"/>
  <c r="K185" i="1"/>
  <c r="J185" i="1"/>
  <c r="I185" i="1"/>
  <c r="C185" i="1"/>
  <c r="H185" i="1" s="1"/>
  <c r="L184" i="1"/>
  <c r="K184" i="1"/>
  <c r="J184" i="1"/>
  <c r="I184" i="1"/>
  <c r="C184" i="1"/>
  <c r="H184" i="1" s="1"/>
  <c r="L183" i="1"/>
  <c r="K183" i="1"/>
  <c r="J183" i="1"/>
  <c r="I183" i="1"/>
  <c r="C183" i="1"/>
  <c r="H183" i="1" s="1"/>
  <c r="L182" i="1"/>
  <c r="K182" i="1"/>
  <c r="J182" i="1"/>
  <c r="I182" i="1"/>
  <c r="C182" i="1"/>
  <c r="H182" i="1" s="1"/>
  <c r="L181" i="1"/>
  <c r="K181" i="1"/>
  <c r="J181" i="1"/>
  <c r="I181" i="1"/>
  <c r="C181" i="1"/>
  <c r="H181" i="1" s="1"/>
  <c r="L180" i="1"/>
  <c r="K180" i="1"/>
  <c r="J180" i="1"/>
  <c r="I180" i="1"/>
  <c r="C180" i="1"/>
  <c r="H180" i="1" s="1"/>
  <c r="L179" i="1"/>
  <c r="K179" i="1"/>
  <c r="J179" i="1"/>
  <c r="I179" i="1"/>
  <c r="C179" i="1"/>
  <c r="H179" i="1" s="1"/>
  <c r="L178" i="1"/>
  <c r="K178" i="1"/>
  <c r="J178" i="1"/>
  <c r="I178" i="1"/>
  <c r="C178" i="1"/>
  <c r="H178" i="1" s="1"/>
  <c r="L177" i="1"/>
  <c r="K177" i="1"/>
  <c r="J177" i="1"/>
  <c r="I177" i="1"/>
  <c r="C177" i="1"/>
  <c r="H177" i="1" s="1"/>
  <c r="L176" i="1"/>
  <c r="K176" i="1"/>
  <c r="J176" i="1"/>
  <c r="I176" i="1"/>
  <c r="C176" i="1"/>
  <c r="H176" i="1" s="1"/>
  <c r="L175" i="1"/>
  <c r="K175" i="1"/>
  <c r="J175" i="1"/>
  <c r="I175" i="1"/>
  <c r="C175" i="1"/>
  <c r="H175" i="1" s="1"/>
  <c r="L174" i="1"/>
  <c r="K174" i="1"/>
  <c r="J174" i="1"/>
  <c r="I174" i="1"/>
  <c r="C174" i="1"/>
  <c r="H174" i="1" s="1"/>
  <c r="L173" i="1"/>
  <c r="K173" i="1"/>
  <c r="J173" i="1"/>
  <c r="I173" i="1"/>
  <c r="C173" i="1"/>
  <c r="H173" i="1" s="1"/>
  <c r="L172" i="1"/>
  <c r="K172" i="1"/>
  <c r="J172" i="1"/>
  <c r="I172" i="1"/>
  <c r="C172" i="1"/>
  <c r="H172" i="1" s="1"/>
  <c r="L171" i="1"/>
  <c r="K171" i="1"/>
  <c r="J171" i="1"/>
  <c r="I171" i="1"/>
  <c r="C171" i="1"/>
  <c r="H171" i="1" s="1"/>
  <c r="L170" i="1"/>
  <c r="K170" i="1"/>
  <c r="J170" i="1"/>
  <c r="I170" i="1"/>
  <c r="C170" i="1"/>
  <c r="H170" i="1" s="1"/>
  <c r="L169" i="1"/>
  <c r="K169" i="1"/>
  <c r="J169" i="1"/>
  <c r="I169" i="1"/>
  <c r="C169" i="1"/>
  <c r="H169" i="1" s="1"/>
  <c r="L168" i="1"/>
  <c r="K168" i="1"/>
  <c r="J168" i="1"/>
  <c r="I168" i="1"/>
  <c r="C168" i="1"/>
  <c r="H168" i="1" s="1"/>
  <c r="L167" i="1"/>
  <c r="K167" i="1"/>
  <c r="J167" i="1"/>
  <c r="I167" i="1"/>
  <c r="C167" i="1"/>
  <c r="H167" i="1" s="1"/>
  <c r="L166" i="1"/>
  <c r="K166" i="1"/>
  <c r="J166" i="1"/>
  <c r="I166" i="1"/>
  <c r="C166" i="1"/>
  <c r="H166" i="1" s="1"/>
  <c r="L165" i="1"/>
  <c r="K165" i="1"/>
  <c r="J165" i="1"/>
  <c r="I165" i="1"/>
  <c r="C165" i="1"/>
  <c r="H165" i="1" s="1"/>
  <c r="L164" i="1"/>
  <c r="K164" i="1"/>
  <c r="J164" i="1"/>
  <c r="I164" i="1"/>
  <c r="C164" i="1"/>
  <c r="H164" i="1" s="1"/>
  <c r="L163" i="1"/>
  <c r="K163" i="1"/>
  <c r="J163" i="1"/>
  <c r="I163" i="1"/>
  <c r="C163" i="1"/>
  <c r="H163" i="1" s="1"/>
  <c r="L162" i="1"/>
  <c r="K162" i="1"/>
  <c r="J162" i="1"/>
  <c r="I162" i="1"/>
  <c r="C162" i="1"/>
  <c r="H162" i="1" s="1"/>
  <c r="L161" i="1"/>
  <c r="K161" i="1"/>
  <c r="J161" i="1"/>
  <c r="I161" i="1"/>
  <c r="C161" i="1"/>
  <c r="H161" i="1" s="1"/>
  <c r="L160" i="1"/>
  <c r="K160" i="1"/>
  <c r="J160" i="1"/>
  <c r="I160" i="1"/>
  <c r="C160" i="1"/>
  <c r="H160" i="1" s="1"/>
  <c r="L159" i="1"/>
  <c r="K159" i="1"/>
  <c r="J159" i="1"/>
  <c r="I159" i="1"/>
  <c r="C159" i="1"/>
  <c r="H159" i="1" s="1"/>
  <c r="L158" i="1"/>
  <c r="K158" i="1"/>
  <c r="J158" i="1"/>
  <c r="I158" i="1"/>
  <c r="C158" i="1"/>
  <c r="H158" i="1" s="1"/>
  <c r="L157" i="1"/>
  <c r="K157" i="1"/>
  <c r="J157" i="1"/>
  <c r="I157" i="1"/>
  <c r="C157" i="1"/>
  <c r="H157" i="1" s="1"/>
  <c r="L156" i="1"/>
  <c r="K156" i="1"/>
  <c r="J156" i="1"/>
  <c r="I156" i="1"/>
  <c r="C156" i="1"/>
  <c r="H156" i="1" s="1"/>
  <c r="L155" i="1"/>
  <c r="K155" i="1"/>
  <c r="J155" i="1"/>
  <c r="I155" i="1"/>
  <c r="C155" i="1"/>
  <c r="H155" i="1" s="1"/>
  <c r="L154" i="1"/>
  <c r="K154" i="1"/>
  <c r="J154" i="1"/>
  <c r="I154" i="1"/>
  <c r="C154" i="1"/>
  <c r="H154" i="1" s="1"/>
  <c r="L153" i="1"/>
  <c r="K153" i="1"/>
  <c r="J153" i="1"/>
  <c r="I153" i="1"/>
  <c r="C153" i="1"/>
  <c r="H153" i="1" s="1"/>
  <c r="L152" i="1"/>
  <c r="K152" i="1"/>
  <c r="J152" i="1"/>
  <c r="I152" i="1"/>
  <c r="C152" i="1"/>
  <c r="H152" i="1" s="1"/>
  <c r="L151" i="1"/>
  <c r="K151" i="1"/>
  <c r="J151" i="1"/>
  <c r="I151" i="1"/>
  <c r="C151" i="1"/>
  <c r="H151" i="1" s="1"/>
  <c r="L150" i="1"/>
  <c r="K150" i="1"/>
  <c r="J150" i="1"/>
  <c r="I150" i="1"/>
  <c r="C150" i="1"/>
  <c r="H150" i="1" s="1"/>
  <c r="L149" i="1"/>
  <c r="K149" i="1"/>
  <c r="J149" i="1"/>
  <c r="I149" i="1"/>
  <c r="C149" i="1"/>
  <c r="H149" i="1" s="1"/>
  <c r="L148" i="1"/>
  <c r="K148" i="1"/>
  <c r="J148" i="1"/>
  <c r="I148" i="1"/>
  <c r="C148" i="1"/>
  <c r="H148" i="1" s="1"/>
  <c r="L147" i="1"/>
  <c r="K147" i="1"/>
  <c r="J147" i="1"/>
  <c r="I147" i="1"/>
  <c r="C147" i="1"/>
  <c r="H147" i="1" s="1"/>
  <c r="L146" i="1"/>
  <c r="K146" i="1"/>
  <c r="J146" i="1"/>
  <c r="I146" i="1"/>
  <c r="C146" i="1"/>
  <c r="H146" i="1" s="1"/>
  <c r="L145" i="1"/>
  <c r="K145" i="1"/>
  <c r="J145" i="1"/>
  <c r="I145" i="1"/>
  <c r="C145" i="1"/>
  <c r="H145" i="1" s="1"/>
  <c r="L144" i="1"/>
  <c r="K144" i="1"/>
  <c r="J144" i="1"/>
  <c r="I144" i="1"/>
  <c r="C144" i="1"/>
  <c r="H144" i="1" s="1"/>
  <c r="L143" i="1"/>
  <c r="K143" i="1"/>
  <c r="J143" i="1"/>
  <c r="I143" i="1"/>
  <c r="C143" i="1"/>
  <c r="H143" i="1" s="1"/>
  <c r="L142" i="1"/>
  <c r="K142" i="1"/>
  <c r="J142" i="1"/>
  <c r="I142" i="1"/>
  <c r="C142" i="1"/>
  <c r="H142" i="1" s="1"/>
  <c r="L141" i="1"/>
  <c r="K141" i="1"/>
  <c r="J141" i="1"/>
  <c r="I141" i="1"/>
  <c r="C141" i="1"/>
  <c r="H141" i="1" s="1"/>
  <c r="L140" i="1"/>
  <c r="K140" i="1"/>
  <c r="J140" i="1"/>
  <c r="I140" i="1"/>
  <c r="C140" i="1"/>
  <c r="H140" i="1" s="1"/>
  <c r="L139" i="1"/>
  <c r="K139" i="1"/>
  <c r="J139" i="1"/>
  <c r="I139" i="1"/>
  <c r="C139" i="1"/>
  <c r="H139" i="1" s="1"/>
  <c r="L138" i="1"/>
  <c r="K138" i="1"/>
  <c r="J138" i="1"/>
  <c r="I138" i="1"/>
  <c r="C138" i="1"/>
  <c r="H138" i="1" s="1"/>
  <c r="L137" i="1"/>
  <c r="K137" i="1"/>
  <c r="J137" i="1"/>
  <c r="I137" i="1"/>
  <c r="C137" i="1"/>
  <c r="H137" i="1" s="1"/>
  <c r="L136" i="1"/>
  <c r="K136" i="1"/>
  <c r="J136" i="1"/>
  <c r="I136" i="1"/>
  <c r="C136" i="1"/>
  <c r="H136" i="1" s="1"/>
  <c r="L135" i="1"/>
  <c r="K135" i="1"/>
  <c r="J135" i="1"/>
  <c r="I135" i="1"/>
  <c r="C135" i="1"/>
  <c r="H135" i="1" s="1"/>
  <c r="L134" i="1"/>
  <c r="K134" i="1"/>
  <c r="J134" i="1"/>
  <c r="I134" i="1"/>
  <c r="C134" i="1"/>
  <c r="H134" i="1" s="1"/>
  <c r="L133" i="1"/>
  <c r="K133" i="1"/>
  <c r="J133" i="1"/>
  <c r="I133" i="1"/>
  <c r="C133" i="1"/>
  <c r="H133" i="1" s="1"/>
  <c r="L132" i="1"/>
  <c r="K132" i="1"/>
  <c r="J132" i="1"/>
  <c r="I132" i="1"/>
  <c r="C132" i="1"/>
  <c r="H132" i="1" s="1"/>
  <c r="L131" i="1"/>
  <c r="K131" i="1"/>
  <c r="J131" i="1"/>
  <c r="I131" i="1"/>
  <c r="C131" i="1"/>
  <c r="H131" i="1" s="1"/>
  <c r="L130" i="1"/>
  <c r="K130" i="1"/>
  <c r="J130" i="1"/>
  <c r="I130" i="1"/>
  <c r="C130" i="1"/>
  <c r="H130" i="1" s="1"/>
  <c r="L129" i="1"/>
  <c r="K129" i="1"/>
  <c r="J129" i="1"/>
  <c r="I129" i="1"/>
  <c r="C129" i="1"/>
  <c r="H129" i="1" s="1"/>
  <c r="L128" i="1"/>
  <c r="K128" i="1"/>
  <c r="J128" i="1"/>
  <c r="I128" i="1"/>
  <c r="C128" i="1"/>
  <c r="H128" i="1" s="1"/>
  <c r="L127" i="1"/>
  <c r="K127" i="1"/>
  <c r="J127" i="1"/>
  <c r="I127" i="1"/>
  <c r="C127" i="1"/>
  <c r="H127" i="1" s="1"/>
  <c r="L126" i="1"/>
  <c r="K126" i="1"/>
  <c r="J126" i="1"/>
  <c r="I126" i="1"/>
  <c r="C126" i="1"/>
  <c r="H126" i="1" s="1"/>
  <c r="L125" i="1"/>
  <c r="K125" i="1"/>
  <c r="J125" i="1"/>
  <c r="I125" i="1"/>
  <c r="C125" i="1"/>
  <c r="H125" i="1" s="1"/>
  <c r="L124" i="1"/>
  <c r="K124" i="1"/>
  <c r="J124" i="1"/>
  <c r="I124" i="1"/>
  <c r="C124" i="1"/>
  <c r="H124" i="1" s="1"/>
  <c r="L123" i="1"/>
  <c r="K123" i="1"/>
  <c r="J123" i="1"/>
  <c r="I123" i="1"/>
  <c r="C123" i="1"/>
  <c r="H123" i="1" s="1"/>
  <c r="L122" i="1"/>
  <c r="K122" i="1"/>
  <c r="J122" i="1"/>
  <c r="I122" i="1"/>
  <c r="C122" i="1"/>
  <c r="H122" i="1" s="1"/>
  <c r="L121" i="1"/>
  <c r="K121" i="1"/>
  <c r="J121" i="1"/>
  <c r="I121" i="1"/>
  <c r="C121" i="1"/>
  <c r="H121" i="1" s="1"/>
  <c r="L120" i="1"/>
  <c r="K120" i="1"/>
  <c r="J120" i="1"/>
  <c r="I120" i="1"/>
  <c r="C120" i="1"/>
  <c r="H120" i="1" s="1"/>
  <c r="L119" i="1"/>
  <c r="K119" i="1"/>
  <c r="J119" i="1"/>
  <c r="I119" i="1"/>
  <c r="C119" i="1"/>
  <c r="H119" i="1" s="1"/>
  <c r="L118" i="1"/>
  <c r="K118" i="1"/>
  <c r="J118" i="1"/>
  <c r="I118" i="1"/>
  <c r="C118" i="1"/>
  <c r="H118" i="1" s="1"/>
  <c r="L117" i="1"/>
  <c r="K117" i="1"/>
  <c r="J117" i="1"/>
  <c r="I117" i="1"/>
  <c r="C117" i="1"/>
  <c r="H117" i="1" s="1"/>
  <c r="L116" i="1"/>
  <c r="K116" i="1"/>
  <c r="J116" i="1"/>
  <c r="I116" i="1"/>
  <c r="C116" i="1"/>
  <c r="H116" i="1" s="1"/>
  <c r="L115" i="1"/>
  <c r="K115" i="1"/>
  <c r="J115" i="1"/>
  <c r="I115" i="1"/>
  <c r="C115" i="1"/>
  <c r="H115" i="1" s="1"/>
  <c r="L114" i="1"/>
  <c r="K114" i="1"/>
  <c r="J114" i="1"/>
  <c r="I114" i="1"/>
  <c r="C114" i="1"/>
  <c r="H114" i="1" s="1"/>
  <c r="L113" i="1"/>
  <c r="K113" i="1"/>
  <c r="J113" i="1"/>
  <c r="I113" i="1"/>
  <c r="C113" i="1"/>
  <c r="H113" i="1" s="1"/>
  <c r="L112" i="1"/>
  <c r="K112" i="1"/>
  <c r="J112" i="1"/>
  <c r="I112" i="1"/>
  <c r="C112" i="1"/>
  <c r="H112" i="1" s="1"/>
  <c r="L111" i="1"/>
  <c r="K111" i="1"/>
  <c r="J111" i="1"/>
  <c r="I111" i="1"/>
  <c r="C111" i="1"/>
  <c r="H111" i="1" s="1"/>
  <c r="L110" i="1"/>
  <c r="K110" i="1"/>
  <c r="J110" i="1"/>
  <c r="I110" i="1"/>
  <c r="C110" i="1"/>
  <c r="H110" i="1" s="1"/>
  <c r="L109" i="1"/>
  <c r="K109" i="1"/>
  <c r="J109" i="1"/>
  <c r="I109" i="1"/>
  <c r="C109" i="1"/>
  <c r="H109" i="1" s="1"/>
  <c r="L108" i="1"/>
  <c r="K108" i="1"/>
  <c r="J108" i="1"/>
  <c r="I108" i="1"/>
  <c r="C108" i="1"/>
  <c r="H108" i="1" s="1"/>
  <c r="L107" i="1"/>
  <c r="K107" i="1"/>
  <c r="J107" i="1"/>
  <c r="I107" i="1"/>
  <c r="C107" i="1"/>
  <c r="H107" i="1" s="1"/>
  <c r="L106" i="1"/>
  <c r="K106" i="1"/>
  <c r="J106" i="1"/>
  <c r="I106" i="1"/>
  <c r="C106" i="1"/>
  <c r="H106" i="1" s="1"/>
  <c r="L105" i="1"/>
  <c r="K105" i="1"/>
  <c r="J105" i="1"/>
  <c r="I105" i="1"/>
  <c r="C105" i="1"/>
  <c r="H105" i="1" s="1"/>
  <c r="L104" i="1"/>
  <c r="K104" i="1"/>
  <c r="J104" i="1"/>
  <c r="I104" i="1"/>
  <c r="C104" i="1"/>
  <c r="H104" i="1" s="1"/>
  <c r="L103" i="1"/>
  <c r="K103" i="1"/>
  <c r="J103" i="1"/>
  <c r="I103" i="1"/>
  <c r="C103" i="1"/>
  <c r="H103" i="1" s="1"/>
  <c r="L102" i="1"/>
  <c r="K102" i="1"/>
  <c r="J102" i="1"/>
  <c r="I102" i="1"/>
  <c r="C102" i="1"/>
  <c r="H102" i="1" s="1"/>
  <c r="L101" i="1"/>
  <c r="K101" i="1"/>
  <c r="J101" i="1"/>
  <c r="I101" i="1"/>
  <c r="C101" i="1"/>
  <c r="H101" i="1" s="1"/>
  <c r="L100" i="1"/>
  <c r="K100" i="1"/>
  <c r="J100" i="1"/>
  <c r="I100" i="1"/>
  <c r="C100" i="1"/>
  <c r="H100" i="1" s="1"/>
  <c r="L99" i="1"/>
  <c r="K99" i="1"/>
  <c r="J99" i="1"/>
  <c r="I99" i="1"/>
  <c r="C99" i="1"/>
  <c r="H99" i="1" s="1"/>
  <c r="L98" i="1"/>
  <c r="K98" i="1"/>
  <c r="J98" i="1"/>
  <c r="I98" i="1"/>
  <c r="C98" i="1"/>
  <c r="H98" i="1" s="1"/>
  <c r="L97" i="1"/>
  <c r="K97" i="1"/>
  <c r="J97" i="1"/>
  <c r="I97" i="1"/>
  <c r="C97" i="1"/>
  <c r="H97" i="1" s="1"/>
  <c r="L96" i="1"/>
  <c r="K96" i="1"/>
  <c r="J96" i="1"/>
  <c r="I96" i="1"/>
  <c r="C96" i="1"/>
  <c r="H96" i="1" s="1"/>
  <c r="L95" i="1"/>
  <c r="K95" i="1"/>
  <c r="J95" i="1"/>
  <c r="I95" i="1"/>
  <c r="C95" i="1"/>
  <c r="H95" i="1" s="1"/>
  <c r="L94" i="1"/>
  <c r="K94" i="1"/>
  <c r="J94" i="1"/>
  <c r="I94" i="1"/>
  <c r="C94" i="1"/>
  <c r="H94" i="1" s="1"/>
  <c r="L93" i="1"/>
  <c r="K93" i="1"/>
  <c r="J93" i="1"/>
  <c r="I93" i="1"/>
  <c r="C93" i="1"/>
  <c r="H93" i="1" s="1"/>
  <c r="L92" i="1"/>
  <c r="K92" i="1"/>
  <c r="J92" i="1"/>
  <c r="I92" i="1"/>
  <c r="C92" i="1"/>
  <c r="H92" i="1" s="1"/>
  <c r="L91" i="1"/>
  <c r="K91" i="1"/>
  <c r="J91" i="1"/>
  <c r="I91" i="1"/>
  <c r="C91" i="1"/>
  <c r="H91" i="1" s="1"/>
  <c r="L90" i="1"/>
  <c r="K90" i="1"/>
  <c r="J90" i="1"/>
  <c r="I90" i="1"/>
  <c r="C90" i="1"/>
  <c r="H90" i="1" s="1"/>
  <c r="L89" i="1"/>
  <c r="K89" i="1"/>
  <c r="J89" i="1"/>
  <c r="I89" i="1"/>
  <c r="C89" i="1"/>
  <c r="H89" i="1" s="1"/>
  <c r="L88" i="1"/>
  <c r="K88" i="1"/>
  <c r="J88" i="1"/>
  <c r="I88" i="1"/>
  <c r="C88" i="1"/>
  <c r="H88" i="1" s="1"/>
  <c r="L87" i="1"/>
  <c r="K87" i="1"/>
  <c r="J87" i="1"/>
  <c r="I87" i="1"/>
  <c r="C87" i="1"/>
  <c r="H87" i="1" s="1"/>
  <c r="L86" i="1"/>
  <c r="K86" i="1"/>
  <c r="J86" i="1"/>
  <c r="I86" i="1"/>
  <c r="C86" i="1"/>
  <c r="H86" i="1" s="1"/>
  <c r="L85" i="1"/>
  <c r="K85" i="1"/>
  <c r="J85" i="1"/>
  <c r="I85" i="1"/>
  <c r="C85" i="1"/>
  <c r="H85" i="1" s="1"/>
  <c r="L84" i="1"/>
  <c r="K84" i="1"/>
  <c r="J84" i="1"/>
  <c r="I84" i="1"/>
  <c r="C84" i="1"/>
  <c r="H84" i="1" s="1"/>
  <c r="L83" i="1"/>
  <c r="K83" i="1"/>
  <c r="J83" i="1"/>
  <c r="I83" i="1"/>
  <c r="C83" i="1"/>
  <c r="H83" i="1" s="1"/>
  <c r="L82" i="1"/>
  <c r="K82" i="1"/>
  <c r="J82" i="1"/>
  <c r="I82" i="1"/>
  <c r="C82" i="1"/>
  <c r="H82" i="1" s="1"/>
  <c r="L81" i="1"/>
  <c r="K81" i="1"/>
  <c r="J81" i="1"/>
  <c r="I81" i="1"/>
  <c r="C81" i="1"/>
  <c r="H81" i="1" s="1"/>
  <c r="L80" i="1"/>
  <c r="K80" i="1"/>
  <c r="J80" i="1"/>
  <c r="I80" i="1"/>
  <c r="C80" i="1"/>
  <c r="H80" i="1" s="1"/>
  <c r="L79" i="1"/>
  <c r="K79" i="1"/>
  <c r="J79" i="1"/>
  <c r="I79" i="1"/>
  <c r="C79" i="1"/>
  <c r="H79" i="1" s="1"/>
  <c r="L78" i="1"/>
  <c r="K78" i="1"/>
  <c r="J78" i="1"/>
  <c r="I78" i="1"/>
  <c r="C78" i="1"/>
  <c r="H78" i="1" s="1"/>
  <c r="L77" i="1"/>
  <c r="K77" i="1"/>
  <c r="J77" i="1"/>
  <c r="I77" i="1"/>
  <c r="C77" i="1"/>
  <c r="H77" i="1" s="1"/>
  <c r="L76" i="1"/>
  <c r="K76" i="1"/>
  <c r="J76" i="1"/>
  <c r="I76" i="1"/>
  <c r="C76" i="1"/>
  <c r="H76" i="1" s="1"/>
  <c r="L75" i="1"/>
  <c r="K75" i="1"/>
  <c r="J75" i="1"/>
  <c r="I75" i="1"/>
  <c r="C75" i="1"/>
  <c r="H75" i="1" s="1"/>
  <c r="L74" i="1"/>
  <c r="K74" i="1"/>
  <c r="J74" i="1"/>
  <c r="I74" i="1"/>
  <c r="C74" i="1"/>
  <c r="H74" i="1" s="1"/>
  <c r="L73" i="1"/>
  <c r="K73" i="1"/>
  <c r="J73" i="1"/>
  <c r="I73" i="1"/>
  <c r="C73" i="1"/>
  <c r="H73" i="1" s="1"/>
  <c r="L72" i="1"/>
  <c r="K72" i="1"/>
  <c r="J72" i="1"/>
  <c r="I72" i="1"/>
  <c r="C72" i="1"/>
  <c r="H72" i="1" s="1"/>
  <c r="L71" i="1"/>
  <c r="K71" i="1"/>
  <c r="J71" i="1"/>
  <c r="I71" i="1"/>
  <c r="C71" i="1"/>
  <c r="H71" i="1" s="1"/>
  <c r="L70" i="1"/>
  <c r="K70" i="1"/>
  <c r="J70" i="1"/>
  <c r="I70" i="1"/>
  <c r="C70" i="1"/>
  <c r="H70" i="1" s="1"/>
  <c r="L69" i="1"/>
  <c r="K69" i="1"/>
  <c r="J69" i="1"/>
  <c r="I69" i="1"/>
  <c r="C69" i="1"/>
  <c r="H69" i="1" s="1"/>
  <c r="L68" i="1"/>
  <c r="K68" i="1"/>
  <c r="J68" i="1"/>
  <c r="I68" i="1"/>
  <c r="C68" i="1"/>
  <c r="H68" i="1" s="1"/>
  <c r="L67" i="1"/>
  <c r="K67" i="1"/>
  <c r="J67" i="1"/>
  <c r="I67" i="1"/>
  <c r="C67" i="1"/>
  <c r="H67" i="1" s="1"/>
  <c r="L66" i="1"/>
  <c r="K66" i="1"/>
  <c r="J66" i="1"/>
  <c r="I66" i="1"/>
  <c r="C66" i="1"/>
  <c r="H66" i="1" s="1"/>
  <c r="L65" i="1"/>
  <c r="K65" i="1"/>
  <c r="J65" i="1"/>
  <c r="I65" i="1"/>
  <c r="C65" i="1"/>
  <c r="H65" i="1" s="1"/>
  <c r="L64" i="1"/>
  <c r="K64" i="1"/>
  <c r="J64" i="1"/>
  <c r="I64" i="1"/>
  <c r="C64" i="1"/>
  <c r="H64" i="1" s="1"/>
  <c r="L63" i="1"/>
  <c r="K63" i="1"/>
  <c r="J63" i="1"/>
  <c r="I63" i="1"/>
  <c r="C63" i="1"/>
  <c r="H63" i="1" s="1"/>
  <c r="L62" i="1"/>
  <c r="K62" i="1"/>
  <c r="J62" i="1"/>
  <c r="I62" i="1"/>
  <c r="C62" i="1"/>
  <c r="H62" i="1" s="1"/>
  <c r="L61" i="1"/>
  <c r="K61" i="1"/>
  <c r="J61" i="1"/>
  <c r="I61" i="1"/>
  <c r="C61" i="1"/>
  <c r="H61" i="1" s="1"/>
  <c r="L60" i="1"/>
  <c r="K60" i="1"/>
  <c r="J60" i="1"/>
  <c r="I60" i="1"/>
  <c r="C60" i="1"/>
  <c r="H60" i="1" s="1"/>
  <c r="L59" i="1"/>
  <c r="K59" i="1"/>
  <c r="J59" i="1"/>
  <c r="I59" i="1"/>
  <c r="C59" i="1"/>
  <c r="H59" i="1" s="1"/>
  <c r="L58" i="1"/>
  <c r="K58" i="1"/>
  <c r="J58" i="1"/>
  <c r="I58" i="1"/>
  <c r="C58" i="1"/>
  <c r="H58" i="1" s="1"/>
  <c r="L57" i="1"/>
  <c r="K57" i="1"/>
  <c r="J57" i="1"/>
  <c r="I57" i="1"/>
  <c r="C57" i="1"/>
  <c r="H57" i="1" s="1"/>
  <c r="L56" i="1"/>
  <c r="K56" i="1"/>
  <c r="J56" i="1"/>
  <c r="I56" i="1"/>
  <c r="C56" i="1"/>
  <c r="H56" i="1" s="1"/>
  <c r="L55" i="1"/>
  <c r="K55" i="1"/>
  <c r="J55" i="1"/>
  <c r="I55" i="1"/>
  <c r="C55" i="1"/>
  <c r="H55" i="1" s="1"/>
  <c r="L54" i="1"/>
  <c r="K54" i="1"/>
  <c r="J54" i="1"/>
  <c r="I54" i="1"/>
  <c r="C54" i="1"/>
  <c r="H54" i="1" s="1"/>
  <c r="L53" i="1"/>
  <c r="K53" i="1"/>
  <c r="J53" i="1"/>
  <c r="I53" i="1"/>
  <c r="C53" i="1"/>
  <c r="H53" i="1" s="1"/>
  <c r="L52" i="1"/>
  <c r="K52" i="1"/>
  <c r="J52" i="1"/>
  <c r="I52" i="1"/>
  <c r="C52" i="1"/>
  <c r="H52" i="1" s="1"/>
  <c r="L51" i="1"/>
  <c r="K51" i="1"/>
  <c r="J51" i="1"/>
  <c r="I51" i="1"/>
  <c r="C51" i="1"/>
  <c r="H51" i="1" s="1"/>
  <c r="L50" i="1"/>
  <c r="K50" i="1"/>
  <c r="J50" i="1"/>
  <c r="I50" i="1"/>
  <c r="C50" i="1"/>
  <c r="H50" i="1" s="1"/>
  <c r="L49" i="1"/>
  <c r="K49" i="1"/>
  <c r="J49" i="1"/>
  <c r="I49" i="1"/>
  <c r="C49" i="1"/>
  <c r="H49" i="1" s="1"/>
  <c r="L48" i="1"/>
  <c r="K48" i="1"/>
  <c r="J48" i="1"/>
  <c r="I48" i="1"/>
  <c r="C48" i="1"/>
  <c r="H48" i="1" s="1"/>
  <c r="L47" i="1"/>
  <c r="K47" i="1"/>
  <c r="J47" i="1"/>
  <c r="I47" i="1"/>
  <c r="C47" i="1"/>
  <c r="H47" i="1" s="1"/>
  <c r="L46" i="1"/>
  <c r="K46" i="1"/>
  <c r="J46" i="1"/>
  <c r="I46" i="1"/>
  <c r="C46" i="1"/>
  <c r="H46" i="1" s="1"/>
  <c r="L45" i="1"/>
  <c r="K45" i="1"/>
  <c r="J45" i="1"/>
  <c r="I45" i="1"/>
  <c r="C45" i="1"/>
  <c r="H45" i="1" s="1"/>
  <c r="L44" i="1"/>
  <c r="K44" i="1"/>
  <c r="J44" i="1"/>
  <c r="I44" i="1"/>
  <c r="C44" i="1"/>
  <c r="H44" i="1" s="1"/>
  <c r="L43" i="1"/>
  <c r="K43" i="1"/>
  <c r="J43" i="1"/>
  <c r="I43" i="1"/>
  <c r="C43" i="1"/>
  <c r="H43" i="1" s="1"/>
  <c r="L42" i="1"/>
  <c r="K42" i="1"/>
  <c r="J42" i="1"/>
  <c r="I42" i="1"/>
  <c r="C42" i="1"/>
  <c r="H42" i="1" s="1"/>
  <c r="L41" i="1"/>
  <c r="K41" i="1"/>
  <c r="J41" i="1"/>
  <c r="I41" i="1"/>
  <c r="C41" i="1"/>
  <c r="H41" i="1" s="1"/>
  <c r="L40" i="1"/>
  <c r="K40" i="1"/>
  <c r="J40" i="1"/>
  <c r="I40" i="1"/>
  <c r="C40" i="1"/>
  <c r="H40" i="1" s="1"/>
  <c r="L39" i="1"/>
  <c r="K39" i="1"/>
  <c r="J39" i="1"/>
  <c r="I39" i="1"/>
  <c r="C39" i="1"/>
  <c r="H39" i="1" s="1"/>
  <c r="L38" i="1"/>
  <c r="K38" i="1"/>
  <c r="J38" i="1"/>
  <c r="I38" i="1"/>
  <c r="C38" i="1"/>
  <c r="H38" i="1" s="1"/>
  <c r="L37" i="1"/>
  <c r="K37" i="1"/>
  <c r="J37" i="1"/>
  <c r="I37" i="1"/>
  <c r="C37" i="1"/>
  <c r="H37" i="1" s="1"/>
  <c r="L36" i="1"/>
  <c r="K36" i="1"/>
  <c r="J36" i="1"/>
  <c r="I36" i="1"/>
  <c r="C36" i="1"/>
  <c r="H36" i="1" s="1"/>
  <c r="L35" i="1"/>
  <c r="K35" i="1"/>
  <c r="J35" i="1"/>
  <c r="I35" i="1"/>
  <c r="C35" i="1"/>
  <c r="H35" i="1" s="1"/>
  <c r="L34" i="1"/>
  <c r="K34" i="1"/>
  <c r="J34" i="1"/>
  <c r="I34" i="1"/>
  <c r="C34" i="1"/>
  <c r="H34" i="1" s="1"/>
  <c r="L33" i="1"/>
  <c r="K33" i="1"/>
  <c r="J33" i="1"/>
  <c r="I33" i="1"/>
  <c r="C33" i="1"/>
  <c r="H33" i="1" s="1"/>
  <c r="L32" i="1"/>
  <c r="K32" i="1"/>
  <c r="J32" i="1"/>
  <c r="I32" i="1"/>
  <c r="C32" i="1"/>
  <c r="H32" i="1" s="1"/>
  <c r="L31" i="1"/>
  <c r="K31" i="1"/>
  <c r="J31" i="1"/>
  <c r="I31" i="1"/>
  <c r="C31" i="1"/>
  <c r="H31" i="1" s="1"/>
  <c r="L30" i="1"/>
  <c r="K30" i="1"/>
  <c r="J30" i="1"/>
  <c r="I30" i="1"/>
  <c r="C30" i="1"/>
  <c r="H30" i="1" s="1"/>
  <c r="L29" i="1"/>
  <c r="K29" i="1"/>
  <c r="J29" i="1"/>
  <c r="I29" i="1"/>
  <c r="C29" i="1"/>
  <c r="H29" i="1" s="1"/>
  <c r="L28" i="1"/>
  <c r="K28" i="1"/>
  <c r="J28" i="1"/>
  <c r="I28" i="1"/>
  <c r="C28" i="1"/>
  <c r="H28" i="1" s="1"/>
  <c r="L27" i="1"/>
  <c r="K27" i="1"/>
  <c r="J27" i="1"/>
  <c r="I27" i="1"/>
  <c r="C27" i="1"/>
  <c r="H27" i="1" s="1"/>
  <c r="L26" i="1"/>
  <c r="K26" i="1"/>
  <c r="J26" i="1"/>
  <c r="I26" i="1"/>
  <c r="C26" i="1"/>
  <c r="H26" i="1" s="1"/>
  <c r="L25" i="1"/>
  <c r="K25" i="1"/>
  <c r="J25" i="1"/>
  <c r="I25" i="1"/>
  <c r="C25" i="1"/>
  <c r="H25" i="1" s="1"/>
  <c r="L24" i="1"/>
  <c r="K24" i="1"/>
  <c r="J24" i="1"/>
  <c r="I24" i="1"/>
  <c r="C24" i="1"/>
  <c r="H24" i="1" s="1"/>
  <c r="L23" i="1"/>
  <c r="K23" i="1"/>
  <c r="J23" i="1"/>
  <c r="I23" i="1"/>
  <c r="C23" i="1"/>
  <c r="H23" i="1" s="1"/>
  <c r="L22" i="1"/>
  <c r="K22" i="1"/>
  <c r="J22" i="1"/>
  <c r="I22" i="1"/>
  <c r="C22" i="1"/>
  <c r="H22" i="1" s="1"/>
  <c r="L21" i="1"/>
  <c r="K21" i="1"/>
  <c r="J21" i="1"/>
  <c r="I21" i="1"/>
  <c r="C21" i="1"/>
  <c r="H21" i="1" s="1"/>
  <c r="L20" i="1"/>
  <c r="K20" i="1"/>
  <c r="J20" i="1"/>
  <c r="I20" i="1"/>
  <c r="C20" i="1"/>
  <c r="H20" i="1" s="1"/>
  <c r="L19" i="1"/>
  <c r="K19" i="1"/>
  <c r="J19" i="1"/>
  <c r="I19" i="1"/>
  <c r="C19" i="1"/>
  <c r="H19" i="1" s="1"/>
  <c r="L18" i="1"/>
  <c r="K18" i="1"/>
  <c r="J18" i="1"/>
  <c r="I18" i="1"/>
  <c r="C18" i="1"/>
  <c r="H18" i="1" s="1"/>
  <c r="L17" i="1"/>
  <c r="K17" i="1"/>
  <c r="J17" i="1"/>
  <c r="I17" i="1"/>
  <c r="C17" i="1"/>
  <c r="H17" i="1" s="1"/>
  <c r="L16" i="1"/>
  <c r="K16" i="1"/>
  <c r="J16" i="1"/>
  <c r="I16" i="1"/>
  <c r="C16" i="1"/>
  <c r="H16" i="1" s="1"/>
  <c r="L15" i="1"/>
  <c r="K15" i="1"/>
  <c r="J15" i="1"/>
  <c r="I15" i="1"/>
  <c r="C15" i="1"/>
  <c r="H15" i="1" s="1"/>
  <c r="L14" i="1"/>
  <c r="K14" i="1"/>
  <c r="J14" i="1"/>
  <c r="I14" i="1"/>
  <c r="C14" i="1"/>
  <c r="H14" i="1" s="1"/>
  <c r="L13" i="1"/>
  <c r="K13" i="1"/>
  <c r="J13" i="1"/>
  <c r="I13" i="1"/>
  <c r="C13" i="1"/>
  <c r="H13" i="1" s="1"/>
  <c r="L12" i="1"/>
  <c r="K12" i="1"/>
  <c r="J12" i="1"/>
  <c r="I12" i="1"/>
  <c r="C12" i="1"/>
  <c r="H12" i="1" s="1"/>
  <c r="L11" i="1"/>
  <c r="K11" i="1"/>
  <c r="J11" i="1"/>
  <c r="I11" i="1"/>
  <c r="C11" i="1"/>
  <c r="H11" i="1" s="1"/>
  <c r="L10" i="1"/>
  <c r="K10" i="1"/>
  <c r="J10" i="1"/>
  <c r="I10" i="1"/>
  <c r="C10" i="1"/>
  <c r="H10" i="1" s="1"/>
  <c r="L9" i="1"/>
  <c r="K9" i="1"/>
  <c r="J9" i="1"/>
  <c r="I9" i="1"/>
  <c r="C9" i="1"/>
  <c r="H9" i="1" s="1"/>
  <c r="L8" i="1"/>
  <c r="K8" i="1"/>
  <c r="J8" i="1"/>
  <c r="I8" i="1"/>
  <c r="C8" i="1"/>
  <c r="H8" i="1" s="1"/>
  <c r="L7" i="1"/>
  <c r="K7" i="1"/>
  <c r="J7" i="1"/>
  <c r="I7" i="1"/>
  <c r="C7" i="1"/>
  <c r="H7" i="1" s="1"/>
  <c r="L6" i="1"/>
  <c r="K6" i="1"/>
  <c r="J6" i="1"/>
  <c r="I6" i="1"/>
  <c r="C6" i="1"/>
  <c r="H6" i="1" s="1"/>
  <c r="L5" i="1"/>
  <c r="K5" i="1"/>
  <c r="J5" i="1"/>
  <c r="I5" i="1"/>
  <c r="C5" i="1"/>
  <c r="H5" i="1" s="1"/>
  <c r="L4" i="1"/>
  <c r="K4" i="1"/>
  <c r="J4" i="1"/>
  <c r="I4" i="1"/>
  <c r="C4" i="1"/>
  <c r="H4" i="1" s="1"/>
  <c r="L3" i="1"/>
  <c r="K3" i="1"/>
  <c r="J3" i="1"/>
  <c r="I3" i="1"/>
  <c r="C3" i="1"/>
  <c r="H3" i="1" s="1"/>
  <c r="L2" i="1"/>
  <c r="K2" i="1"/>
  <c r="J2" i="1"/>
  <c r="I2" i="1"/>
  <c r="C2" i="1"/>
  <c r="H2" i="1" s="1"/>
  <c r="D7" i="7" l="1"/>
</calcChain>
</file>

<file path=xl/sharedStrings.xml><?xml version="1.0" encoding="utf-8"?>
<sst xmlns="http://schemas.openxmlformats.org/spreadsheetml/2006/main" count="5997" uniqueCount="834">
  <si>
    <t>date</t>
  </si>
  <si>
    <t>datetime</t>
  </si>
  <si>
    <t>hour_of_day</t>
  </si>
  <si>
    <t>cash_type</t>
  </si>
  <si>
    <t>card</t>
  </si>
  <si>
    <t>money</t>
  </si>
  <si>
    <t>coffee_name</t>
  </si>
  <si>
    <t>Time_of_Day</t>
  </si>
  <si>
    <t>Weekday</t>
  </si>
  <si>
    <t>Month_name</t>
  </si>
  <si>
    <t>Weekdaysort</t>
  </si>
  <si>
    <t>Monthsort</t>
  </si>
  <si>
    <t>ANON-0000-0000-0001</t>
  </si>
  <si>
    <t>Latte</t>
  </si>
  <si>
    <t>ANON-0000-0000-0002</t>
  </si>
  <si>
    <t>Hot Chocolate</t>
  </si>
  <si>
    <t>ANON-0000-0000-0003</t>
  </si>
  <si>
    <t>Americano</t>
  </si>
  <si>
    <t>ANON-0000-0000-0004</t>
  </si>
  <si>
    <t>ANON-0000-0000-0005</t>
  </si>
  <si>
    <t>Americano with Milk</t>
  </si>
  <si>
    <t>ANON-0000-0000-0006</t>
  </si>
  <si>
    <t>ANON-0000-0000-0007</t>
  </si>
  <si>
    <t>ANON-0000-0000-0008</t>
  </si>
  <si>
    <t>Cocoa</t>
  </si>
  <si>
    <t>ANON-0000-0000-0009</t>
  </si>
  <si>
    <t>ANON-0000-0000-0010</t>
  </si>
  <si>
    <t>cash</t>
  </si>
  <si>
    <t>ANON-0000-0000-0011</t>
  </si>
  <si>
    <t>ANON-0000-0000-0012</t>
  </si>
  <si>
    <t>ANON-0000-0000-0013</t>
  </si>
  <si>
    <t>ANON-0000-0000-0014</t>
  </si>
  <si>
    <t>ANON-0000-0000-0015</t>
  </si>
  <si>
    <t>ANON-0000-0000-0016</t>
  </si>
  <si>
    <t>Cortado</t>
  </si>
  <si>
    <t>ANON-0000-0000-0017</t>
  </si>
  <si>
    <t>ANON-0000-0000-0018</t>
  </si>
  <si>
    <t>ANON-0000-0000-0019</t>
  </si>
  <si>
    <t>ANON-0000-0000-0020</t>
  </si>
  <si>
    <t>ANON-0000-0000-0021</t>
  </si>
  <si>
    <t>ANON-0000-0000-0022</t>
  </si>
  <si>
    <t>Espresso</t>
  </si>
  <si>
    <t>ANON-0000-0000-0023</t>
  </si>
  <si>
    <t>ANON-0000-0000-0024</t>
  </si>
  <si>
    <t>ANON-0000-0000-0025</t>
  </si>
  <si>
    <t>ANON-0000-0000-0026</t>
  </si>
  <si>
    <t>ANON-0000-0000-0027</t>
  </si>
  <si>
    <t>ANON-0000-0000-0028</t>
  </si>
  <si>
    <t>ANON-0000-0000-0029</t>
  </si>
  <si>
    <t>Cappuccino</t>
  </si>
  <si>
    <t>ANON-0000-0000-0030</t>
  </si>
  <si>
    <t>ANON-0000-0000-0031</t>
  </si>
  <si>
    <t>ANON-0000-0000-0032</t>
  </si>
  <si>
    <t>ANON-0000-0000-0033</t>
  </si>
  <si>
    <t>ANON-0000-0000-0034</t>
  </si>
  <si>
    <t>ANON-0000-0000-0035</t>
  </si>
  <si>
    <t>ANON-0000-0000-0036</t>
  </si>
  <si>
    <t>ANON-0000-0000-0037</t>
  </si>
  <si>
    <t>ANON-0000-0000-0038</t>
  </si>
  <si>
    <t>ANON-0000-0000-0039</t>
  </si>
  <si>
    <t>ANON-0000-0000-0040</t>
  </si>
  <si>
    <t>ANON-0000-0000-0041</t>
  </si>
  <si>
    <t>ANON-0000-0000-0042</t>
  </si>
  <si>
    <t>ANON-0000-0000-0043</t>
  </si>
  <si>
    <t>ANON-0000-0000-0044</t>
  </si>
  <si>
    <t>ANON-0000-0000-0045</t>
  </si>
  <si>
    <t>ANON-0000-0000-0046</t>
  </si>
  <si>
    <t>ANON-0000-0000-0047</t>
  </si>
  <si>
    <t>ANON-0000-0000-0048</t>
  </si>
  <si>
    <t>ANON-0000-0000-0049</t>
  </si>
  <si>
    <t>ANON-0000-0000-0050</t>
  </si>
  <si>
    <t>ANON-0000-0000-0051</t>
  </si>
  <si>
    <t>ANON-0000-0000-0052</t>
  </si>
  <si>
    <t>ANON-0000-0000-0053</t>
  </si>
  <si>
    <t>ANON-0000-0000-0054</t>
  </si>
  <si>
    <t>ANON-0000-0000-0055</t>
  </si>
  <si>
    <t>ANON-0000-0000-0056</t>
  </si>
  <si>
    <t>ANON-0000-0000-0057</t>
  </si>
  <si>
    <t>ANON-0000-0000-0058</t>
  </si>
  <si>
    <t>ANON-0000-0000-0059</t>
  </si>
  <si>
    <t>ANON-0000-0000-0060</t>
  </si>
  <si>
    <t>ANON-0000-0000-0061</t>
  </si>
  <si>
    <t>ANON-0000-0000-0062</t>
  </si>
  <si>
    <t>ANON-0000-0000-0063</t>
  </si>
  <si>
    <t>ANON-0000-0000-0064</t>
  </si>
  <si>
    <t>ANON-0000-0000-0065</t>
  </si>
  <si>
    <t>ANON-0000-0000-0066</t>
  </si>
  <si>
    <t>ANON-0000-0000-0067</t>
  </si>
  <si>
    <t>ANON-0000-0000-0068</t>
  </si>
  <si>
    <t>ANON-0000-0000-0069</t>
  </si>
  <si>
    <t>ANON-0000-0000-0070</t>
  </si>
  <si>
    <t>ANON-0000-0000-0071</t>
  </si>
  <si>
    <t>ANON-0000-0000-0072</t>
  </si>
  <si>
    <t>ANON-0000-0000-0073</t>
  </si>
  <si>
    <t>ANON-0000-0000-0074</t>
  </si>
  <si>
    <t>ANON-0000-0000-0075</t>
  </si>
  <si>
    <t>ANON-0000-0000-0076</t>
  </si>
  <si>
    <t>ANON-0000-0000-0077</t>
  </si>
  <si>
    <t>ANON-0000-0000-0078</t>
  </si>
  <si>
    <t>ANON-0000-0000-0079</t>
  </si>
  <si>
    <t>ANON-0000-0000-0080</t>
  </si>
  <si>
    <t>ANON-0000-0000-0081</t>
  </si>
  <si>
    <t>ANON-0000-0000-0082</t>
  </si>
  <si>
    <t>ANON-0000-0000-0083</t>
  </si>
  <si>
    <t>ANON-0000-0000-0084</t>
  </si>
  <si>
    <t>ANON-0000-0000-0085</t>
  </si>
  <si>
    <t>ANON-0000-0000-0086</t>
  </si>
  <si>
    <t>ANON-0000-0000-0087</t>
  </si>
  <si>
    <t>ANON-0000-0000-0088</t>
  </si>
  <si>
    <t>ANON-0000-0000-0089</t>
  </si>
  <si>
    <t>ANON-0000-0000-0090</t>
  </si>
  <si>
    <t>ANON-0000-0000-0091</t>
  </si>
  <si>
    <t>ANON-0000-0000-0092</t>
  </si>
  <si>
    <t>ANON-0000-0000-0093</t>
  </si>
  <si>
    <t>ANON-0000-0000-0094</t>
  </si>
  <si>
    <t>ANON-0000-0000-0095</t>
  </si>
  <si>
    <t>ANON-0000-0000-0096</t>
  </si>
  <si>
    <t>ANON-0000-0000-0097</t>
  </si>
  <si>
    <t>ANON-0000-0000-0098</t>
  </si>
  <si>
    <t>ANON-0000-0000-0099</t>
  </si>
  <si>
    <t>ANON-0000-0000-0100</t>
  </si>
  <si>
    <t>ANON-0000-0000-0101</t>
  </si>
  <si>
    <t>ANON-0000-0000-0102</t>
  </si>
  <si>
    <t>ANON-0000-0000-0103</t>
  </si>
  <si>
    <t>ANON-0000-0000-0104</t>
  </si>
  <si>
    <t>ANON-0000-0000-0105</t>
  </si>
  <si>
    <t>ANON-0000-0000-0106</t>
  </si>
  <si>
    <t>ANON-0000-0000-0107</t>
  </si>
  <si>
    <t>ANON-0000-0000-0108</t>
  </si>
  <si>
    <t>ANON-0000-0000-0109</t>
  </si>
  <si>
    <t>ANON-0000-0000-0110</t>
  </si>
  <si>
    <t>ANON-0000-0000-0111</t>
  </si>
  <si>
    <t>ANON-0000-0000-0112</t>
  </si>
  <si>
    <t>ANON-0000-0000-0113</t>
  </si>
  <si>
    <t>ANON-0000-0000-0114</t>
  </si>
  <si>
    <t>ANON-0000-0000-0115</t>
  </si>
  <si>
    <t>ANON-0000-0000-0116</t>
  </si>
  <si>
    <t>ANON-0000-0000-0117</t>
  </si>
  <si>
    <t>ANON-0000-0000-0118</t>
  </si>
  <si>
    <t>ANON-0000-0000-0119</t>
  </si>
  <si>
    <t>ANON-0000-0000-0120</t>
  </si>
  <si>
    <t>ANON-0000-0000-0121</t>
  </si>
  <si>
    <t>ANON-0000-0000-0122</t>
  </si>
  <si>
    <t>ANON-0000-0000-0123</t>
  </si>
  <si>
    <t>ANON-0000-0000-0124</t>
  </si>
  <si>
    <t>ANON-0000-0000-0125</t>
  </si>
  <si>
    <t>ANON-0000-0000-0126</t>
  </si>
  <si>
    <t>ANON-0000-0000-0127</t>
  </si>
  <si>
    <t>ANON-0000-0000-0128</t>
  </si>
  <si>
    <t>ANON-0000-0000-0129</t>
  </si>
  <si>
    <t>ANON-0000-0000-0130</t>
  </si>
  <si>
    <t>ANON-0000-0000-0131</t>
  </si>
  <si>
    <t>ANON-0000-0000-0132</t>
  </si>
  <si>
    <t>ANON-0000-0000-0133</t>
  </si>
  <si>
    <t>ANON-0000-0000-0134</t>
  </si>
  <si>
    <t>ANON-0000-0000-0135</t>
  </si>
  <si>
    <t>ANON-0000-0000-0136</t>
  </si>
  <si>
    <t>ANON-0000-0000-0137</t>
  </si>
  <si>
    <t>ANON-0000-0000-0138</t>
  </si>
  <si>
    <t>ANON-0000-0000-0139</t>
  </si>
  <si>
    <t>ANON-0000-0000-0140</t>
  </si>
  <si>
    <t>ANON-0000-0000-0141</t>
  </si>
  <si>
    <t>ANON-0000-0000-0142</t>
  </si>
  <si>
    <t>ANON-0000-0000-0143</t>
  </si>
  <si>
    <t>ANON-0000-0000-0144</t>
  </si>
  <si>
    <t>ANON-0000-0000-0145</t>
  </si>
  <si>
    <t>ANON-0000-0000-0146</t>
  </si>
  <si>
    <t>ANON-0000-0000-0147</t>
  </si>
  <si>
    <t>ANON-0000-0000-0148</t>
  </si>
  <si>
    <t>ANON-0000-0000-0149</t>
  </si>
  <si>
    <t>ANON-0000-0000-0150</t>
  </si>
  <si>
    <t>ANON-0000-0000-0151</t>
  </si>
  <si>
    <t>ANON-0000-0000-0152</t>
  </si>
  <si>
    <t>ANON-0000-0000-0153</t>
  </si>
  <si>
    <t>ANON-0000-0000-0154</t>
  </si>
  <si>
    <t>ANON-0000-0000-0155</t>
  </si>
  <si>
    <t>ANON-0000-0000-0156</t>
  </si>
  <si>
    <t>ANON-0000-0000-0157</t>
  </si>
  <si>
    <t>ANON-0000-0000-0158</t>
  </si>
  <si>
    <t>ANON-0000-0000-0159</t>
  </si>
  <si>
    <t>ANON-0000-0000-0160</t>
  </si>
  <si>
    <t>ANON-0000-0000-0161</t>
  </si>
  <si>
    <t>ANON-0000-0000-0162</t>
  </si>
  <si>
    <t>ANON-0000-0000-0163</t>
  </si>
  <si>
    <t>ANON-0000-0000-0164</t>
  </si>
  <si>
    <t>ANON-0000-0000-0165</t>
  </si>
  <si>
    <t>ANON-0000-0000-0166</t>
  </si>
  <si>
    <t>ANON-0000-0000-0167</t>
  </si>
  <si>
    <t>ANON-0000-0000-0168</t>
  </si>
  <si>
    <t>ANON-0000-0000-0169</t>
  </si>
  <si>
    <t>ANON-0000-0000-0170</t>
  </si>
  <si>
    <t>ANON-0000-0000-0171</t>
  </si>
  <si>
    <t>ANON-0000-0000-0172</t>
  </si>
  <si>
    <t>ANON-0000-0000-0173</t>
  </si>
  <si>
    <t>ANON-0000-0000-0174</t>
  </si>
  <si>
    <t>ANON-0000-0000-0175</t>
  </si>
  <si>
    <t>ANON-0000-0000-0176</t>
  </si>
  <si>
    <t>ANON-0000-0000-0177</t>
  </si>
  <si>
    <t>ANON-0000-0000-0178</t>
  </si>
  <si>
    <t>ANON-0000-0000-0179</t>
  </si>
  <si>
    <t>ANON-0000-0000-0180</t>
  </si>
  <si>
    <t>ANON-0000-0000-0181</t>
  </si>
  <si>
    <t>ANON-0000-0000-0182</t>
  </si>
  <si>
    <t>ANON-0000-0000-0183</t>
  </si>
  <si>
    <t>ANON-0000-0000-0184</t>
  </si>
  <si>
    <t>ANON-0000-0000-0185</t>
  </si>
  <si>
    <t>ANON-0000-0000-0186</t>
  </si>
  <si>
    <t>ANON-0000-0000-0187</t>
  </si>
  <si>
    <t>ANON-0000-0000-0188</t>
  </si>
  <si>
    <t>ANON-0000-0000-0189</t>
  </si>
  <si>
    <t>ANON-0000-0000-0190</t>
  </si>
  <si>
    <t>ANON-0000-0000-0191</t>
  </si>
  <si>
    <t>ANON-0000-0000-0192</t>
  </si>
  <si>
    <t>ANON-0000-0000-0193</t>
  </si>
  <si>
    <t>ANON-0000-0000-0194</t>
  </si>
  <si>
    <t>ANON-0000-0000-0195</t>
  </si>
  <si>
    <t>ANON-0000-0000-0196</t>
  </si>
  <si>
    <t>ANON-0000-0000-0197</t>
  </si>
  <si>
    <t>ANON-0000-0000-0198</t>
  </si>
  <si>
    <t>ANON-0000-0000-0199</t>
  </si>
  <si>
    <t>ANON-0000-0000-0200</t>
  </si>
  <si>
    <t>ANON-0000-0000-0201</t>
  </si>
  <si>
    <t>ANON-0000-0000-0202</t>
  </si>
  <si>
    <t>ANON-0000-0000-0203</t>
  </si>
  <si>
    <t>ANON-0000-0000-0204</t>
  </si>
  <si>
    <t>ANON-0000-0000-0205</t>
  </si>
  <si>
    <t>ANON-0000-0000-0206</t>
  </si>
  <si>
    <t>ANON-0000-0000-0207</t>
  </si>
  <si>
    <t>ANON-0000-0000-0208</t>
  </si>
  <si>
    <t>ANON-0000-0000-0209</t>
  </si>
  <si>
    <t>ANON-0000-0000-0210</t>
  </si>
  <si>
    <t>ANON-0000-0000-0211</t>
  </si>
  <si>
    <t>ANON-0000-0000-0212</t>
  </si>
  <si>
    <t>ANON-0000-0000-0213</t>
  </si>
  <si>
    <t>ANON-0000-0000-0214</t>
  </si>
  <si>
    <t>ANON-0000-0000-0215</t>
  </si>
  <si>
    <t>ANON-0000-0000-0216</t>
  </si>
  <si>
    <t>ANON-0000-0000-0217</t>
  </si>
  <si>
    <t>ANON-0000-0000-0218</t>
  </si>
  <si>
    <t>ANON-0000-0000-0219</t>
  </si>
  <si>
    <t>ANON-0000-0000-0220</t>
  </si>
  <si>
    <t>ANON-0000-0000-0221</t>
  </si>
  <si>
    <t>ANON-0000-0000-0222</t>
  </si>
  <si>
    <t>ANON-0000-0000-0223</t>
  </si>
  <si>
    <t>ANON-0000-0000-0224</t>
  </si>
  <si>
    <t>ANON-0000-0000-0225</t>
  </si>
  <si>
    <t>ANON-0000-0000-0226</t>
  </si>
  <si>
    <t>ANON-0000-0000-0227</t>
  </si>
  <si>
    <t>ANON-0000-0000-0228</t>
  </si>
  <si>
    <t>ANON-0000-0000-0229</t>
  </si>
  <si>
    <t>ANON-0000-0000-0230</t>
  </si>
  <si>
    <t>ANON-0000-0000-0231</t>
  </si>
  <si>
    <t>ANON-0000-0000-0232</t>
  </si>
  <si>
    <t>ANON-0000-0000-0233</t>
  </si>
  <si>
    <t>ANON-0000-0000-0234</t>
  </si>
  <si>
    <t>ANON-0000-0000-0235</t>
  </si>
  <si>
    <t>ANON-0000-0000-0236</t>
  </si>
  <si>
    <t>ANON-0000-0000-0237</t>
  </si>
  <si>
    <t>ANON-0000-0000-0238</t>
  </si>
  <si>
    <t>ANON-0000-0000-0239</t>
  </si>
  <si>
    <t>ANON-0000-0000-0240</t>
  </si>
  <si>
    <t>ANON-0000-0000-0241</t>
  </si>
  <si>
    <t>ANON-0000-0000-0242</t>
  </si>
  <si>
    <t>ANON-0000-0000-0243</t>
  </si>
  <si>
    <t>ANON-0000-0000-0244</t>
  </si>
  <si>
    <t>ANON-0000-0000-0245</t>
  </si>
  <si>
    <t>ANON-0000-0000-0246</t>
  </si>
  <si>
    <t>ANON-0000-0000-0247</t>
  </si>
  <si>
    <t>ANON-0000-0000-0248</t>
  </si>
  <si>
    <t>ANON-0000-0000-0249</t>
  </si>
  <si>
    <t>ANON-0000-0000-0250</t>
  </si>
  <si>
    <t>ANON-0000-0000-0251</t>
  </si>
  <si>
    <t>ANON-0000-0000-0252</t>
  </si>
  <si>
    <t>ANON-0000-0000-0253</t>
  </si>
  <si>
    <t>ANON-0000-0000-0254</t>
  </si>
  <si>
    <t>ANON-0000-0000-0255</t>
  </si>
  <si>
    <t>ANON-0000-0000-0256</t>
  </si>
  <si>
    <t>ANON-0000-0000-0257</t>
  </si>
  <si>
    <t>ANON-0000-0000-0258</t>
  </si>
  <si>
    <t>ANON-0000-0000-0259</t>
  </si>
  <si>
    <t>ANON-0000-0000-0260</t>
  </si>
  <si>
    <t>ANON-0000-0000-0261</t>
  </si>
  <si>
    <t>ANON-0000-0000-0262</t>
  </si>
  <si>
    <t>ANON-0000-0000-0263</t>
  </si>
  <si>
    <t>ANON-0000-0000-0264</t>
  </si>
  <si>
    <t>ANON-0000-0000-0265</t>
  </si>
  <si>
    <t>ANON-0000-0000-0266</t>
  </si>
  <si>
    <t>ANON-0000-0000-0267</t>
  </si>
  <si>
    <t>ANON-0000-0000-0268</t>
  </si>
  <si>
    <t>ANON-0000-0000-0269</t>
  </si>
  <si>
    <t>ANON-0000-0000-0270</t>
  </si>
  <si>
    <t>ANON-0000-0000-0271</t>
  </si>
  <si>
    <t>ANON-0000-0000-0272</t>
  </si>
  <si>
    <t>ANON-0000-0000-0273</t>
  </si>
  <si>
    <t>ANON-0000-0000-0274</t>
  </si>
  <si>
    <t>ANON-0000-0000-0275</t>
  </si>
  <si>
    <t>ANON-0000-0000-0276</t>
  </si>
  <si>
    <t>ANON-0000-0000-0277</t>
  </si>
  <si>
    <t>ANON-0000-0000-0278</t>
  </si>
  <si>
    <t>ANON-0000-0000-0279</t>
  </si>
  <si>
    <t>ANON-0000-0000-0280</t>
  </si>
  <si>
    <t>ANON-0000-0000-0281</t>
  </si>
  <si>
    <t>ANON-0000-0000-0282</t>
  </si>
  <si>
    <t>ANON-0000-0000-0283</t>
  </si>
  <si>
    <t>ANON-0000-0000-0284</t>
  </si>
  <si>
    <t>ANON-0000-0000-0285</t>
  </si>
  <si>
    <t>ANON-0000-0000-0286</t>
  </si>
  <si>
    <t>ANON-0000-0000-0287</t>
  </si>
  <si>
    <t>ANON-0000-0000-0288</t>
  </si>
  <si>
    <t>ANON-0000-0000-0289</t>
  </si>
  <si>
    <t>ANON-0000-0000-0290</t>
  </si>
  <si>
    <t>ANON-0000-0000-0291</t>
  </si>
  <si>
    <t>ANON-0000-0000-0292</t>
  </si>
  <si>
    <t>ANON-0000-0000-0293</t>
  </si>
  <si>
    <t>ANON-0000-0000-0294</t>
  </si>
  <si>
    <t>ANON-0000-0000-0295</t>
  </si>
  <si>
    <t>ANON-0000-0000-0296</t>
  </si>
  <si>
    <t>ANON-0000-0000-0297</t>
  </si>
  <si>
    <t>ANON-0000-0000-0298</t>
  </si>
  <si>
    <t>ANON-0000-0000-0299</t>
  </si>
  <si>
    <t>ANON-0000-0000-0300</t>
  </si>
  <si>
    <t>ANON-0000-0000-0301</t>
  </si>
  <si>
    <t>ANON-0000-0000-0302</t>
  </si>
  <si>
    <t>ANON-0000-0000-0303</t>
  </si>
  <si>
    <t>ANON-0000-0000-0304</t>
  </si>
  <si>
    <t>ANON-0000-0000-0305</t>
  </si>
  <si>
    <t>ANON-0000-0000-0306</t>
  </si>
  <si>
    <t>ANON-0000-0000-0307</t>
  </si>
  <si>
    <t>ANON-0000-0000-0308</t>
  </si>
  <si>
    <t>ANON-0000-0000-0309</t>
  </si>
  <si>
    <t>ANON-0000-0000-0310</t>
  </si>
  <si>
    <t>ANON-0000-0000-0311</t>
  </si>
  <si>
    <t>ANON-0000-0000-0312</t>
  </si>
  <si>
    <t>ANON-0000-0000-0313</t>
  </si>
  <si>
    <t>ANON-0000-0000-0314</t>
  </si>
  <si>
    <t>ANON-0000-0000-0315</t>
  </si>
  <si>
    <t>ANON-0000-0000-0316</t>
  </si>
  <si>
    <t>ANON-0000-0000-0317</t>
  </si>
  <si>
    <t>ANON-0000-0000-0318</t>
  </si>
  <si>
    <t>ANON-0000-0000-0319</t>
  </si>
  <si>
    <t>ANON-0000-0000-0320</t>
  </si>
  <si>
    <t>ANON-0000-0000-0321</t>
  </si>
  <si>
    <t>ANON-0000-0000-0322</t>
  </si>
  <si>
    <t>ANON-0000-0000-0323</t>
  </si>
  <si>
    <t>ANON-0000-0000-0324</t>
  </si>
  <si>
    <t>ANON-0000-0000-0325</t>
  </si>
  <si>
    <t>ANON-0000-0000-0326</t>
  </si>
  <si>
    <t>ANON-0000-0000-0327</t>
  </si>
  <si>
    <t>ANON-0000-0000-0328</t>
  </si>
  <si>
    <t>ANON-0000-0000-0329</t>
  </si>
  <si>
    <t>ANON-0000-0000-0330</t>
  </si>
  <si>
    <t>ANON-0000-0000-0331</t>
  </si>
  <si>
    <t>ANON-0000-0000-0332</t>
  </si>
  <si>
    <t>ANON-0000-0000-0333</t>
  </si>
  <si>
    <t>ANON-0000-0000-0334</t>
  </si>
  <si>
    <t>ANON-0000-0000-0335</t>
  </si>
  <si>
    <t>ANON-0000-0000-0336</t>
  </si>
  <si>
    <t>ANON-0000-0000-0337</t>
  </si>
  <si>
    <t>ANON-0000-0000-0338</t>
  </si>
  <si>
    <t>ANON-0000-0000-0339</t>
  </si>
  <si>
    <t>ANON-0000-0000-0340</t>
  </si>
  <si>
    <t>ANON-0000-0000-0341</t>
  </si>
  <si>
    <t>ANON-0000-0000-0342</t>
  </si>
  <si>
    <t>ANON-0000-0000-0343</t>
  </si>
  <si>
    <t>ANON-0000-0000-0344</t>
  </si>
  <si>
    <t>ANON-0000-0000-0345</t>
  </si>
  <si>
    <t>ANON-0000-0000-0346</t>
  </si>
  <si>
    <t>ANON-0000-0000-0347</t>
  </si>
  <si>
    <t>ANON-0000-0000-0348</t>
  </si>
  <si>
    <t>ANON-0000-0000-0349</t>
  </si>
  <si>
    <t>ANON-0000-0000-0350</t>
  </si>
  <si>
    <t>ANON-0000-0000-0351</t>
  </si>
  <si>
    <t>ANON-0000-0000-0352</t>
  </si>
  <si>
    <t>ANON-0000-0000-0353</t>
  </si>
  <si>
    <t>ANON-0000-0000-0354</t>
  </si>
  <si>
    <t>ANON-0000-0000-0355</t>
  </si>
  <si>
    <t>ANON-0000-0000-0356</t>
  </si>
  <si>
    <t>ANON-0000-0000-0357</t>
  </si>
  <si>
    <t>ANON-0000-0000-0358</t>
  </si>
  <si>
    <t>ANON-0000-0000-0359</t>
  </si>
  <si>
    <t>ANON-0000-0000-0360</t>
  </si>
  <si>
    <t>ANON-0000-0000-0361</t>
  </si>
  <si>
    <t>ANON-0000-0000-0362</t>
  </si>
  <si>
    <t>ANON-0000-0000-0363</t>
  </si>
  <si>
    <t>ANON-0000-0000-0364</t>
  </si>
  <si>
    <t>ANON-0000-0000-0365</t>
  </si>
  <si>
    <t>ANON-0000-0000-0366</t>
  </si>
  <si>
    <t>ANON-0000-0000-0367</t>
  </si>
  <si>
    <t>ANON-0000-0000-0368</t>
  </si>
  <si>
    <t>ANON-0000-0000-0369</t>
  </si>
  <si>
    <t>ANON-0000-0000-0370</t>
  </si>
  <si>
    <t>ANON-0000-0000-0371</t>
  </si>
  <si>
    <t>ANON-0000-0000-0372</t>
  </si>
  <si>
    <t>ANON-0000-0000-0373</t>
  </si>
  <si>
    <t>ANON-0000-0000-0374</t>
  </si>
  <si>
    <t>ANON-0000-0000-0375</t>
  </si>
  <si>
    <t>ANON-0000-0000-0376</t>
  </si>
  <si>
    <t>ANON-0000-0000-0377</t>
  </si>
  <si>
    <t>ANON-0000-0000-0378</t>
  </si>
  <si>
    <t>ANON-0000-0000-0379</t>
  </si>
  <si>
    <t>ANON-0000-0000-0380</t>
  </si>
  <si>
    <t>ANON-0000-0000-0381</t>
  </si>
  <si>
    <t>ANON-0000-0000-0382</t>
  </si>
  <si>
    <t>ANON-0000-0000-0383</t>
  </si>
  <si>
    <t>ANON-0000-0000-0384</t>
  </si>
  <si>
    <t>ANON-0000-0000-0385</t>
  </si>
  <si>
    <t>ANON-0000-0000-0386</t>
  </si>
  <si>
    <t>ANON-0000-0000-0387</t>
  </si>
  <si>
    <t>ANON-0000-0000-0388</t>
  </si>
  <si>
    <t>ANON-0000-0000-0389</t>
  </si>
  <si>
    <t>ANON-0000-0000-0390</t>
  </si>
  <si>
    <t>ANON-0000-0000-0391</t>
  </si>
  <si>
    <t>ANON-0000-0000-0392</t>
  </si>
  <si>
    <t>ANON-0000-0000-0393</t>
  </si>
  <si>
    <t>ANON-0000-0000-0394</t>
  </si>
  <si>
    <t>ANON-0000-0000-0395</t>
  </si>
  <si>
    <t>ANON-0000-0000-0396</t>
  </si>
  <si>
    <t>ANON-0000-0000-0397</t>
  </si>
  <si>
    <t>ANON-0000-0000-0398</t>
  </si>
  <si>
    <t>ANON-0000-0000-0399</t>
  </si>
  <si>
    <t>ANON-0000-0000-0400</t>
  </si>
  <si>
    <t>ANON-0000-0000-0401</t>
  </si>
  <si>
    <t>ANON-0000-0000-0402</t>
  </si>
  <si>
    <t>ANON-0000-0000-0403</t>
  </si>
  <si>
    <t>ANON-0000-0000-0404</t>
  </si>
  <si>
    <t>ANON-0000-0000-0405</t>
  </si>
  <si>
    <t>ANON-0000-0000-0406</t>
  </si>
  <si>
    <t>ANON-0000-0000-0407</t>
  </si>
  <si>
    <t>ANON-0000-0000-0408</t>
  </si>
  <si>
    <t>ANON-0000-0000-0409</t>
  </si>
  <si>
    <t>ANON-0000-0000-0410</t>
  </si>
  <si>
    <t>ANON-0000-0000-0411</t>
  </si>
  <si>
    <t>ANON-0000-0000-0412</t>
  </si>
  <si>
    <t>ANON-0000-0000-0413</t>
  </si>
  <si>
    <t>ANON-0000-0000-0414</t>
  </si>
  <si>
    <t>ANON-0000-0000-0415</t>
  </si>
  <si>
    <t>ANON-0000-0000-0416</t>
  </si>
  <si>
    <t>ANON-0000-0000-0417</t>
  </si>
  <si>
    <t>ANON-0000-0000-0418</t>
  </si>
  <si>
    <t>ANON-0000-0000-0419</t>
  </si>
  <si>
    <t>ANON-0000-0000-0420</t>
  </si>
  <si>
    <t>ANON-0000-0000-0421</t>
  </si>
  <si>
    <t>ANON-0000-0000-0422</t>
  </si>
  <si>
    <t>ANON-0000-0000-0423</t>
  </si>
  <si>
    <t>ANON-0000-0000-0424</t>
  </si>
  <si>
    <t>ANON-0000-0000-0425</t>
  </si>
  <si>
    <t>ANON-0000-0000-0426</t>
  </si>
  <si>
    <t>ANON-0000-0000-0427</t>
  </si>
  <si>
    <t>ANON-0000-0000-0428</t>
  </si>
  <si>
    <t>ANON-0000-0000-0429</t>
  </si>
  <si>
    <t>ANON-0000-0000-0430</t>
  </si>
  <si>
    <t>ANON-0000-0000-0431</t>
  </si>
  <si>
    <t>ANON-0000-0000-0432</t>
  </si>
  <si>
    <t>ANON-0000-0000-0433</t>
  </si>
  <si>
    <t>ANON-0000-0000-0434</t>
  </si>
  <si>
    <t>ANON-0000-0000-0435</t>
  </si>
  <si>
    <t>ANON-0000-0000-0436</t>
  </si>
  <si>
    <t>ANON-0000-0000-0437</t>
  </si>
  <si>
    <t>ANON-0000-0000-0438</t>
  </si>
  <si>
    <t>ANON-0000-0000-0439</t>
  </si>
  <si>
    <t>ANON-0000-0000-0440</t>
  </si>
  <si>
    <t>ANON-0000-0000-0441</t>
  </si>
  <si>
    <t>ANON-0000-0000-0442</t>
  </si>
  <si>
    <t>ANON-0000-0000-0443</t>
  </si>
  <si>
    <t>ANON-0000-0000-0444</t>
  </si>
  <si>
    <t>ANON-0000-0000-0445</t>
  </si>
  <si>
    <t>ANON-0000-0000-0446</t>
  </si>
  <si>
    <t>ANON-0000-0000-0447</t>
  </si>
  <si>
    <t>ANON-0000-0000-0448</t>
  </si>
  <si>
    <t>ANON-0000-0000-0449</t>
  </si>
  <si>
    <t>ANON-0000-0000-0450</t>
  </si>
  <si>
    <t>ANON-0000-0000-0451</t>
  </si>
  <si>
    <t>ANON-0000-0000-0452</t>
  </si>
  <si>
    <t>ANON-0000-0000-0453</t>
  </si>
  <si>
    <t>ANON-0000-0000-0454</t>
  </si>
  <si>
    <t>ANON-0000-0000-0455</t>
  </si>
  <si>
    <t>ANON-0000-0000-0456</t>
  </si>
  <si>
    <t>ANON-0000-0000-0457</t>
  </si>
  <si>
    <t>ANON-0000-0000-0458</t>
  </si>
  <si>
    <t>ANON-0000-0000-0459</t>
  </si>
  <si>
    <t>ANON-0000-0000-0460</t>
  </si>
  <si>
    <t>ANON-0000-0000-0461</t>
  </si>
  <si>
    <t>ANON-0000-0000-0462</t>
  </si>
  <si>
    <t>ANON-0000-0000-0463</t>
  </si>
  <si>
    <t>ANON-0000-0000-0464</t>
  </si>
  <si>
    <t>ANON-0000-0000-0465</t>
  </si>
  <si>
    <t>ANON-0000-0000-0466</t>
  </si>
  <si>
    <t>ANON-0000-0000-0467</t>
  </si>
  <si>
    <t>ANON-0000-0000-0468</t>
  </si>
  <si>
    <t>ANON-0000-0000-0469</t>
  </si>
  <si>
    <t>ANON-0000-0000-0470</t>
  </si>
  <si>
    <t>ANON-0000-0000-0471</t>
  </si>
  <si>
    <t>ANON-0000-0000-0472</t>
  </si>
  <si>
    <t>ANON-0000-0000-0473</t>
  </si>
  <si>
    <t>ANON-0000-0000-0474</t>
  </si>
  <si>
    <t>ANON-0000-0000-0475</t>
  </si>
  <si>
    <t>ANON-0000-0000-0476</t>
  </si>
  <si>
    <t>ANON-0000-0000-0477</t>
  </si>
  <si>
    <t>ANON-0000-0000-0478</t>
  </si>
  <si>
    <t>ANON-0000-0000-0479</t>
  </si>
  <si>
    <t>ANON-0000-0000-0480</t>
  </si>
  <si>
    <t>ANON-0000-0000-0481</t>
  </si>
  <si>
    <t>ANON-0000-0000-0482</t>
  </si>
  <si>
    <t>ANON-0000-0000-0483</t>
  </si>
  <si>
    <t>ANON-0000-0000-0484</t>
  </si>
  <si>
    <t>ANON-0000-0000-0485</t>
  </si>
  <si>
    <t>ANON-0000-0000-0486</t>
  </si>
  <si>
    <t>ANON-0000-0000-0487</t>
  </si>
  <si>
    <t>ANON-0000-0000-0488</t>
  </si>
  <si>
    <t>ANON-0000-0000-0489</t>
  </si>
  <si>
    <t>ANON-0000-0000-0490</t>
  </si>
  <si>
    <t>ANON-0000-0000-0491</t>
  </si>
  <si>
    <t>ANON-0000-0000-0492</t>
  </si>
  <si>
    <t>ANON-0000-0000-0493</t>
  </si>
  <si>
    <t>ANON-0000-0000-0494</t>
  </si>
  <si>
    <t>ANON-0000-0000-0495</t>
  </si>
  <si>
    <t>ANON-0000-0000-0496</t>
  </si>
  <si>
    <t>ANON-0000-0000-0497</t>
  </si>
  <si>
    <t>ANON-0000-0000-0498</t>
  </si>
  <si>
    <t>ANON-0000-0000-0499</t>
  </si>
  <si>
    <t>ANON-0000-0000-0500</t>
  </si>
  <si>
    <t>ANON-0000-0000-0501</t>
  </si>
  <si>
    <t>ANON-0000-0000-0502</t>
  </si>
  <si>
    <t>ANON-0000-0000-0503</t>
  </si>
  <si>
    <t>ANON-0000-0000-0504</t>
  </si>
  <si>
    <t>ANON-0000-0000-0505</t>
  </si>
  <si>
    <t>ANON-0000-0000-0506</t>
  </si>
  <si>
    <t>ANON-0000-0000-0507</t>
  </si>
  <si>
    <t>ANON-0000-0000-0508</t>
  </si>
  <si>
    <t>ANON-0000-0000-0509</t>
  </si>
  <si>
    <t>ANON-0000-0000-0510</t>
  </si>
  <si>
    <t>ANON-0000-0000-0511</t>
  </si>
  <si>
    <t>ANON-0000-0000-0512</t>
  </si>
  <si>
    <t>ANON-0000-0000-0513</t>
  </si>
  <si>
    <t>ANON-0000-0000-0514</t>
  </si>
  <si>
    <t>ANON-0000-0000-0515</t>
  </si>
  <si>
    <t>ANON-0000-0000-0516</t>
  </si>
  <si>
    <t>ANON-0000-0000-0517</t>
  </si>
  <si>
    <t>ANON-0000-0000-0518</t>
  </si>
  <si>
    <t>ANON-0000-0000-0519</t>
  </si>
  <si>
    <t>ANON-0000-0000-0520</t>
  </si>
  <si>
    <t>ANON-0000-0000-0521</t>
  </si>
  <si>
    <t>ANON-0000-0000-0522</t>
  </si>
  <si>
    <t>ANON-0000-0000-0523</t>
  </si>
  <si>
    <t>ANON-0000-0000-0524</t>
  </si>
  <si>
    <t>ANON-0000-0000-0525</t>
  </si>
  <si>
    <t>ANON-0000-0000-0526</t>
  </si>
  <si>
    <t>ANON-0000-0000-0527</t>
  </si>
  <si>
    <t>ANON-0000-0000-0528</t>
  </si>
  <si>
    <t>ANON-0000-0000-0529</t>
  </si>
  <si>
    <t>ANON-0000-0000-0530</t>
  </si>
  <si>
    <t>ANON-0000-0000-0531</t>
  </si>
  <si>
    <t>ANON-0000-0000-0532</t>
  </si>
  <si>
    <t>ANON-0000-0000-0533</t>
  </si>
  <si>
    <t>ANON-0000-0000-0534</t>
  </si>
  <si>
    <t>ANON-0000-0000-0535</t>
  </si>
  <si>
    <t>ANON-0000-0000-0536</t>
  </si>
  <si>
    <t>ANON-0000-0000-0537</t>
  </si>
  <si>
    <t>ANON-0000-0000-0538</t>
  </si>
  <si>
    <t>ANON-0000-0000-0539</t>
  </si>
  <si>
    <t>ANON-0000-0000-0540</t>
  </si>
  <si>
    <t>ANON-0000-0000-0541</t>
  </si>
  <si>
    <t>ANON-0000-0000-0542</t>
  </si>
  <si>
    <t>ANON-0000-0000-0543</t>
  </si>
  <si>
    <t>ANON-0000-0000-0544</t>
  </si>
  <si>
    <t>ANON-0000-0000-0545</t>
  </si>
  <si>
    <t>ANON-0000-0000-0546</t>
  </si>
  <si>
    <t>ANON-0000-0000-0547</t>
  </si>
  <si>
    <t>ANON-0000-0000-0548</t>
  </si>
  <si>
    <t>ANON-0000-0000-0549</t>
  </si>
  <si>
    <t>ANON-0000-0000-0550</t>
  </si>
  <si>
    <t>ANON-0000-0000-0551</t>
  </si>
  <si>
    <t>ANON-0000-0000-0552</t>
  </si>
  <si>
    <t>ANON-0000-0000-0553</t>
  </si>
  <si>
    <t>ANON-0000-0000-0554</t>
  </si>
  <si>
    <t>ANON-0000-0000-0555</t>
  </si>
  <si>
    <t>ANON-0000-0000-0556</t>
  </si>
  <si>
    <t>ANON-0000-0000-0557</t>
  </si>
  <si>
    <t>ANON-0000-0000-0558</t>
  </si>
  <si>
    <t>ANON-0000-0000-0559</t>
  </si>
  <si>
    <t>ANON-0000-0000-0560</t>
  </si>
  <si>
    <t>ANON-0000-0000-0561</t>
  </si>
  <si>
    <t>ANON-0000-0000-0562</t>
  </si>
  <si>
    <t>ANON-0000-0000-0563</t>
  </si>
  <si>
    <t>ANON-0000-0000-0564</t>
  </si>
  <si>
    <t>ANON-0000-0000-0565</t>
  </si>
  <si>
    <t>ANON-0000-0000-0566</t>
  </si>
  <si>
    <t>ANON-0000-0000-0567</t>
  </si>
  <si>
    <t>ANON-0000-0000-0568</t>
  </si>
  <si>
    <t>ANON-0000-0000-0569</t>
  </si>
  <si>
    <t>ANON-0000-0000-0570</t>
  </si>
  <si>
    <t>ANON-0000-0000-0571</t>
  </si>
  <si>
    <t>ANON-0000-0000-0572</t>
  </si>
  <si>
    <t>ANON-0000-0000-0573</t>
  </si>
  <si>
    <t>ANON-0000-0000-0574</t>
  </si>
  <si>
    <t>ANON-0000-0000-0575</t>
  </si>
  <si>
    <t>ANON-0000-0000-0576</t>
  </si>
  <si>
    <t>ANON-0000-0000-0577</t>
  </si>
  <si>
    <t>ANON-0000-0000-0578</t>
  </si>
  <si>
    <t>ANON-0000-0000-0579</t>
  </si>
  <si>
    <t>ANON-0000-0000-0580</t>
  </si>
  <si>
    <t>ANON-0000-0000-0581</t>
  </si>
  <si>
    <t>ANON-0000-0000-0582</t>
  </si>
  <si>
    <t>ANON-0000-0000-0583</t>
  </si>
  <si>
    <t>ANON-0000-0000-0584</t>
  </si>
  <si>
    <t>ANON-0000-0000-0585</t>
  </si>
  <si>
    <t>ANON-0000-0000-0586</t>
  </si>
  <si>
    <t>ANON-0000-0000-0587</t>
  </si>
  <si>
    <t>ANON-0000-0000-0588</t>
  </si>
  <si>
    <t>ANON-0000-0000-0589</t>
  </si>
  <si>
    <t>ANON-0000-0000-0590</t>
  </si>
  <si>
    <t>ANON-0000-0000-0591</t>
  </si>
  <si>
    <t>ANON-0000-0000-0592</t>
  </si>
  <si>
    <t>ANON-0000-0000-0593</t>
  </si>
  <si>
    <t>ANON-0000-0000-0594</t>
  </si>
  <si>
    <t>ANON-0000-0000-0595</t>
  </si>
  <si>
    <t>ANON-0000-0000-0596</t>
  </si>
  <si>
    <t>ANON-0000-0000-0597</t>
  </si>
  <si>
    <t>ANON-0000-0000-0598</t>
  </si>
  <si>
    <t>ANON-0000-0000-0599</t>
  </si>
  <si>
    <t>ANON-0000-0000-0600</t>
  </si>
  <si>
    <t>ANON-0000-0000-0601</t>
  </si>
  <si>
    <t>ANON-0000-0000-0602</t>
  </si>
  <si>
    <t>ANON-0000-0000-0603</t>
  </si>
  <si>
    <t>ANON-0000-0000-0604</t>
  </si>
  <si>
    <t>ANON-0000-0000-0605</t>
  </si>
  <si>
    <t>ANON-0000-0000-0606</t>
  </si>
  <si>
    <t>ANON-0000-0000-0607</t>
  </si>
  <si>
    <t>ANON-0000-0000-0608</t>
  </si>
  <si>
    <t>ANON-0000-0000-0609</t>
  </si>
  <si>
    <t>ANON-0000-0000-0610</t>
  </si>
  <si>
    <t>ANON-0000-0000-0611</t>
  </si>
  <si>
    <t>ANON-0000-0000-0612</t>
  </si>
  <si>
    <t>ANON-0000-0000-0613</t>
  </si>
  <si>
    <t>ANON-0000-0000-0614</t>
  </si>
  <si>
    <t>ANON-0000-0000-0615</t>
  </si>
  <si>
    <t>ANON-0000-0000-0616</t>
  </si>
  <si>
    <t>ANON-0000-0000-0617</t>
  </si>
  <si>
    <t>ANON-0000-0000-0618</t>
  </si>
  <si>
    <t>ANON-0000-0000-0619</t>
  </si>
  <si>
    <t>ANON-0000-0000-0620</t>
  </si>
  <si>
    <t>ANON-0000-0000-0621</t>
  </si>
  <si>
    <t>ANON-0000-0000-0622</t>
  </si>
  <si>
    <t>ANON-0000-0000-0623</t>
  </si>
  <si>
    <t>ANON-0000-0000-0624</t>
  </si>
  <si>
    <t>ANON-0000-0000-0625</t>
  </si>
  <si>
    <t>ANON-0000-0000-0626</t>
  </si>
  <si>
    <t>ANON-0000-0000-0627</t>
  </si>
  <si>
    <t>ANON-0000-0000-0628</t>
  </si>
  <si>
    <t>ANON-0000-0000-0629</t>
  </si>
  <si>
    <t>ANON-0000-0000-0630</t>
  </si>
  <si>
    <t>ANON-0000-0000-0631</t>
  </si>
  <si>
    <t>ANON-0000-0000-0632</t>
  </si>
  <si>
    <t>ANON-0000-0000-0633</t>
  </si>
  <si>
    <t>ANON-0000-0000-0634</t>
  </si>
  <si>
    <t>ANON-0000-0000-0635</t>
  </si>
  <si>
    <t>ANON-0000-0000-0636</t>
  </si>
  <si>
    <t>ANON-0000-0000-0637</t>
  </si>
  <si>
    <t>ANON-0000-0000-0638</t>
  </si>
  <si>
    <t>ANON-0000-0000-0639</t>
  </si>
  <si>
    <t>ANON-0000-0000-0640</t>
  </si>
  <si>
    <t>ANON-0000-0000-0641</t>
  </si>
  <si>
    <t>ANON-0000-0000-0642</t>
  </si>
  <si>
    <t>ANON-0000-0000-0643</t>
  </si>
  <si>
    <t>ANON-0000-0000-0644</t>
  </si>
  <si>
    <t>ANON-0000-0000-0645</t>
  </si>
  <si>
    <t>ANON-0000-0000-0646</t>
  </si>
  <si>
    <t>ANON-0000-0000-0647</t>
  </si>
  <si>
    <t>ANON-0000-0000-0648</t>
  </si>
  <si>
    <t>ANON-0000-0000-0649</t>
  </si>
  <si>
    <t>ANON-0000-0000-0650</t>
  </si>
  <si>
    <t>ANON-0000-0000-0651</t>
  </si>
  <si>
    <t>ANON-0000-0000-0652</t>
  </si>
  <si>
    <t>ANON-0000-0000-0653</t>
  </si>
  <si>
    <t>ANON-0000-0000-0654</t>
  </si>
  <si>
    <t>ANON-0000-0000-0655</t>
  </si>
  <si>
    <t>ANON-0000-0000-0656</t>
  </si>
  <si>
    <t>ANON-0000-0000-0657</t>
  </si>
  <si>
    <t>ANON-0000-0000-0658</t>
  </si>
  <si>
    <t>ANON-0000-0000-0659</t>
  </si>
  <si>
    <t>ANON-0000-0000-0660</t>
  </si>
  <si>
    <t>ANON-0000-0000-0661</t>
  </si>
  <si>
    <t>ANON-0000-0000-0662</t>
  </si>
  <si>
    <t>ANON-0000-0000-0663</t>
  </si>
  <si>
    <t>ANON-0000-0000-0664</t>
  </si>
  <si>
    <t>ANON-0000-0000-0665</t>
  </si>
  <si>
    <t>ANON-0000-0000-0666</t>
  </si>
  <si>
    <t>ANON-0000-0000-0667</t>
  </si>
  <si>
    <t>ANON-0000-0000-0668</t>
  </si>
  <si>
    <t>ANON-0000-0000-0669</t>
  </si>
  <si>
    <t>ANON-0000-0000-0670</t>
  </si>
  <si>
    <t>ANON-0000-0000-0671</t>
  </si>
  <si>
    <t>ANON-0000-0000-0672</t>
  </si>
  <si>
    <t>ANON-0000-0000-0673</t>
  </si>
  <si>
    <t>ANON-0000-0000-0674</t>
  </si>
  <si>
    <t>ANON-0000-0000-0675</t>
  </si>
  <si>
    <t>ANON-0000-0000-0676</t>
  </si>
  <si>
    <t>ANON-0000-0000-0677</t>
  </si>
  <si>
    <t>ANON-0000-0000-0678</t>
  </si>
  <si>
    <t>ANON-0000-0000-0679</t>
  </si>
  <si>
    <t>ANON-0000-0000-0680</t>
  </si>
  <si>
    <t>ANON-0000-0000-0681</t>
  </si>
  <si>
    <t>ANON-0000-0000-0682</t>
  </si>
  <si>
    <t>ANON-0000-0000-0683</t>
  </si>
  <si>
    <t>ANON-0000-0000-0684</t>
  </si>
  <si>
    <t>ANON-0000-0000-0685</t>
  </si>
  <si>
    <t>ANON-0000-0000-0686</t>
  </si>
  <si>
    <t>ANON-0000-0000-0687</t>
  </si>
  <si>
    <t>ANON-0000-0000-0688</t>
  </si>
  <si>
    <t>ANON-0000-0000-0689</t>
  </si>
  <si>
    <t>ANON-0000-0000-0690</t>
  </si>
  <si>
    <t>ANON-0000-0000-0691</t>
  </si>
  <si>
    <t>ANON-0000-0000-0692</t>
  </si>
  <si>
    <t>ANON-0000-0000-0693</t>
  </si>
  <si>
    <t>ANON-0000-0000-0694</t>
  </si>
  <si>
    <t>ANON-0000-0000-0695</t>
  </si>
  <si>
    <t>ANON-0000-0000-0696</t>
  </si>
  <si>
    <t>ANON-0000-0000-0697</t>
  </si>
  <si>
    <t>ANON-0000-0000-0698</t>
  </si>
  <si>
    <t>ANON-0000-0000-0699</t>
  </si>
  <si>
    <t>ANON-0000-0000-0700</t>
  </si>
  <si>
    <t>ANON-0000-0000-0701</t>
  </si>
  <si>
    <t>ANON-0000-0000-0702</t>
  </si>
  <si>
    <t>ANON-0000-0000-0703</t>
  </si>
  <si>
    <t>ANON-0000-0000-0704</t>
  </si>
  <si>
    <t>ANON-0000-0000-0705</t>
  </si>
  <si>
    <t>ANON-0000-0000-0706</t>
  </si>
  <si>
    <t>ANON-0000-0000-0707</t>
  </si>
  <si>
    <t>ANON-0000-0000-0708</t>
  </si>
  <si>
    <t>ANON-0000-0000-0709</t>
  </si>
  <si>
    <t>ANON-0000-0000-0710</t>
  </si>
  <si>
    <t>ANON-0000-0000-0711</t>
  </si>
  <si>
    <t>ANON-0000-0000-0712</t>
  </si>
  <si>
    <t>ANON-0000-0000-0713</t>
  </si>
  <si>
    <t>ANON-0000-0000-0714</t>
  </si>
  <si>
    <t>ANON-0000-0000-0715</t>
  </si>
  <si>
    <t>ANON-0000-0000-0716</t>
  </si>
  <si>
    <t>ANON-0000-0000-0717</t>
  </si>
  <si>
    <t>ANON-0000-0000-0718</t>
  </si>
  <si>
    <t>ANON-0000-0000-0719</t>
  </si>
  <si>
    <t>ANON-0000-0000-0720</t>
  </si>
  <si>
    <t>ANON-0000-0000-0721</t>
  </si>
  <si>
    <t>ANON-0000-0000-0722</t>
  </si>
  <si>
    <t>ANON-0000-0000-0723</t>
  </si>
  <si>
    <t>ANON-0000-0000-0724</t>
  </si>
  <si>
    <t>ANON-0000-0000-0725</t>
  </si>
  <si>
    <t>ANON-0000-0000-0726</t>
  </si>
  <si>
    <t>ANON-0000-0000-0727</t>
  </si>
  <si>
    <t>ANON-0000-0000-0728</t>
  </si>
  <si>
    <t>ANON-0000-0000-0729</t>
  </si>
  <si>
    <t>ANON-0000-0000-0730</t>
  </si>
  <si>
    <t>ANON-0000-0000-0731</t>
  </si>
  <si>
    <t>ANON-0000-0000-0732</t>
  </si>
  <si>
    <t>ANON-0000-0000-0733</t>
  </si>
  <si>
    <t>ANON-0000-0000-0734</t>
  </si>
  <si>
    <t>ANON-0000-0000-0735</t>
  </si>
  <si>
    <t>ANON-0000-0000-0736</t>
  </si>
  <si>
    <t>ANON-0000-0000-0737</t>
  </si>
  <si>
    <t>ANON-0000-0000-0738</t>
  </si>
  <si>
    <t>ANON-0000-0000-0739</t>
  </si>
  <si>
    <t>ANON-0000-0000-0740</t>
  </si>
  <si>
    <t>ANON-0000-0000-0741</t>
  </si>
  <si>
    <t>ANON-0000-0000-0742</t>
  </si>
  <si>
    <t>ANON-0000-0000-0743</t>
  </si>
  <si>
    <t>ANON-0000-0000-0744</t>
  </si>
  <si>
    <t>ANON-0000-0000-0745</t>
  </si>
  <si>
    <t>ANON-0000-0000-0746</t>
  </si>
  <si>
    <t>ANON-0000-0000-0747</t>
  </si>
  <si>
    <t>ANON-0000-0000-0748</t>
  </si>
  <si>
    <t>ANON-0000-0000-0749</t>
  </si>
  <si>
    <t>ANON-0000-0000-0750</t>
  </si>
  <si>
    <t>ANON-0000-0000-0751</t>
  </si>
  <si>
    <t>ANON-0000-0000-0752</t>
  </si>
  <si>
    <t>ANON-0000-0000-0753</t>
  </si>
  <si>
    <t>ANON-0000-0000-0754</t>
  </si>
  <si>
    <t>ANON-0000-0000-0755</t>
  </si>
  <si>
    <t>ANON-0000-0000-0756</t>
  </si>
  <si>
    <t>ANON-0000-0000-0757</t>
  </si>
  <si>
    <t>ANON-0000-0000-0758</t>
  </si>
  <si>
    <t>ANON-0000-0000-0759</t>
  </si>
  <si>
    <t>ANON-0000-0000-0760</t>
  </si>
  <si>
    <t>ANON-0000-0000-0761</t>
  </si>
  <si>
    <t>ANON-0000-0000-0762</t>
  </si>
  <si>
    <t>ANON-0000-0000-0763</t>
  </si>
  <si>
    <t>ANON-0000-0000-0764</t>
  </si>
  <si>
    <t>ANON-0000-0000-0765</t>
  </si>
  <si>
    <t>ANON-0000-0000-0766</t>
  </si>
  <si>
    <t>ANON-0000-0000-0767</t>
  </si>
  <si>
    <t>ANON-0000-0000-0768</t>
  </si>
  <si>
    <t>ANON-0000-0000-0769</t>
  </si>
  <si>
    <t>ANON-0000-0000-0770</t>
  </si>
  <si>
    <t>ANON-0000-0000-0771</t>
  </si>
  <si>
    <t>ANON-0000-0000-0772</t>
  </si>
  <si>
    <t>ANON-0000-0000-0773</t>
  </si>
  <si>
    <t>ANON-0000-0000-0774</t>
  </si>
  <si>
    <t>ANON-0000-0000-0775</t>
  </si>
  <si>
    <t>ANON-0000-0000-0776</t>
  </si>
  <si>
    <t>ANON-0000-0000-0777</t>
  </si>
  <si>
    <t>ANON-0000-0000-0778</t>
  </si>
  <si>
    <t>ANON-0000-0000-0779</t>
  </si>
  <si>
    <t>ANON-0000-0000-0780</t>
  </si>
  <si>
    <t>ANON-0000-0000-0781</t>
  </si>
  <si>
    <t>ANON-0000-0000-0782</t>
  </si>
  <si>
    <t>ANON-0000-0000-0783</t>
  </si>
  <si>
    <t>ANON-0000-0000-0784</t>
  </si>
  <si>
    <t>Sum of money</t>
  </si>
  <si>
    <t>Row Labels</t>
  </si>
  <si>
    <t>Grand Total</t>
  </si>
  <si>
    <t>Afternoon</t>
  </si>
  <si>
    <t>Morning</t>
  </si>
  <si>
    <t>Night</t>
  </si>
  <si>
    <t>Mar</t>
  </si>
  <si>
    <t>Apr</t>
  </si>
  <si>
    <t>May</t>
  </si>
  <si>
    <t>Jun</t>
  </si>
  <si>
    <t>Jul</t>
  </si>
  <si>
    <t>Aug</t>
  </si>
  <si>
    <t>Sep</t>
  </si>
  <si>
    <t>Oct</t>
  </si>
  <si>
    <t>Sum of hour_of_day</t>
  </si>
  <si>
    <t>Column Labels</t>
  </si>
  <si>
    <t>Sun</t>
  </si>
  <si>
    <t>Mon</t>
  </si>
  <si>
    <t>Tue</t>
  </si>
  <si>
    <t>Wed</t>
  </si>
  <si>
    <t>Thu</t>
  </si>
  <si>
    <t>Fri</t>
  </si>
  <si>
    <t>Sat</t>
  </si>
  <si>
    <t>Count of coffee_name</t>
  </si>
  <si>
    <t>Total transation</t>
  </si>
  <si>
    <t xml:space="preserve">card sale </t>
  </si>
  <si>
    <t>Total sales</t>
  </si>
  <si>
    <t>Avg sale per transation</t>
  </si>
  <si>
    <t>% Card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</si>
</sst>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 &quot;₹&quot;\ * #,##0.00_ ;_ &quot;₹&quot;\ * \-#,##0.00_ ;_ &quot;₹&quot;\ * &quot;-&quot;??_ ;_ @_ "/>
    <numFmt numFmtId="164" formatCode="dd/mm/yyyy\ hh:mm:ss"/>
    <numFmt numFmtId="165" formatCode="[$R]#,##0.00"/>
    <numFmt numFmtId="166" formatCode="_ [$₹-4009]\ * #,##0.00_ ;_ [$₹-4009]\ * \-#,##0.00_ ;_ [$₹-4009]\ * &quot;-&quot;??_ ;_ @_ "/>
  </numFmts>
  <fonts count="7" x14ac:knownFonts="1">
    <font>
      <sz val="11"/>
      <color theme="1"/>
      <name val="Aptos Narrow"/>
      <family val="2"/>
      <scheme val="minor"/>
    </font>
    <font>
      <sz val="11"/>
      <color theme="1"/>
      <name val="Arial"/>
    </font>
    <font>
      <sz val="11"/>
      <color theme="1"/>
      <name val="Aptos Narrow"/>
    </font>
    <font>
      <sz val="11"/>
      <color theme="1"/>
      <name val="Aptos Narrow"/>
      <family val="2"/>
      <scheme val="minor"/>
    </font>
    <font>
      <sz val="16"/>
      <color theme="1"/>
      <name val="Aptos Narrow"/>
      <family val="2"/>
      <scheme val="minor"/>
    </font>
    <font>
      <sz val="20"/>
      <color theme="1"/>
      <name val="Aptos Narrow"/>
      <family val="2"/>
      <scheme val="minor"/>
    </font>
    <font>
      <u val="double"/>
      <sz val="11"/>
      <color theme="1"/>
      <name val="Aptos Narrow"/>
      <family val="2"/>
      <scheme val="minor"/>
    </font>
  </fonts>
  <fills count="7">
    <fill>
      <patternFill patternType="none"/>
    </fill>
    <fill>
      <patternFill patternType="gray125"/>
    </fill>
    <fill>
      <patternFill patternType="solid">
        <fgColor theme="4"/>
        <bgColor theme="4"/>
      </patternFill>
    </fill>
    <fill>
      <patternFill patternType="solid">
        <fgColor rgb="FFC1E4F5"/>
        <bgColor rgb="FFC1E4F5"/>
      </patternFill>
    </fill>
    <fill>
      <patternFill patternType="solid">
        <fgColor rgb="FF83CAEB"/>
        <bgColor rgb="FF83CAEB"/>
      </patternFill>
    </fill>
    <fill>
      <patternFill patternType="solid">
        <fgColor theme="4" tint="0.59999389629810485"/>
        <bgColor indexed="64"/>
      </patternFill>
    </fill>
    <fill>
      <patternFill patternType="solid">
        <fgColor theme="1" tint="0.499984740745262"/>
        <bgColor indexed="64"/>
      </patternFill>
    </fill>
  </fills>
  <borders count="1">
    <border>
      <left/>
      <right/>
      <top/>
      <bottom/>
      <diagonal/>
    </border>
  </borders>
  <cellStyleXfs count="3">
    <xf numFmtId="0" fontId="0" fillId="0" borderId="0"/>
    <xf numFmtId="44" fontId="3" fillId="0" borderId="0" applyFont="0" applyFill="0" applyBorder="0" applyAlignment="0" applyProtection="0"/>
    <xf numFmtId="9" fontId="3" fillId="0" borderId="0" applyFont="0" applyFill="0" applyBorder="0" applyAlignment="0" applyProtection="0"/>
  </cellStyleXfs>
  <cellXfs count="32">
    <xf numFmtId="0" fontId="0" fillId="0" borderId="0" xfId="0"/>
    <xf numFmtId="14" fontId="0" fillId="2" borderId="0" xfId="0" applyNumberFormat="1" applyFill="1"/>
    <xf numFmtId="164" fontId="0" fillId="2" borderId="0" xfId="0" applyNumberFormat="1" applyFill="1"/>
    <xf numFmtId="0" fontId="1" fillId="2" borderId="0" xfId="0" applyFont="1" applyFill="1"/>
    <xf numFmtId="0" fontId="0" fillId="2" borderId="0" xfId="0" applyFill="1"/>
    <xf numFmtId="165" fontId="0" fillId="2" borderId="0" xfId="0" applyNumberFormat="1" applyFill="1"/>
    <xf numFmtId="14" fontId="2" fillId="3" borderId="0" xfId="0" applyNumberFormat="1" applyFont="1" applyFill="1"/>
    <xf numFmtId="164" fontId="0" fillId="3" borderId="0" xfId="0" applyNumberFormat="1" applyFill="1"/>
    <xf numFmtId="0" fontId="0" fillId="3" borderId="0" xfId="0" applyFill="1"/>
    <xf numFmtId="165" fontId="0" fillId="3" borderId="0" xfId="0" applyNumberFormat="1" applyFill="1"/>
    <xf numFmtId="14" fontId="2" fillId="4" borderId="0" xfId="0" applyNumberFormat="1" applyFont="1" applyFill="1"/>
    <xf numFmtId="164" fontId="0" fillId="4" borderId="0" xfId="0" applyNumberFormat="1" applyFill="1"/>
    <xf numFmtId="0" fontId="0" fillId="4" borderId="0" xfId="0" applyFill="1"/>
    <xf numFmtId="165" fontId="0" fillId="4" borderId="0" xfId="0" applyNumberFormat="1" applyFill="1"/>
    <xf numFmtId="0" fontId="1" fillId="4" borderId="0" xfId="0" applyFont="1" applyFill="1"/>
    <xf numFmtId="165"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66" fontId="0" fillId="0" borderId="0" xfId="0" applyNumberFormat="1"/>
    <xf numFmtId="44" fontId="0" fillId="0" borderId="0" xfId="0" applyNumberFormat="1"/>
    <xf numFmtId="0" fontId="4" fillId="0" borderId="0" xfId="0" applyFont="1"/>
    <xf numFmtId="44" fontId="4" fillId="0" borderId="0" xfId="0" applyNumberFormat="1" applyFont="1"/>
    <xf numFmtId="0" fontId="5" fillId="5" borderId="0" xfId="0" applyFont="1" applyFill="1"/>
    <xf numFmtId="44" fontId="4" fillId="0" borderId="0" xfId="1" applyFont="1"/>
    <xf numFmtId="0" fontId="4" fillId="5" borderId="0" xfId="0" applyFont="1" applyFill="1"/>
    <xf numFmtId="0" fontId="0" fillId="6" borderId="0" xfId="0" applyFill="1"/>
    <xf numFmtId="0" fontId="6" fillId="6" borderId="0" xfId="0" applyFont="1" applyFill="1"/>
    <xf numFmtId="2" fontId="4" fillId="0" borderId="0" xfId="2" applyNumberFormat="1" applyFont="1"/>
    <xf numFmtId="0" fontId="0" fillId="0" borderId="0" xfId="0" applyNumberFormat="1"/>
    <xf numFmtId="0" fontId="4" fillId="0" borderId="0" xfId="0" applyNumberFormat="1" applyFont="1"/>
    <xf numFmtId="165" fontId="4" fillId="0" borderId="0" xfId="1" applyNumberFormat="1" applyFont="1"/>
  </cellXfs>
  <cellStyles count="3">
    <cellStyle name="Currency" xfId="1" builtinId="4"/>
    <cellStyle name="Normal" xfId="0" builtinId="0"/>
    <cellStyle name="Percent" xfId="2" builtinId="5"/>
  </cellStyles>
  <dxfs count="31">
    <dxf>
      <fill>
        <patternFill patternType="solid">
          <bgColor theme="4" tint="0.59999389629810485"/>
        </patternFill>
      </fill>
    </dxf>
    <dxf>
      <numFmt numFmtId="34" formatCode="_ &quot;₹&quot;\ * #,##0.00_ ;_ &quot;₹&quot;\ * \-#,##0.00_ ;_ &quot;₹&quot;\ * &quot;-&quot;??_ ;_ @_ "/>
    </dxf>
    <dxf>
      <font>
        <sz val="16"/>
      </font>
    </dxf>
    <dxf>
      <font>
        <sz val="16"/>
      </font>
    </dxf>
    <dxf>
      <font>
        <sz val="16"/>
      </font>
    </dxf>
    <dxf>
      <fill>
        <patternFill patternType="solid">
          <fgColor rgb="FF83CAEB"/>
          <bgColor rgb="FF83CAEB"/>
        </patternFill>
      </fill>
    </dxf>
    <dxf>
      <fill>
        <patternFill patternType="solid">
          <fgColor rgb="FF83CAEB"/>
          <bgColor rgb="FF83CAEB"/>
        </patternFill>
      </fill>
    </dxf>
    <dxf>
      <fill>
        <patternFill patternType="solid">
          <fgColor rgb="FF83CAEB"/>
          <bgColor rgb="FF83CAEB"/>
        </patternFill>
      </fill>
    </dxf>
    <dxf>
      <fill>
        <patternFill patternType="solid">
          <fgColor rgb="FF83CAEB"/>
          <bgColor rgb="FF83CAEB"/>
        </patternFill>
      </fill>
    </dxf>
    <dxf>
      <fill>
        <patternFill patternType="solid">
          <fgColor rgb="FF83CAEB"/>
          <bgColor rgb="FF83CAEB"/>
        </patternFill>
      </fill>
    </dxf>
    <dxf>
      <fill>
        <patternFill patternType="solid">
          <fgColor rgb="FF83CAEB"/>
          <bgColor rgb="FF83CAEB"/>
        </patternFill>
      </fill>
    </dxf>
    <dxf>
      <numFmt numFmtId="165" formatCode="[$R]#,##0.00"/>
      <fill>
        <patternFill patternType="solid">
          <fgColor rgb="FF83CAEB"/>
          <bgColor rgb="FF83CAEB"/>
        </patternFill>
      </fill>
    </dxf>
    <dxf>
      <fill>
        <patternFill patternType="solid">
          <fgColor rgb="FF83CAEB"/>
          <bgColor rgb="FF83CAEB"/>
        </patternFill>
      </fill>
    </dxf>
    <dxf>
      <fill>
        <patternFill patternType="solid">
          <fgColor rgb="FF83CAEB"/>
          <bgColor rgb="FF83CAEB"/>
        </patternFill>
      </fill>
    </dxf>
    <dxf>
      <fill>
        <patternFill patternType="solid">
          <fgColor rgb="FF83CAEB"/>
          <bgColor rgb="FF83CAEB"/>
        </patternFill>
      </fill>
    </dxf>
    <dxf>
      <numFmt numFmtId="164" formatCode="dd/mm/yyyy\ hh:mm:ss"/>
      <fill>
        <patternFill patternType="solid">
          <fgColor rgb="FF83CAEB"/>
          <bgColor rgb="FF83CAEB"/>
        </patternFill>
      </fill>
    </dxf>
    <dxf>
      <font>
        <b val="0"/>
        <i val="0"/>
        <strike val="0"/>
        <condense val="0"/>
        <extend val="0"/>
        <outline val="0"/>
        <shadow val="0"/>
        <u val="none"/>
        <vertAlign val="baseline"/>
        <sz val="11"/>
        <color theme="1"/>
        <name val="Aptos Narrow"/>
        <scheme val="none"/>
      </font>
      <numFmt numFmtId="19" formatCode="dd/mm/yyyy"/>
      <fill>
        <patternFill patternType="solid">
          <fgColor rgb="FF83CAEB"/>
          <bgColor rgb="FF83CAEB"/>
        </patternFill>
      </fill>
    </dxf>
    <dxf>
      <fill>
        <patternFill patternType="solid">
          <fgColor rgb="FF83CAEB"/>
          <bgColor rgb="FF83CAEB"/>
        </patternFill>
      </fill>
    </dxf>
    <dxf>
      <font>
        <b val="0"/>
        <i val="0"/>
        <strike val="0"/>
        <condense val="0"/>
        <extend val="0"/>
        <outline val="0"/>
        <shadow val="0"/>
        <u val="none"/>
        <vertAlign val="baseline"/>
        <sz val="11"/>
        <color theme="1"/>
        <name val="Arial"/>
        <scheme val="none"/>
      </font>
      <fill>
        <patternFill patternType="solid">
          <fgColor theme="4"/>
          <bgColor theme="4"/>
        </patternFill>
      </fill>
    </dxf>
    <dxf>
      <numFmt numFmtId="166" formatCode="_ [$₹-4009]\ * #,##0.00_ ;_ [$₹-4009]\ * \-#,##0.00_ ;_ [$₹-4009]\ * &quot;-&quot;??_ ;_ @_ "/>
    </dxf>
    <dxf>
      <numFmt numFmtId="34" formatCode="_ &quot;₹&quot;\ * #,##0.00_ ;_ &quot;₹&quot;\ * \-#,##0.00_ ;_ &quot;₹&quot;\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font>
        <b/>
        <i val="0"/>
        <color theme="0"/>
      </font>
    </dxf>
    <dxf>
      <font>
        <sz val="11"/>
        <color theme="1"/>
      </font>
      <fill>
        <patternFill>
          <bgColor rgb="FF0C769E"/>
        </patternFill>
      </fill>
    </dxf>
    <dxf>
      <font>
        <color theme="9" tint="0.79998168889431442"/>
      </font>
      <fill>
        <patternFill>
          <bgColor theme="7" tint="-0.24994659260841701"/>
        </patternFill>
      </fill>
    </dxf>
    <dxf>
      <font>
        <color theme="9" tint="0.39994506668294322"/>
      </font>
      <fill>
        <patternFill>
          <bgColor theme="7" tint="-0.24994659260841701"/>
        </patternFill>
      </fill>
    </dxf>
    <dxf>
      <fill>
        <patternFill>
          <bgColor theme="9" tint="0.39994506668294322"/>
        </patternFill>
      </fill>
    </dxf>
    <dxf>
      <fill>
        <patternFill>
          <bgColor rgb="FF00B0F0"/>
        </patternFill>
      </fill>
    </dxf>
    <dxf>
      <fill>
        <patternFill>
          <bgColor theme="9" tint="0.39994506668294322"/>
        </patternFill>
      </fill>
    </dxf>
  </dxfs>
  <tableStyles count="6" defaultTableStyle="TableStyleMedium2" defaultPivotStyle="PivotStyleLight16">
    <tableStyle name="Slicer Style 1" pivot="0" table="0" count="1" xr9:uid="{F31583F0-E28C-4701-ABF7-5AA05725E9A7}">
      <tableStyleElement type="wholeTable" dxfId="30"/>
    </tableStyle>
    <tableStyle name="Slicer Style 2" pivot="0" table="0" count="1" xr9:uid="{85F721BC-5157-44CF-831E-BFA9EC61077D}">
      <tableStyleElement type="wholeTable" dxfId="29"/>
    </tableStyle>
    <tableStyle name="Slicer Style 3" pivot="0" table="0" count="1" xr9:uid="{8279D02C-8C44-4AE9-9400-E3EF00128D4B}">
      <tableStyleElement type="wholeTable" dxfId="28"/>
    </tableStyle>
    <tableStyle name="Slicer Style 4" pivot="0" table="0" count="1" xr9:uid="{B13DFECD-14C1-4049-9C59-0FDB6C35429C}">
      <tableStyleElement type="wholeTable" dxfId="27"/>
    </tableStyle>
    <tableStyle name="Slicer Style 5" pivot="0" table="0" count="1" xr9:uid="{EC64A903-B4EB-423D-8ED3-D390A1868BF9}">
      <tableStyleElement type="wholeTable" dxfId="26"/>
    </tableStyle>
    <tableStyle name="Slicer Style 6" pivot="0" table="0" count="4" xr9:uid="{8833F1B5-483F-47EC-BB1C-C812364C6A19}">
      <tableStyleElement type="wholeTable" dxfId="25"/>
      <tableStyleElement type="headerRow" dxfId="24"/>
    </tableStyle>
  </tableStyles>
  <colors>
    <mruColors>
      <color rgb="FF0C769E"/>
      <color rgb="FFCCCCCC"/>
      <color rgb="FF828282"/>
      <color rgb="FF999999"/>
      <color rgb="FFFCD0D0"/>
      <color rgb="FF074F69"/>
    </mruColors>
  </colors>
  <extLst>
    <ext xmlns:x14="http://schemas.microsoft.com/office/spreadsheetml/2009/9/main" uri="{46F421CA-312F-682f-3DD2-61675219B42D}">
      <x14:dxfs count="2">
        <dxf>
          <font>
            <b/>
            <i val="0"/>
            <sz val="11"/>
            <color rgb="FF828282"/>
          </font>
          <fill>
            <patternFill>
              <bgColor rgb="FF0C769E"/>
            </patternFill>
          </fill>
        </dxf>
        <dxf>
          <font>
            <b/>
            <i val="0"/>
            <sz val="11"/>
            <color theme="0"/>
          </font>
          <fill>
            <patternFill>
              <fgColor rgb="FFFCD0D0"/>
              <bgColor rgb="FF074F69"/>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 name="Slicer Style 5"/>
        <x14:slicerStyle name="Slicer Style 6">
          <x14:slicerStyleElements>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project.xlsx]total sale !PivotTable1</c:name>
    <c:fmtId val="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sale '!$B$3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'total sale '!$A$4:$A$12</c:f>
              <c:strCache>
                <c:ptCount val="8"/>
                <c:pt idx="0">
                  <c:v>Americano</c:v>
                </c:pt>
                <c:pt idx="1">
                  <c:v>Americano with Milk</c:v>
                </c:pt>
                <c:pt idx="2">
                  <c:v>Cappuccino</c:v>
                </c:pt>
                <c:pt idx="3">
                  <c:v>Cocoa</c:v>
                </c:pt>
                <c:pt idx="4">
                  <c:v>Cortado</c:v>
                </c:pt>
                <c:pt idx="5">
                  <c:v>Espresso</c:v>
                </c:pt>
                <c:pt idx="6">
                  <c:v>Hot Chocolate</c:v>
                </c:pt>
                <c:pt idx="7">
                  <c:v>Latte</c:v>
                </c:pt>
              </c:strCache>
            </c:strRef>
          </c:cat>
          <c:val>
            <c:numRef>
              <c:f>'total sale '!$B$4:$B$12</c:f>
              <c:numCache>
                <c:formatCode>_ [$₹-4009]\ * #,##0.00_ ;_ [$₹-4009]\ * \-#,##0.00_ ;_ [$₹-4009]\ * "-"??_ ;_ @_ </c:formatCode>
                <c:ptCount val="8"/>
                <c:pt idx="0">
                  <c:v>7066.5800000000472</c:v>
                </c:pt>
                <c:pt idx="1">
                  <c:v>14961.88000000003</c:v>
                </c:pt>
                <c:pt idx="2">
                  <c:v>10631.819999999985</c:v>
                </c:pt>
                <c:pt idx="3">
                  <c:v>2491.6800000000012</c:v>
                </c:pt>
                <c:pt idx="4">
                  <c:v>5146.54000000001</c:v>
                </c:pt>
                <c:pt idx="5">
                  <c:v>1698.099999999996</c:v>
                </c:pt>
                <c:pt idx="6">
                  <c:v>4844.220000000013</c:v>
                </c:pt>
                <c:pt idx="7">
                  <c:v>16423.099999999969</c:v>
                </c:pt>
              </c:numCache>
            </c:numRef>
          </c:val>
          <c:extLst>
            <c:ext xmlns:c16="http://schemas.microsoft.com/office/drawing/2014/chart" uri="{C3380CC4-5D6E-409C-BE32-E72D297353CC}">
              <c16:uniqueId val="{00000000-6C38-4C4B-952B-7AAFD35EB745}"/>
            </c:ext>
          </c:extLst>
        </c:ser>
        <c:dLbls>
          <c:dLblPos val="outEnd"/>
          <c:showLegendKey val="0"/>
          <c:showVal val="1"/>
          <c:showCatName val="0"/>
          <c:showSerName val="0"/>
          <c:showPercent val="0"/>
          <c:showBubbleSize val="0"/>
        </c:dLbls>
        <c:gapWidth val="100"/>
        <c:overlap val="-24"/>
        <c:axId val="1183413839"/>
        <c:axId val="1183414319"/>
      </c:barChart>
      <c:catAx>
        <c:axId val="118341383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cap="none" spc="0" baseline="0">
                <a:ln/>
                <a:solidFill>
                  <a:schemeClr val="accent4"/>
                </a:solidFill>
                <a:effectLst/>
                <a:latin typeface="+mn-lt"/>
                <a:ea typeface="+mn-ea"/>
                <a:cs typeface="+mn-cs"/>
              </a:defRPr>
            </a:pPr>
            <a:endParaRPr lang="en-US"/>
          </a:p>
        </c:txPr>
        <c:crossAx val="1183414319"/>
        <c:crosses val="autoZero"/>
        <c:auto val="1"/>
        <c:lblAlgn val="ctr"/>
        <c:lblOffset val="100"/>
        <c:noMultiLvlLbl val="0"/>
      </c:catAx>
      <c:valAx>
        <c:axId val="1183414319"/>
        <c:scaling>
          <c:orientation val="minMax"/>
        </c:scaling>
        <c:delete val="0"/>
        <c:axPos val="l"/>
        <c:majorGridlines>
          <c:spPr>
            <a:ln w="9525" cap="flat" cmpd="sng" algn="ctr">
              <a:solidFill>
                <a:schemeClr val="lt1">
                  <a:lumMod val="95000"/>
                  <a:alpha val="10000"/>
                </a:schemeClr>
              </a:solidFill>
              <a:round/>
            </a:ln>
            <a:effectLst/>
          </c:spPr>
        </c:majorGridlines>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cap="none" spc="0" baseline="0">
                <a:ln/>
                <a:solidFill>
                  <a:schemeClr val="accent4"/>
                </a:solidFill>
                <a:effectLst/>
                <a:latin typeface="+mn-lt"/>
                <a:ea typeface="+mn-ea"/>
                <a:cs typeface="+mn-cs"/>
              </a:defRPr>
            </a:pPr>
            <a:endParaRPr lang="en-US"/>
          </a:p>
        </c:txPr>
        <c:crossAx val="1183413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project.xlsx]sales by month !PivotTable3</c:name>
    <c:fmtId val="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month '!$B$3</c:f>
              <c:strCache>
                <c:ptCount val="1"/>
                <c:pt idx="0">
                  <c:v>Sum of hour_of_day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'sales by month '!$A$4:$A$12</c:f>
              <c:strCache>
                <c:ptCount val="8"/>
                <c:pt idx="0">
                  <c:v>Mar</c:v>
                </c:pt>
                <c:pt idx="1">
                  <c:v>Apr</c:v>
                </c:pt>
                <c:pt idx="2">
                  <c:v>May</c:v>
                </c:pt>
                <c:pt idx="3">
                  <c:v>Jun</c:v>
                </c:pt>
                <c:pt idx="4">
                  <c:v>Jul</c:v>
                </c:pt>
                <c:pt idx="5">
                  <c:v>Aug</c:v>
                </c:pt>
                <c:pt idx="6">
                  <c:v>Sep</c:v>
                </c:pt>
                <c:pt idx="7">
                  <c:v>Oct</c:v>
                </c:pt>
              </c:strCache>
            </c:strRef>
          </c:cat>
          <c:val>
            <c:numRef>
              <c:f>'sales by month '!$B$4:$B$12</c:f>
              <c:numCache>
                <c:formatCode>General</c:formatCode>
                <c:ptCount val="8"/>
                <c:pt idx="0">
                  <c:v>2822</c:v>
                </c:pt>
                <c:pt idx="1">
                  <c:v>2829</c:v>
                </c:pt>
                <c:pt idx="2">
                  <c:v>3996</c:v>
                </c:pt>
                <c:pt idx="3">
                  <c:v>3481</c:v>
                </c:pt>
                <c:pt idx="4">
                  <c:v>3360</c:v>
                </c:pt>
                <c:pt idx="5">
                  <c:v>3674</c:v>
                </c:pt>
                <c:pt idx="6">
                  <c:v>4954</c:v>
                </c:pt>
                <c:pt idx="7">
                  <c:v>3508</c:v>
                </c:pt>
              </c:numCache>
            </c:numRef>
          </c:val>
          <c:extLst>
            <c:ext xmlns:c16="http://schemas.microsoft.com/office/drawing/2014/chart" uri="{C3380CC4-5D6E-409C-BE32-E72D297353CC}">
              <c16:uniqueId val="{00000000-8425-40BA-9CFC-F60F7710AABA}"/>
            </c:ext>
          </c:extLst>
        </c:ser>
        <c:ser>
          <c:idx val="1"/>
          <c:order val="1"/>
          <c:tx>
            <c:strRef>
              <c:f>'sales by month '!$C$3</c:f>
              <c:strCache>
                <c:ptCount val="1"/>
                <c:pt idx="0">
                  <c:v>Sum of money</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'sales by month '!$A$4:$A$12</c:f>
              <c:strCache>
                <c:ptCount val="8"/>
                <c:pt idx="0">
                  <c:v>Mar</c:v>
                </c:pt>
                <c:pt idx="1">
                  <c:v>Apr</c:v>
                </c:pt>
                <c:pt idx="2">
                  <c:v>May</c:v>
                </c:pt>
                <c:pt idx="3">
                  <c:v>Jun</c:v>
                </c:pt>
                <c:pt idx="4">
                  <c:v>Jul</c:v>
                </c:pt>
                <c:pt idx="5">
                  <c:v>Aug</c:v>
                </c:pt>
                <c:pt idx="6">
                  <c:v>Sep</c:v>
                </c:pt>
                <c:pt idx="7">
                  <c:v>Oct</c:v>
                </c:pt>
              </c:strCache>
            </c:strRef>
          </c:cat>
          <c:val>
            <c:numRef>
              <c:f>'sales by month '!$C$4:$C$12</c:f>
              <c:numCache>
                <c:formatCode>_ [$₹-4009]\ * #,##0.00_ ;_ [$₹-4009]\ * \-#,##0.00_ ;_ [$₹-4009]\ * "-"??_ ;_ @_ </c:formatCode>
                <c:ptCount val="8"/>
                <c:pt idx="0">
                  <c:v>7050.1999999999871</c:v>
                </c:pt>
                <c:pt idx="1">
                  <c:v>6720.5600000000013</c:v>
                </c:pt>
                <c:pt idx="2">
                  <c:v>9063.4200000000019</c:v>
                </c:pt>
                <c:pt idx="3">
                  <c:v>7758.7600000000048</c:v>
                </c:pt>
                <c:pt idx="4">
                  <c:v>6915.940000000006</c:v>
                </c:pt>
                <c:pt idx="5">
                  <c:v>7613.8400000000147</c:v>
                </c:pt>
                <c:pt idx="6">
                  <c:v>9988.6400000000067</c:v>
                </c:pt>
                <c:pt idx="7">
                  <c:v>8152.5600000000222</c:v>
                </c:pt>
              </c:numCache>
            </c:numRef>
          </c:val>
          <c:extLst>
            <c:ext xmlns:c16="http://schemas.microsoft.com/office/drawing/2014/chart" uri="{C3380CC4-5D6E-409C-BE32-E72D297353CC}">
              <c16:uniqueId val="{00000001-8425-40BA-9CFC-F60F7710AABA}"/>
            </c:ext>
          </c:extLst>
        </c:ser>
        <c:dLbls>
          <c:dLblPos val="inEnd"/>
          <c:showLegendKey val="0"/>
          <c:showVal val="1"/>
          <c:showCatName val="0"/>
          <c:showSerName val="0"/>
          <c:showPercent val="0"/>
          <c:showBubbleSize val="0"/>
        </c:dLbls>
        <c:gapWidth val="115"/>
        <c:overlap val="-20"/>
        <c:axId val="1301785823"/>
        <c:axId val="1301782943"/>
      </c:barChart>
      <c:catAx>
        <c:axId val="130178582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01782943"/>
        <c:crosses val="autoZero"/>
        <c:auto val="1"/>
        <c:lblAlgn val="ctr"/>
        <c:lblOffset val="100"/>
        <c:noMultiLvlLbl val="0"/>
      </c:catAx>
      <c:valAx>
        <c:axId val="1301782943"/>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01785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project.xlsx]sales by weekday !PivotTable4</c:name>
    <c:fmtId val="2"/>
  </c:pivotSource>
  <c:chart>
    <c:autoTitleDeleted val="1"/>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9525">
              <a:solidFill>
                <a:schemeClr val="accent1">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9525">
              <a:solidFill>
                <a:schemeClr val="accent2">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76371602743208"/>
          <c:y val="9.5561377134096417E-2"/>
          <c:w val="0.61993198430841301"/>
          <c:h val="0.84147378553106189"/>
        </c:manualLayout>
      </c:layout>
      <c:radarChart>
        <c:radarStyle val="marker"/>
        <c:varyColors val="0"/>
        <c:ser>
          <c:idx val="0"/>
          <c:order val="0"/>
          <c:tx>
            <c:strRef>
              <c:f>'sales by weekday '!$B$3:$B$4</c:f>
              <c:strCache>
                <c:ptCount val="1"/>
                <c:pt idx="0">
                  <c:v>Americano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'sales by weekday '!$A$5:$A$12</c:f>
              <c:strCache>
                <c:ptCount val="7"/>
                <c:pt idx="0">
                  <c:v>Sun</c:v>
                </c:pt>
                <c:pt idx="1">
                  <c:v>Mon</c:v>
                </c:pt>
                <c:pt idx="2">
                  <c:v>Tue</c:v>
                </c:pt>
                <c:pt idx="3">
                  <c:v>Wed</c:v>
                </c:pt>
                <c:pt idx="4">
                  <c:v>Thu</c:v>
                </c:pt>
                <c:pt idx="5">
                  <c:v>Fri</c:v>
                </c:pt>
                <c:pt idx="6">
                  <c:v>Sat</c:v>
                </c:pt>
              </c:strCache>
            </c:strRef>
          </c:cat>
          <c:val>
            <c:numRef>
              <c:f>'sales by weekday '!$B$5:$B$12</c:f>
              <c:numCache>
                <c:formatCode>_ [$₹-4009]\ * #,##0.00_ ;_ [$₹-4009]\ * \-#,##0.00_ ;_ [$₹-4009]\ * "-"??_ ;_ @_ </c:formatCode>
                <c:ptCount val="7"/>
                <c:pt idx="0">
                  <c:v>755.04000000000008</c:v>
                </c:pt>
                <c:pt idx="1">
                  <c:v>1373.9599999999996</c:v>
                </c:pt>
                <c:pt idx="2">
                  <c:v>1052.3400000000001</c:v>
                </c:pt>
                <c:pt idx="3">
                  <c:v>959.6400000000001</c:v>
                </c:pt>
                <c:pt idx="4">
                  <c:v>985.62</c:v>
                </c:pt>
                <c:pt idx="5">
                  <c:v>1208.98</c:v>
                </c:pt>
                <c:pt idx="6">
                  <c:v>730.99999999999989</c:v>
                </c:pt>
              </c:numCache>
            </c:numRef>
          </c:val>
          <c:extLst>
            <c:ext xmlns:c16="http://schemas.microsoft.com/office/drawing/2014/chart" uri="{C3380CC4-5D6E-409C-BE32-E72D297353CC}">
              <c16:uniqueId val="{00000000-79D3-49B0-940C-3E1E6A51AFF9}"/>
            </c:ext>
          </c:extLst>
        </c:ser>
        <c:ser>
          <c:idx val="1"/>
          <c:order val="1"/>
          <c:tx>
            <c:strRef>
              <c:f>'sales by weekday '!$C$3:$C$4</c:f>
              <c:strCache>
                <c:ptCount val="1"/>
                <c:pt idx="0">
                  <c:v>Americano with Milk</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'sales by weekday '!$A$5:$A$12</c:f>
              <c:strCache>
                <c:ptCount val="7"/>
                <c:pt idx="0">
                  <c:v>Sun</c:v>
                </c:pt>
                <c:pt idx="1">
                  <c:v>Mon</c:v>
                </c:pt>
                <c:pt idx="2">
                  <c:v>Tue</c:v>
                </c:pt>
                <c:pt idx="3">
                  <c:v>Wed</c:v>
                </c:pt>
                <c:pt idx="4">
                  <c:v>Thu</c:v>
                </c:pt>
                <c:pt idx="5">
                  <c:v>Fri</c:v>
                </c:pt>
                <c:pt idx="6">
                  <c:v>Sat</c:v>
                </c:pt>
              </c:strCache>
            </c:strRef>
          </c:cat>
          <c:val>
            <c:numRef>
              <c:f>'sales by weekday '!$C$5:$C$12</c:f>
              <c:numCache>
                <c:formatCode>_ [$₹-4009]\ * #,##0.00_ ;_ [$₹-4009]\ * \-#,##0.00_ ;_ [$₹-4009]\ * "-"??_ ;_ @_ </c:formatCode>
                <c:ptCount val="7"/>
                <c:pt idx="0">
                  <c:v>1954.340000000002</c:v>
                </c:pt>
                <c:pt idx="1">
                  <c:v>2109.6000000000017</c:v>
                </c:pt>
                <c:pt idx="2">
                  <c:v>2862.7400000000052</c:v>
                </c:pt>
                <c:pt idx="3">
                  <c:v>2059.5000000000005</c:v>
                </c:pt>
                <c:pt idx="4">
                  <c:v>1890.7800000000016</c:v>
                </c:pt>
                <c:pt idx="5">
                  <c:v>1873.0600000000015</c:v>
                </c:pt>
                <c:pt idx="6">
                  <c:v>2211.8600000000019</c:v>
                </c:pt>
              </c:numCache>
            </c:numRef>
          </c:val>
          <c:extLst>
            <c:ext xmlns:c16="http://schemas.microsoft.com/office/drawing/2014/chart" uri="{C3380CC4-5D6E-409C-BE32-E72D297353CC}">
              <c16:uniqueId val="{00000007-5FE4-4C21-9F1A-ACDC2D51AF37}"/>
            </c:ext>
          </c:extLst>
        </c:ser>
        <c:ser>
          <c:idx val="2"/>
          <c:order val="2"/>
          <c:tx>
            <c:strRef>
              <c:f>'sales by weekday '!$D$3:$D$4</c:f>
              <c:strCache>
                <c:ptCount val="1"/>
                <c:pt idx="0">
                  <c:v>Cappuccino</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'sales by weekday '!$A$5:$A$12</c:f>
              <c:strCache>
                <c:ptCount val="7"/>
                <c:pt idx="0">
                  <c:v>Sun</c:v>
                </c:pt>
                <c:pt idx="1">
                  <c:v>Mon</c:v>
                </c:pt>
                <c:pt idx="2">
                  <c:v>Tue</c:v>
                </c:pt>
                <c:pt idx="3">
                  <c:v>Wed</c:v>
                </c:pt>
                <c:pt idx="4">
                  <c:v>Thu</c:v>
                </c:pt>
                <c:pt idx="5">
                  <c:v>Fri</c:v>
                </c:pt>
                <c:pt idx="6">
                  <c:v>Sat</c:v>
                </c:pt>
              </c:strCache>
            </c:strRef>
          </c:cat>
          <c:val>
            <c:numRef>
              <c:f>'sales by weekday '!$D$5:$D$12</c:f>
              <c:numCache>
                <c:formatCode>_ [$₹-4009]\ * #,##0.00_ ;_ [$₹-4009]\ * \-#,##0.00_ ;_ [$₹-4009]\ * "-"??_ ;_ @_ </c:formatCode>
                <c:ptCount val="7"/>
                <c:pt idx="0">
                  <c:v>1919.5799999999995</c:v>
                </c:pt>
                <c:pt idx="1">
                  <c:v>1532.2599999999998</c:v>
                </c:pt>
                <c:pt idx="2">
                  <c:v>1374.52</c:v>
                </c:pt>
                <c:pt idx="3">
                  <c:v>1424.36</c:v>
                </c:pt>
                <c:pt idx="4">
                  <c:v>1611.7799999999997</c:v>
                </c:pt>
                <c:pt idx="5">
                  <c:v>1270.2000000000005</c:v>
                </c:pt>
                <c:pt idx="6">
                  <c:v>1499.1199999999997</c:v>
                </c:pt>
              </c:numCache>
            </c:numRef>
          </c:val>
          <c:extLst>
            <c:ext xmlns:c16="http://schemas.microsoft.com/office/drawing/2014/chart" uri="{C3380CC4-5D6E-409C-BE32-E72D297353CC}">
              <c16:uniqueId val="{00000008-5FE4-4C21-9F1A-ACDC2D51AF37}"/>
            </c:ext>
          </c:extLst>
        </c:ser>
        <c:ser>
          <c:idx val="3"/>
          <c:order val="3"/>
          <c:tx>
            <c:strRef>
              <c:f>'sales by weekday '!$E$3:$E$4</c:f>
              <c:strCache>
                <c:ptCount val="1"/>
                <c:pt idx="0">
                  <c:v>Cocoa</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'sales by weekday '!$A$5:$A$12</c:f>
              <c:strCache>
                <c:ptCount val="7"/>
                <c:pt idx="0">
                  <c:v>Sun</c:v>
                </c:pt>
                <c:pt idx="1">
                  <c:v>Mon</c:v>
                </c:pt>
                <c:pt idx="2">
                  <c:v>Tue</c:v>
                </c:pt>
                <c:pt idx="3">
                  <c:v>Wed</c:v>
                </c:pt>
                <c:pt idx="4">
                  <c:v>Thu</c:v>
                </c:pt>
                <c:pt idx="5">
                  <c:v>Fri</c:v>
                </c:pt>
                <c:pt idx="6">
                  <c:v>Sat</c:v>
                </c:pt>
              </c:strCache>
            </c:strRef>
          </c:cat>
          <c:val>
            <c:numRef>
              <c:f>'sales by weekday '!$E$5:$E$12</c:f>
              <c:numCache>
                <c:formatCode>_ [$₹-4009]\ * #,##0.00_ ;_ [$₹-4009]\ * \-#,##0.00_ ;_ [$₹-4009]\ * "-"??_ ;_ @_ </c:formatCode>
                <c:ptCount val="7"/>
                <c:pt idx="0">
                  <c:v>169.98</c:v>
                </c:pt>
                <c:pt idx="1">
                  <c:v>311.05999999999995</c:v>
                </c:pt>
                <c:pt idx="2">
                  <c:v>572.46</c:v>
                </c:pt>
                <c:pt idx="3">
                  <c:v>250.32</c:v>
                </c:pt>
                <c:pt idx="4">
                  <c:v>68.58</c:v>
                </c:pt>
                <c:pt idx="5">
                  <c:v>653.79999999999995</c:v>
                </c:pt>
                <c:pt idx="6">
                  <c:v>465.47999999999996</c:v>
                </c:pt>
              </c:numCache>
            </c:numRef>
          </c:val>
          <c:extLst>
            <c:ext xmlns:c16="http://schemas.microsoft.com/office/drawing/2014/chart" uri="{C3380CC4-5D6E-409C-BE32-E72D297353CC}">
              <c16:uniqueId val="{00000009-5FE4-4C21-9F1A-ACDC2D51AF37}"/>
            </c:ext>
          </c:extLst>
        </c:ser>
        <c:ser>
          <c:idx val="4"/>
          <c:order val="4"/>
          <c:tx>
            <c:strRef>
              <c:f>'sales by weekday '!$F$3:$F$4</c:f>
              <c:strCache>
                <c:ptCount val="1"/>
                <c:pt idx="0">
                  <c:v>Cortado</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'sales by weekday '!$A$5:$A$12</c:f>
              <c:strCache>
                <c:ptCount val="7"/>
                <c:pt idx="0">
                  <c:v>Sun</c:v>
                </c:pt>
                <c:pt idx="1">
                  <c:v>Mon</c:v>
                </c:pt>
                <c:pt idx="2">
                  <c:v>Tue</c:v>
                </c:pt>
                <c:pt idx="3">
                  <c:v>Wed</c:v>
                </c:pt>
                <c:pt idx="4">
                  <c:v>Thu</c:v>
                </c:pt>
                <c:pt idx="5">
                  <c:v>Fri</c:v>
                </c:pt>
                <c:pt idx="6">
                  <c:v>Sat</c:v>
                </c:pt>
              </c:strCache>
            </c:strRef>
          </c:cat>
          <c:val>
            <c:numRef>
              <c:f>'sales by weekday '!$F$5:$F$12</c:f>
              <c:numCache>
                <c:formatCode>_ [$₹-4009]\ * #,##0.00_ ;_ [$₹-4009]\ * \-#,##0.00_ ;_ [$₹-4009]\ * "-"??_ ;_ @_ </c:formatCode>
                <c:ptCount val="7"/>
                <c:pt idx="0">
                  <c:v>875.04000000000008</c:v>
                </c:pt>
                <c:pt idx="1">
                  <c:v>533.04</c:v>
                </c:pt>
                <c:pt idx="2">
                  <c:v>798.99999999999989</c:v>
                </c:pt>
                <c:pt idx="3">
                  <c:v>679</c:v>
                </c:pt>
                <c:pt idx="4">
                  <c:v>784.17999999999984</c:v>
                </c:pt>
                <c:pt idx="5">
                  <c:v>654.88000000000011</c:v>
                </c:pt>
                <c:pt idx="6">
                  <c:v>821.4</c:v>
                </c:pt>
              </c:numCache>
            </c:numRef>
          </c:val>
          <c:extLst>
            <c:ext xmlns:c16="http://schemas.microsoft.com/office/drawing/2014/chart" uri="{C3380CC4-5D6E-409C-BE32-E72D297353CC}">
              <c16:uniqueId val="{0000000A-5FE4-4C21-9F1A-ACDC2D51AF37}"/>
            </c:ext>
          </c:extLst>
        </c:ser>
        <c:ser>
          <c:idx val="5"/>
          <c:order val="5"/>
          <c:tx>
            <c:strRef>
              <c:f>'sales by weekday '!$G$3:$G$4</c:f>
              <c:strCache>
                <c:ptCount val="1"/>
                <c:pt idx="0">
                  <c:v>Espresso</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'sales by weekday '!$A$5:$A$12</c:f>
              <c:strCache>
                <c:ptCount val="7"/>
                <c:pt idx="0">
                  <c:v>Sun</c:v>
                </c:pt>
                <c:pt idx="1">
                  <c:v>Mon</c:v>
                </c:pt>
                <c:pt idx="2">
                  <c:v>Tue</c:v>
                </c:pt>
                <c:pt idx="3">
                  <c:v>Wed</c:v>
                </c:pt>
                <c:pt idx="4">
                  <c:v>Thu</c:v>
                </c:pt>
                <c:pt idx="5">
                  <c:v>Fri</c:v>
                </c:pt>
                <c:pt idx="6">
                  <c:v>Sat</c:v>
                </c:pt>
              </c:strCache>
            </c:strRef>
          </c:cat>
          <c:val>
            <c:numRef>
              <c:f>'sales by weekday '!$G$5:$G$12</c:f>
              <c:numCache>
                <c:formatCode>_ [$₹-4009]\ * #,##0.00_ ;_ [$₹-4009]\ * \-#,##0.00_ ;_ [$₹-4009]\ * "-"??_ ;_ @_ </c:formatCode>
                <c:ptCount val="7"/>
                <c:pt idx="0">
                  <c:v>260.56</c:v>
                </c:pt>
                <c:pt idx="1">
                  <c:v>133.26</c:v>
                </c:pt>
                <c:pt idx="2">
                  <c:v>137.62</c:v>
                </c:pt>
                <c:pt idx="3">
                  <c:v>376.68000000000006</c:v>
                </c:pt>
                <c:pt idx="4">
                  <c:v>289.94</c:v>
                </c:pt>
                <c:pt idx="5">
                  <c:v>271.82</c:v>
                </c:pt>
                <c:pt idx="6">
                  <c:v>228.22000000000003</c:v>
                </c:pt>
              </c:numCache>
            </c:numRef>
          </c:val>
          <c:extLst>
            <c:ext xmlns:c16="http://schemas.microsoft.com/office/drawing/2014/chart" uri="{C3380CC4-5D6E-409C-BE32-E72D297353CC}">
              <c16:uniqueId val="{0000000B-5FE4-4C21-9F1A-ACDC2D51AF37}"/>
            </c:ext>
          </c:extLst>
        </c:ser>
        <c:ser>
          <c:idx val="6"/>
          <c:order val="6"/>
          <c:tx>
            <c:strRef>
              <c:f>'sales by weekday '!$H$3:$H$4</c:f>
              <c:strCache>
                <c:ptCount val="1"/>
                <c:pt idx="0">
                  <c:v>Hot Chocolate</c:v>
                </c:pt>
              </c:strCache>
            </c:strRef>
          </c:tx>
          <c:spPr>
            <a:ln w="34925" cap="rnd">
              <a:solidFill>
                <a:schemeClr val="accent1">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9525">
                <a:solidFill>
                  <a:schemeClr val="accent1">
                    <a:lumMod val="60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'sales by weekday '!$A$5:$A$12</c:f>
              <c:strCache>
                <c:ptCount val="7"/>
                <c:pt idx="0">
                  <c:v>Sun</c:v>
                </c:pt>
                <c:pt idx="1">
                  <c:v>Mon</c:v>
                </c:pt>
                <c:pt idx="2">
                  <c:v>Tue</c:v>
                </c:pt>
                <c:pt idx="3">
                  <c:v>Wed</c:v>
                </c:pt>
                <c:pt idx="4">
                  <c:v>Thu</c:v>
                </c:pt>
                <c:pt idx="5">
                  <c:v>Fri</c:v>
                </c:pt>
                <c:pt idx="6">
                  <c:v>Sat</c:v>
                </c:pt>
              </c:strCache>
            </c:strRef>
          </c:cat>
          <c:val>
            <c:numRef>
              <c:f>'sales by weekday '!$H$5:$H$12</c:f>
              <c:numCache>
                <c:formatCode>_ [$₹-4009]\ * #,##0.00_ ;_ [$₹-4009]\ * \-#,##0.00_ ;_ [$₹-4009]\ * "-"??_ ;_ @_ </c:formatCode>
                <c:ptCount val="7"/>
                <c:pt idx="0">
                  <c:v>729.9000000000002</c:v>
                </c:pt>
                <c:pt idx="1">
                  <c:v>352.7</c:v>
                </c:pt>
                <c:pt idx="2">
                  <c:v>1090.7600000000004</c:v>
                </c:pt>
                <c:pt idx="3">
                  <c:v>520.55999999999995</c:v>
                </c:pt>
                <c:pt idx="4">
                  <c:v>1015.2999999999998</c:v>
                </c:pt>
                <c:pt idx="5">
                  <c:v>825.42</c:v>
                </c:pt>
                <c:pt idx="6">
                  <c:v>309.58000000000004</c:v>
                </c:pt>
              </c:numCache>
            </c:numRef>
          </c:val>
          <c:extLst>
            <c:ext xmlns:c16="http://schemas.microsoft.com/office/drawing/2014/chart" uri="{C3380CC4-5D6E-409C-BE32-E72D297353CC}">
              <c16:uniqueId val="{0000000C-5FE4-4C21-9F1A-ACDC2D51AF37}"/>
            </c:ext>
          </c:extLst>
        </c:ser>
        <c:ser>
          <c:idx val="7"/>
          <c:order val="7"/>
          <c:tx>
            <c:strRef>
              <c:f>'sales by weekday '!$I$3:$I$4</c:f>
              <c:strCache>
                <c:ptCount val="1"/>
                <c:pt idx="0">
                  <c:v>Latte</c:v>
                </c:pt>
              </c:strCache>
            </c:strRef>
          </c:tx>
          <c:spPr>
            <a:ln w="34925" cap="rnd">
              <a:solidFill>
                <a:schemeClr val="accent2">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9525">
                <a:solidFill>
                  <a:schemeClr val="accent2">
                    <a:lumMod val="60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'sales by weekday '!$A$5:$A$12</c:f>
              <c:strCache>
                <c:ptCount val="7"/>
                <c:pt idx="0">
                  <c:v>Sun</c:v>
                </c:pt>
                <c:pt idx="1">
                  <c:v>Mon</c:v>
                </c:pt>
                <c:pt idx="2">
                  <c:v>Tue</c:v>
                </c:pt>
                <c:pt idx="3">
                  <c:v>Wed</c:v>
                </c:pt>
                <c:pt idx="4">
                  <c:v>Thu</c:v>
                </c:pt>
                <c:pt idx="5">
                  <c:v>Fri</c:v>
                </c:pt>
                <c:pt idx="6">
                  <c:v>Sat</c:v>
                </c:pt>
              </c:strCache>
            </c:strRef>
          </c:cat>
          <c:val>
            <c:numRef>
              <c:f>'sales by weekday '!$I$5:$I$12</c:f>
              <c:numCache>
                <c:formatCode>_ [$₹-4009]\ * #,##0.00_ ;_ [$₹-4009]\ * \-#,##0.00_ ;_ [$₹-4009]\ * "-"??_ ;_ @_ </c:formatCode>
                <c:ptCount val="7"/>
                <c:pt idx="0">
                  <c:v>2020.8199999999993</c:v>
                </c:pt>
                <c:pt idx="1">
                  <c:v>2535.1600000000017</c:v>
                </c:pt>
                <c:pt idx="2">
                  <c:v>2784.5000000000027</c:v>
                </c:pt>
                <c:pt idx="3">
                  <c:v>2110.2799999999993</c:v>
                </c:pt>
                <c:pt idx="4">
                  <c:v>2654.5000000000032</c:v>
                </c:pt>
                <c:pt idx="5">
                  <c:v>2276.46</c:v>
                </c:pt>
                <c:pt idx="6">
                  <c:v>2041.379999999999</c:v>
                </c:pt>
              </c:numCache>
            </c:numRef>
          </c:val>
          <c:extLst>
            <c:ext xmlns:c16="http://schemas.microsoft.com/office/drawing/2014/chart" uri="{C3380CC4-5D6E-409C-BE32-E72D297353CC}">
              <c16:uniqueId val="{0000000D-5FE4-4C21-9F1A-ACDC2D51AF37}"/>
            </c:ext>
          </c:extLst>
        </c:ser>
        <c:dLbls>
          <c:showLegendKey val="0"/>
          <c:showVal val="1"/>
          <c:showCatName val="0"/>
          <c:showSerName val="0"/>
          <c:showPercent val="0"/>
          <c:showBubbleSize val="0"/>
        </c:dLbls>
        <c:axId val="1381332527"/>
        <c:axId val="1381335887"/>
      </c:radarChart>
      <c:catAx>
        <c:axId val="138133252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cap="none" spc="0" baseline="0">
                <a:ln/>
                <a:solidFill>
                  <a:schemeClr val="accent4"/>
                </a:solidFill>
                <a:effectLst/>
                <a:latin typeface="+mn-lt"/>
                <a:ea typeface="+mn-ea"/>
                <a:cs typeface="+mn-cs"/>
              </a:defRPr>
            </a:pPr>
            <a:endParaRPr lang="en-US"/>
          </a:p>
        </c:txPr>
        <c:crossAx val="1381335887"/>
        <c:crosses val="autoZero"/>
        <c:auto val="1"/>
        <c:lblAlgn val="ctr"/>
        <c:lblOffset val="100"/>
        <c:noMultiLvlLbl val="0"/>
      </c:catAx>
      <c:valAx>
        <c:axId val="1381335887"/>
        <c:scaling>
          <c:orientation val="minMax"/>
        </c:scaling>
        <c:delete val="1"/>
        <c:axPos val="l"/>
        <c:majorGridlines>
          <c:spPr>
            <a:ln w="9525" cap="flat" cmpd="sng" algn="ctr">
              <a:solidFill>
                <a:schemeClr val="lt1">
                  <a:lumMod val="95000"/>
                  <a:alpha val="10000"/>
                </a:schemeClr>
              </a:solidFill>
              <a:round/>
            </a:ln>
            <a:effectLst/>
          </c:spPr>
        </c:majorGridlines>
        <c:numFmt formatCode="_ [$₹-4009]\ * #,##0.00_ ;_ [$₹-4009]\ * \-#,##0.00_ ;_ [$₹-4009]\ * &quot;-&quot;??_ ;_ @_ " sourceLinked="1"/>
        <c:majorTickMark val="none"/>
        <c:minorTickMark val="none"/>
        <c:tickLblPos val="nextTo"/>
        <c:crossAx val="1381332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[coffee sales project.xlsx]cash VS card!PivotTable2</c:name>
    <c:fmtId val="0"/>
  </c:pivotSource>
  <c:chart>
    <c:autoTitleDeleted val="1"/>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cap="none" spc="0" baseline="0">
                  <a:ln/>
                  <a:solidFill>
                    <a:schemeClr val="accent4"/>
                  </a:solidFill>
                  <a:effectLst/>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4">
                  <a:shade val="50000"/>
                  <a:satMod val="103000"/>
                  <a:lumMod val="102000"/>
                  <a:tint val="94000"/>
                </a:schemeClr>
              </a:gs>
              <a:gs pos="50000">
                <a:schemeClr val="accent4">
                  <a:shade val="50000"/>
                  <a:satMod val="110000"/>
                  <a:lumMod val="100000"/>
                  <a:shade val="100000"/>
                </a:schemeClr>
              </a:gs>
              <a:gs pos="100000">
                <a:schemeClr val="accent4">
                  <a:shade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003304419661297"/>
              <c:y val="6.894174422612892E-3"/>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cap="none" spc="0" baseline="0">
                  <a:ln/>
                  <a:solidFill>
                    <a:schemeClr val="accent4"/>
                  </a:solidFill>
                  <a:effectLst/>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4">
                  <a:tint val="50000"/>
                  <a:satMod val="103000"/>
                  <a:lumMod val="102000"/>
                  <a:tint val="94000"/>
                </a:schemeClr>
              </a:gs>
              <a:gs pos="50000">
                <a:schemeClr val="accent4">
                  <a:tint val="50000"/>
                  <a:satMod val="110000"/>
                  <a:lumMod val="100000"/>
                  <a:shade val="100000"/>
                </a:schemeClr>
              </a:gs>
              <a:gs pos="100000">
                <a:schemeClr val="accent4">
                  <a:tint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4">
                  <a:tint val="50000"/>
                  <a:satMod val="103000"/>
                  <a:lumMod val="102000"/>
                  <a:tint val="94000"/>
                </a:schemeClr>
              </a:gs>
              <a:gs pos="50000">
                <a:schemeClr val="accent4">
                  <a:tint val="50000"/>
                  <a:satMod val="110000"/>
                  <a:lumMod val="100000"/>
                  <a:shade val="100000"/>
                </a:schemeClr>
              </a:gs>
              <a:gs pos="100000">
                <a:schemeClr val="accent4">
                  <a:tint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4">
                  <a:tint val="70000"/>
                  <a:satMod val="103000"/>
                  <a:lumMod val="102000"/>
                  <a:tint val="94000"/>
                </a:schemeClr>
              </a:gs>
              <a:gs pos="50000">
                <a:schemeClr val="accent4">
                  <a:tint val="70000"/>
                  <a:satMod val="110000"/>
                  <a:lumMod val="100000"/>
                  <a:shade val="100000"/>
                </a:schemeClr>
              </a:gs>
              <a:gs pos="100000">
                <a:schemeClr val="accent4">
                  <a:tint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4">
                  <a:tint val="70000"/>
                  <a:satMod val="103000"/>
                  <a:lumMod val="102000"/>
                  <a:tint val="94000"/>
                </a:schemeClr>
              </a:gs>
              <a:gs pos="50000">
                <a:schemeClr val="accent4">
                  <a:tint val="70000"/>
                  <a:satMod val="110000"/>
                  <a:lumMod val="100000"/>
                  <a:shade val="100000"/>
                </a:schemeClr>
              </a:gs>
              <a:gs pos="100000">
                <a:schemeClr val="accent4">
                  <a:tint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4">
                  <a:shade val="70000"/>
                  <a:satMod val="103000"/>
                  <a:lumMod val="102000"/>
                  <a:tint val="94000"/>
                </a:schemeClr>
              </a:gs>
              <a:gs pos="50000">
                <a:schemeClr val="accent4">
                  <a:shade val="70000"/>
                  <a:satMod val="110000"/>
                  <a:lumMod val="100000"/>
                  <a:shade val="100000"/>
                </a:schemeClr>
              </a:gs>
              <a:gs pos="100000">
                <a:schemeClr val="accent4">
                  <a:shade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4">
                  <a:tint val="50000"/>
                  <a:satMod val="103000"/>
                  <a:lumMod val="102000"/>
                  <a:tint val="94000"/>
                </a:schemeClr>
              </a:gs>
              <a:gs pos="50000">
                <a:schemeClr val="accent4">
                  <a:tint val="50000"/>
                  <a:satMod val="110000"/>
                  <a:lumMod val="100000"/>
                  <a:shade val="100000"/>
                </a:schemeClr>
              </a:gs>
              <a:gs pos="100000">
                <a:schemeClr val="accent4">
                  <a:tint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4">
                  <a:tint val="70000"/>
                  <a:satMod val="103000"/>
                  <a:lumMod val="102000"/>
                  <a:tint val="94000"/>
                </a:schemeClr>
              </a:gs>
              <a:gs pos="50000">
                <a:schemeClr val="accent4">
                  <a:tint val="70000"/>
                  <a:satMod val="110000"/>
                  <a:lumMod val="100000"/>
                  <a:shade val="100000"/>
                </a:schemeClr>
              </a:gs>
              <a:gs pos="100000">
                <a:schemeClr val="accent4">
                  <a:tint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4">
                  <a:tint val="50000"/>
                  <a:satMod val="103000"/>
                  <a:lumMod val="102000"/>
                  <a:tint val="94000"/>
                </a:schemeClr>
              </a:gs>
              <a:gs pos="50000">
                <a:schemeClr val="accent4">
                  <a:tint val="50000"/>
                  <a:satMod val="110000"/>
                  <a:lumMod val="100000"/>
                  <a:shade val="100000"/>
                </a:schemeClr>
              </a:gs>
              <a:gs pos="100000">
                <a:schemeClr val="accent4">
                  <a:tint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3851356405728094"/>
          <c:y val="4.6322880787781566E-2"/>
          <c:w val="0.55808233078671854"/>
          <c:h val="0.93148384890358193"/>
        </c:manualLayout>
      </c:layout>
      <c:pieChart>
        <c:varyColors val="1"/>
        <c:ser>
          <c:idx val="0"/>
          <c:order val="0"/>
          <c:tx>
            <c:strRef>
              <c:f>'cash VS card'!$B$3</c:f>
              <c:strCache>
                <c:ptCount val="1"/>
                <c:pt idx="0">
                  <c:v>Total</c:v>
                </c:pt>
              </c:strCache>
            </c:strRef>
          </c:tx>
          <c:dPt>
            <c:idx val="0"/>
            <c:bubble3D val="0"/>
            <c:spPr>
              <a:gradFill rotWithShape="1">
                <a:gsLst>
                  <a:gs pos="0">
                    <a:schemeClr val="accent4">
                      <a:tint val="50000"/>
                      <a:satMod val="103000"/>
                      <a:lumMod val="102000"/>
                      <a:tint val="94000"/>
                    </a:schemeClr>
                  </a:gs>
                  <a:gs pos="50000">
                    <a:schemeClr val="accent4">
                      <a:tint val="50000"/>
                      <a:satMod val="110000"/>
                      <a:lumMod val="100000"/>
                      <a:shade val="100000"/>
                    </a:schemeClr>
                  </a:gs>
                  <a:gs pos="100000">
                    <a:schemeClr val="accent4">
                      <a:tint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0EC-431E-A4EE-593F8A54807E}"/>
              </c:ext>
            </c:extLst>
          </c:dPt>
          <c:dPt>
            <c:idx val="1"/>
            <c:bubble3D val="0"/>
            <c:spPr>
              <a:gradFill rotWithShape="1">
                <a:gsLst>
                  <a:gs pos="0">
                    <a:schemeClr val="accent4">
                      <a:tint val="70000"/>
                      <a:satMod val="103000"/>
                      <a:lumMod val="102000"/>
                      <a:tint val="94000"/>
                    </a:schemeClr>
                  </a:gs>
                  <a:gs pos="50000">
                    <a:schemeClr val="accent4">
                      <a:tint val="70000"/>
                      <a:satMod val="110000"/>
                      <a:lumMod val="100000"/>
                      <a:shade val="100000"/>
                    </a:schemeClr>
                  </a:gs>
                  <a:gs pos="100000">
                    <a:schemeClr val="accent4">
                      <a:tint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0EC-431E-A4EE-593F8A54807E}"/>
              </c:ext>
            </c:extLst>
          </c:dPt>
          <c:dPt>
            <c:idx val="2"/>
            <c:bubble3D val="0"/>
            <c:spPr>
              <a:gradFill rotWithShape="1">
                <a:gsLst>
                  <a:gs pos="0">
                    <a:schemeClr val="accent4">
                      <a:tint val="50000"/>
                      <a:satMod val="103000"/>
                      <a:lumMod val="102000"/>
                      <a:tint val="94000"/>
                    </a:schemeClr>
                  </a:gs>
                  <a:gs pos="50000">
                    <a:schemeClr val="accent4">
                      <a:tint val="50000"/>
                      <a:satMod val="110000"/>
                      <a:lumMod val="100000"/>
                      <a:shade val="100000"/>
                    </a:schemeClr>
                  </a:gs>
                  <a:gs pos="100000">
                    <a:schemeClr val="accent4">
                      <a:tint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209-404D-A2EB-64727445DE2C}"/>
              </c:ext>
            </c:extLst>
          </c:dPt>
          <c:dPt>
            <c:idx val="3"/>
            <c:bubble3D val="0"/>
            <c:spPr>
              <a:gradFill rotWithShape="1">
                <a:gsLst>
                  <a:gs pos="0">
                    <a:schemeClr val="accent4">
                      <a:tint val="70000"/>
                      <a:satMod val="103000"/>
                      <a:lumMod val="102000"/>
                      <a:tint val="94000"/>
                    </a:schemeClr>
                  </a:gs>
                  <a:gs pos="50000">
                    <a:schemeClr val="accent4">
                      <a:tint val="70000"/>
                      <a:satMod val="110000"/>
                      <a:lumMod val="100000"/>
                      <a:shade val="100000"/>
                    </a:schemeClr>
                  </a:gs>
                  <a:gs pos="100000">
                    <a:schemeClr val="accent4">
                      <a:tint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0EC-431E-A4EE-593F8A54807E}"/>
              </c:ext>
            </c:extLst>
          </c:dPt>
          <c:dPt>
            <c:idx val="4"/>
            <c:bubble3D val="0"/>
            <c:spPr>
              <a:gradFill rotWithShape="1">
                <a:gsLst>
                  <a:gs pos="0">
                    <a:schemeClr val="accent4">
                      <a:shade val="70000"/>
                      <a:satMod val="103000"/>
                      <a:lumMod val="102000"/>
                      <a:tint val="94000"/>
                    </a:schemeClr>
                  </a:gs>
                  <a:gs pos="50000">
                    <a:schemeClr val="accent4">
                      <a:shade val="70000"/>
                      <a:satMod val="110000"/>
                      <a:lumMod val="100000"/>
                      <a:shade val="100000"/>
                    </a:schemeClr>
                  </a:gs>
                  <a:gs pos="100000">
                    <a:schemeClr val="accent4">
                      <a:shade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B0EC-431E-A4EE-593F8A54807E}"/>
              </c:ext>
            </c:extLst>
          </c:dPt>
          <c:dPt>
            <c:idx val="5"/>
            <c:bubble3D val="0"/>
            <c:spPr>
              <a:gradFill rotWithShape="1">
                <a:gsLst>
                  <a:gs pos="0">
                    <a:schemeClr val="accent4">
                      <a:shade val="50000"/>
                      <a:satMod val="103000"/>
                      <a:lumMod val="102000"/>
                      <a:tint val="94000"/>
                    </a:schemeClr>
                  </a:gs>
                  <a:gs pos="50000">
                    <a:schemeClr val="accent4">
                      <a:shade val="50000"/>
                      <a:satMod val="110000"/>
                      <a:lumMod val="100000"/>
                      <a:shade val="100000"/>
                    </a:schemeClr>
                  </a:gs>
                  <a:gs pos="100000">
                    <a:schemeClr val="accent4">
                      <a:shade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1209-404D-A2EB-64727445DE2C}"/>
              </c:ext>
            </c:extLst>
          </c:dPt>
          <c:dLbls>
            <c:dLbl>
              <c:idx val="5"/>
              <c:layout>
                <c:manualLayout>
                  <c:x val="0.2003304419661297"/>
                  <c:y val="6.894174422612892E-3"/>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209-404D-A2EB-64727445DE2C}"/>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cap="none" spc="0" baseline="0">
                    <a:ln/>
                    <a:solidFill>
                      <a:schemeClr val="accent4"/>
                    </a:solidFill>
                    <a:effectLst/>
                    <a:latin typeface="+mn-lt"/>
                    <a:ea typeface="+mn-ea"/>
                    <a:cs typeface="+mn-cs"/>
                  </a:defRPr>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multiLvlStrRef>
              <c:f>'cash VS card'!$A$4:$A$13</c:f>
              <c:multiLvlStrCache>
                <c:ptCount val="6"/>
                <c:lvl>
                  <c:pt idx="0">
                    <c:v>card</c:v>
                  </c:pt>
                  <c:pt idx="1">
                    <c:v>cash</c:v>
                  </c:pt>
                  <c:pt idx="2">
                    <c:v>card</c:v>
                  </c:pt>
                  <c:pt idx="3">
                    <c:v>cash</c:v>
                  </c:pt>
                  <c:pt idx="4">
                    <c:v>card</c:v>
                  </c:pt>
                  <c:pt idx="5">
                    <c:v>cash</c:v>
                  </c:pt>
                </c:lvl>
                <c:lvl>
                  <c:pt idx="0">
                    <c:v>Afternoon</c:v>
                  </c:pt>
                  <c:pt idx="2">
                    <c:v>Morning</c:v>
                  </c:pt>
                  <c:pt idx="4">
                    <c:v>Night</c:v>
                  </c:pt>
                </c:lvl>
              </c:multiLvlStrCache>
            </c:multiLvlStrRef>
          </c:cat>
          <c:val>
            <c:numRef>
              <c:f>'cash VS card'!$B$4:$B$13</c:f>
              <c:numCache>
                <c:formatCode>_ [$₹-4009]\ * #,##0.00_ ;_ [$₹-4009]\ * \-#,##0.00_ ;_ [$₹-4009]\ * "-"??_ ;_ @_ </c:formatCode>
                <c:ptCount val="6"/>
                <c:pt idx="0">
                  <c:v>18254.019999999931</c:v>
                </c:pt>
                <c:pt idx="1">
                  <c:v>888</c:v>
                </c:pt>
                <c:pt idx="2">
                  <c:v>19484.259999999962</c:v>
                </c:pt>
                <c:pt idx="3">
                  <c:v>1451</c:v>
                </c:pt>
                <c:pt idx="4">
                  <c:v>22339.639999999785</c:v>
                </c:pt>
                <c:pt idx="5">
                  <c:v>847</c:v>
                </c:pt>
              </c:numCache>
            </c:numRef>
          </c:val>
          <c:extLst>
            <c:ext xmlns:c16="http://schemas.microsoft.com/office/drawing/2014/chart" uri="{C3380CC4-5D6E-409C-BE32-E72D297353CC}">
              <c16:uniqueId val="{00000000-1209-404D-A2EB-64727445DE2C}"/>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project.xlsx]sum of hours &amp; money!PivotTable1</c:name>
    <c:fmtId val="0"/>
  </c:pivotSource>
  <c:chart>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'sum of hours &amp; money'!$B$3</c:f>
              <c:strCache>
                <c:ptCount val="1"/>
                <c:pt idx="0">
                  <c:v>Sum of hour_of_day</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'sum of hours &amp; money'!$A$4:$A$12</c:f>
              <c:strCache>
                <c:ptCount val="8"/>
                <c:pt idx="0">
                  <c:v>Mar</c:v>
                </c:pt>
                <c:pt idx="1">
                  <c:v>Apr</c:v>
                </c:pt>
                <c:pt idx="2">
                  <c:v>May</c:v>
                </c:pt>
                <c:pt idx="3">
                  <c:v>Jun</c:v>
                </c:pt>
                <c:pt idx="4">
                  <c:v>Jul</c:v>
                </c:pt>
                <c:pt idx="5">
                  <c:v>Aug</c:v>
                </c:pt>
                <c:pt idx="6">
                  <c:v>Sep</c:v>
                </c:pt>
                <c:pt idx="7">
                  <c:v>Oct</c:v>
                </c:pt>
              </c:strCache>
            </c:strRef>
          </c:cat>
          <c:val>
            <c:numRef>
              <c:f>'sum of hours &amp; money'!$B$4:$B$12</c:f>
              <c:numCache>
                <c:formatCode>General</c:formatCode>
                <c:ptCount val="8"/>
                <c:pt idx="0">
                  <c:v>2822</c:v>
                </c:pt>
                <c:pt idx="1">
                  <c:v>2829</c:v>
                </c:pt>
                <c:pt idx="2">
                  <c:v>3996</c:v>
                </c:pt>
                <c:pt idx="3">
                  <c:v>3481</c:v>
                </c:pt>
                <c:pt idx="4">
                  <c:v>3360</c:v>
                </c:pt>
                <c:pt idx="5">
                  <c:v>3674</c:v>
                </c:pt>
                <c:pt idx="6">
                  <c:v>4954</c:v>
                </c:pt>
                <c:pt idx="7">
                  <c:v>3508</c:v>
                </c:pt>
              </c:numCache>
            </c:numRef>
          </c:val>
          <c:smooth val="0"/>
          <c:extLst>
            <c:ext xmlns:c16="http://schemas.microsoft.com/office/drawing/2014/chart" uri="{C3380CC4-5D6E-409C-BE32-E72D297353CC}">
              <c16:uniqueId val="{00000000-98D2-4F6F-A7A0-7F59F42F24B6}"/>
            </c:ext>
          </c:extLst>
        </c:ser>
        <c:ser>
          <c:idx val="1"/>
          <c:order val="1"/>
          <c:tx>
            <c:strRef>
              <c:f>'sum of hours &amp; money'!$C$3</c:f>
              <c:strCache>
                <c:ptCount val="1"/>
                <c:pt idx="0">
                  <c:v>Sum of money</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'sum of hours &amp; money'!$A$4:$A$12</c:f>
              <c:strCache>
                <c:ptCount val="8"/>
                <c:pt idx="0">
                  <c:v>Mar</c:v>
                </c:pt>
                <c:pt idx="1">
                  <c:v>Apr</c:v>
                </c:pt>
                <c:pt idx="2">
                  <c:v>May</c:v>
                </c:pt>
                <c:pt idx="3">
                  <c:v>Jun</c:v>
                </c:pt>
                <c:pt idx="4">
                  <c:v>Jul</c:v>
                </c:pt>
                <c:pt idx="5">
                  <c:v>Aug</c:v>
                </c:pt>
                <c:pt idx="6">
                  <c:v>Sep</c:v>
                </c:pt>
                <c:pt idx="7">
                  <c:v>Oct</c:v>
                </c:pt>
              </c:strCache>
            </c:strRef>
          </c:cat>
          <c:val>
            <c:numRef>
              <c:f>'sum of hours &amp; money'!$C$4:$C$12</c:f>
              <c:numCache>
                <c:formatCode>[$R]#,##0.00</c:formatCode>
                <c:ptCount val="8"/>
                <c:pt idx="0">
                  <c:v>7050.1999999999871</c:v>
                </c:pt>
                <c:pt idx="1">
                  <c:v>6720.5600000000013</c:v>
                </c:pt>
                <c:pt idx="2">
                  <c:v>9063.4200000000019</c:v>
                </c:pt>
                <c:pt idx="3">
                  <c:v>7758.7600000000048</c:v>
                </c:pt>
                <c:pt idx="4">
                  <c:v>6915.940000000006</c:v>
                </c:pt>
                <c:pt idx="5">
                  <c:v>7613.8400000000147</c:v>
                </c:pt>
                <c:pt idx="6">
                  <c:v>9988.6400000000067</c:v>
                </c:pt>
                <c:pt idx="7">
                  <c:v>8152.5600000000222</c:v>
                </c:pt>
              </c:numCache>
            </c:numRef>
          </c:val>
          <c:smooth val="0"/>
          <c:extLst>
            <c:ext xmlns:c16="http://schemas.microsoft.com/office/drawing/2014/chart" uri="{C3380CC4-5D6E-409C-BE32-E72D297353CC}">
              <c16:uniqueId val="{00000001-98D2-4F6F-A7A0-7F59F42F24B6}"/>
            </c:ext>
          </c:extLst>
        </c:ser>
        <c:dLbls>
          <c:dLblPos val="t"/>
          <c:showLegendKey val="0"/>
          <c:showVal val="1"/>
          <c:showCatName val="0"/>
          <c:showSerName val="0"/>
          <c:showPercent val="0"/>
          <c:showBubbleSize val="0"/>
        </c:dLbls>
        <c:upDownBars>
          <c:gapWidth val="315"/>
          <c:upBars>
            <c:spPr>
              <a:solidFill>
                <a:schemeClr val="lt1">
                  <a:lumMod val="85000"/>
                </a:schemeClr>
              </a:solidFill>
              <a:ln w="9525">
                <a:solidFill>
                  <a:schemeClr val="dk1">
                    <a:lumMod val="50000"/>
                  </a:schemeClr>
                </a:solidFill>
                <a:round/>
              </a:ln>
              <a:effectLst/>
            </c:spPr>
          </c:upBars>
          <c:downBars>
            <c:spPr>
              <a:solidFill>
                <a:schemeClr val="dk1">
                  <a:lumMod val="50000"/>
                  <a:lumOff val="50000"/>
                </a:schemeClr>
              </a:solidFill>
              <a:ln w="9525">
                <a:solidFill>
                  <a:schemeClr val="dk1">
                    <a:lumMod val="75000"/>
                  </a:schemeClr>
                </a:solidFill>
                <a:round/>
              </a:ln>
              <a:effectLst/>
            </c:spPr>
          </c:downBars>
        </c:upDownBars>
        <c:marker val="1"/>
        <c:smooth val="0"/>
        <c:axId val="1278072751"/>
        <c:axId val="1278061711"/>
      </c:lineChart>
      <c:catAx>
        <c:axId val="127807275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cap="none" spc="0" baseline="0">
                <a:ln/>
                <a:solidFill>
                  <a:schemeClr val="accent4"/>
                </a:solidFill>
                <a:effectLst/>
                <a:latin typeface="+mn-lt"/>
                <a:ea typeface="+mn-ea"/>
                <a:cs typeface="+mn-cs"/>
              </a:defRPr>
            </a:pPr>
            <a:endParaRPr lang="en-US"/>
          </a:p>
        </c:txPr>
        <c:crossAx val="1278061711"/>
        <c:crosses val="autoZero"/>
        <c:auto val="1"/>
        <c:lblAlgn val="ctr"/>
        <c:lblOffset val="100"/>
        <c:noMultiLvlLbl val="0"/>
      </c:catAx>
      <c:valAx>
        <c:axId val="127806171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cap="none" spc="0" baseline="0">
                <a:ln/>
                <a:solidFill>
                  <a:schemeClr val="accent4"/>
                </a:solidFill>
                <a:effectLst/>
                <a:latin typeface="+mn-lt"/>
                <a:ea typeface="+mn-ea"/>
                <a:cs typeface="+mn-cs"/>
              </a:defRPr>
            </a:pPr>
            <a:endParaRPr lang="en-US"/>
          </a:p>
        </c:txPr>
        <c:crossAx val="1278072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[coffee sales project.xlsx]total sale !PivotTable1</c:name>
    <c:fmtId val="6"/>
  </c:pivotSource>
  <c:chart>
    <c:title>
      <c:tx>
        <c:rich>
          <a:bodyPr rot="0" spcFirstLastPara="1" vertOverflow="ellipsis" vert="horz" wrap="square" anchor="ctr" anchorCtr="1"/>
          <a:lstStyle/>
          <a:p>
            <a:pPr>
              <a:defRPr sz="1050" b="1" i="0" u="none" strike="noStrike" kern="1200" spc="100" baseline="0">
                <a:solidFill>
                  <a:schemeClr val="accent3">
                    <a:lumMod val="40000"/>
                    <a:lumOff val="60000"/>
                  </a:schemeClr>
                </a:solidFill>
                <a:effectLst>
                  <a:outerShdw blurRad="50800" dist="38100" dir="5400000" algn="t" rotWithShape="0">
                    <a:prstClr val="black">
                      <a:alpha val="40000"/>
                    </a:prstClr>
                  </a:outerShdw>
                </a:effectLst>
                <a:latin typeface="Arial Black" panose="020B0A04020102020204" pitchFamily="34" charset="0"/>
                <a:ea typeface="+mn-ea"/>
                <a:cs typeface="+mn-cs"/>
              </a:defRPr>
            </a:pPr>
            <a:r>
              <a:rPr lang="en-US" sz="1050">
                <a:solidFill>
                  <a:schemeClr val="accent3">
                    <a:lumMod val="40000"/>
                    <a:lumOff val="60000"/>
                  </a:schemeClr>
                </a:solidFill>
                <a:latin typeface="Arial Black" panose="020B0A04020102020204" pitchFamily="34" charset="0"/>
              </a:rPr>
              <a:t>SALES</a:t>
            </a:r>
            <a:r>
              <a:rPr lang="en-US" sz="1050" baseline="0">
                <a:solidFill>
                  <a:schemeClr val="accent3">
                    <a:lumMod val="40000"/>
                    <a:lumOff val="60000"/>
                  </a:schemeClr>
                </a:solidFill>
                <a:latin typeface="Arial Black" panose="020B0A04020102020204" pitchFamily="34" charset="0"/>
              </a:rPr>
              <a:t> BY COFFEE NAME</a:t>
            </a:r>
            <a:endParaRPr lang="en-US" sz="1050">
              <a:solidFill>
                <a:schemeClr val="accent3">
                  <a:lumMod val="40000"/>
                  <a:lumOff val="60000"/>
                </a:schemeClr>
              </a:solidFill>
              <a:latin typeface="Arial Black" panose="020B0A04020102020204" pitchFamily="34" charset="0"/>
            </a:endParaRPr>
          </a:p>
        </c:rich>
      </c:tx>
      <c:layout>
        <c:manualLayout>
          <c:xMode val="edge"/>
          <c:yMode val="edge"/>
          <c:x val="0.35532941248281036"/>
          <c:y val="7.716049382716049E-3"/>
        </c:manualLayout>
      </c:layout>
      <c:overlay val="0"/>
      <c:spPr>
        <a:noFill/>
        <a:ln>
          <a:noFill/>
        </a:ln>
        <a:effectLst/>
      </c:spPr>
      <c:txPr>
        <a:bodyPr rot="0" spcFirstLastPara="1" vertOverflow="ellipsis" vert="horz" wrap="square" anchor="ctr" anchorCtr="1"/>
        <a:lstStyle/>
        <a:p>
          <a:pPr>
            <a:defRPr sz="1050" b="1" i="0" u="none" strike="noStrike" kern="1200" spc="100" baseline="0">
              <a:solidFill>
                <a:schemeClr val="accent3">
                  <a:lumMod val="40000"/>
                  <a:lumOff val="60000"/>
                </a:schemeClr>
              </a:solidFill>
              <a:effectLst>
                <a:outerShdw blurRad="50800" dist="38100" dir="5400000" algn="t" rotWithShape="0">
                  <a:prstClr val="black">
                    <a:alpha val="40000"/>
                  </a:prstClr>
                </a:outerShdw>
              </a:effectLst>
              <a:latin typeface="Arial Black" panose="020B0A04020102020204" pitchFamily="34" charset="0"/>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sale '!$B$3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'total sale '!$A$4:$A$12</c:f>
              <c:strCache>
                <c:ptCount val="8"/>
                <c:pt idx="0">
                  <c:v>Americano</c:v>
                </c:pt>
                <c:pt idx="1">
                  <c:v>Americano with Milk</c:v>
                </c:pt>
                <c:pt idx="2">
                  <c:v>Cappuccino</c:v>
                </c:pt>
                <c:pt idx="3">
                  <c:v>Cocoa</c:v>
                </c:pt>
                <c:pt idx="4">
                  <c:v>Cortado</c:v>
                </c:pt>
                <c:pt idx="5">
                  <c:v>Espresso</c:v>
                </c:pt>
                <c:pt idx="6">
                  <c:v>Hot Chocolate</c:v>
                </c:pt>
                <c:pt idx="7">
                  <c:v>Latte</c:v>
                </c:pt>
              </c:strCache>
            </c:strRef>
          </c:cat>
          <c:val>
            <c:numRef>
              <c:f>'total sale '!$B$4:$B$12</c:f>
              <c:numCache>
                <c:formatCode>_ [$₹-4009]\ * #,##0.00_ ;_ [$₹-4009]\ * \-#,##0.00_ ;_ [$₹-4009]\ * "-"??_ ;_ @_ </c:formatCode>
                <c:ptCount val="8"/>
                <c:pt idx="0">
                  <c:v>7066.5800000000472</c:v>
                </c:pt>
                <c:pt idx="1">
                  <c:v>14961.88000000003</c:v>
                </c:pt>
                <c:pt idx="2">
                  <c:v>10631.819999999985</c:v>
                </c:pt>
                <c:pt idx="3">
                  <c:v>2491.6800000000012</c:v>
                </c:pt>
                <c:pt idx="4">
                  <c:v>5146.54000000001</c:v>
                </c:pt>
                <c:pt idx="5">
                  <c:v>1698.099999999996</c:v>
                </c:pt>
                <c:pt idx="6">
                  <c:v>4844.220000000013</c:v>
                </c:pt>
                <c:pt idx="7">
                  <c:v>16423.099999999969</c:v>
                </c:pt>
              </c:numCache>
            </c:numRef>
          </c:val>
          <c:extLst>
            <c:ext xmlns:c16="http://schemas.microsoft.com/office/drawing/2014/chart" uri="{C3380CC4-5D6E-409C-BE32-E72D297353CC}">
              <c16:uniqueId val="{00000000-96D5-44A2-A270-A06AB3ED1416}"/>
            </c:ext>
          </c:extLst>
        </c:ser>
        <c:dLbls>
          <c:dLblPos val="outEnd"/>
          <c:showLegendKey val="0"/>
          <c:showVal val="1"/>
          <c:showCatName val="0"/>
          <c:showSerName val="0"/>
          <c:showPercent val="0"/>
          <c:showBubbleSize val="0"/>
        </c:dLbls>
        <c:gapWidth val="100"/>
        <c:overlap val="-24"/>
        <c:axId val="1183413839"/>
        <c:axId val="1183414319"/>
      </c:barChart>
      <c:catAx>
        <c:axId val="118341383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cap="none" spc="0" baseline="0">
                <a:ln/>
                <a:solidFill>
                  <a:schemeClr val="accent3">
                    <a:lumMod val="20000"/>
                    <a:lumOff val="80000"/>
                  </a:schemeClr>
                </a:solidFill>
                <a:effectLst/>
                <a:latin typeface="+mn-lt"/>
                <a:ea typeface="+mn-ea"/>
                <a:cs typeface="+mn-cs"/>
              </a:defRPr>
            </a:pPr>
            <a:endParaRPr lang="en-US"/>
          </a:p>
        </c:txPr>
        <c:crossAx val="1183414319"/>
        <c:crosses val="autoZero"/>
        <c:auto val="1"/>
        <c:lblAlgn val="ctr"/>
        <c:lblOffset val="100"/>
        <c:noMultiLvlLbl val="0"/>
      </c:catAx>
      <c:valAx>
        <c:axId val="1183414319"/>
        <c:scaling>
          <c:orientation val="minMax"/>
        </c:scaling>
        <c:delete val="0"/>
        <c:axPos val="l"/>
        <c:majorGridlines>
          <c:spPr>
            <a:ln w="9525" cap="flat" cmpd="sng" algn="ctr">
              <a:solidFill>
                <a:schemeClr val="lt1">
                  <a:lumMod val="95000"/>
                  <a:alpha val="10000"/>
                </a:schemeClr>
              </a:solidFill>
              <a:round/>
            </a:ln>
            <a:effectLst/>
          </c:spPr>
        </c:majorGridlines>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cap="none" spc="0" baseline="0">
                <a:ln/>
                <a:solidFill>
                  <a:schemeClr val="accent3">
                    <a:lumMod val="20000"/>
                    <a:lumOff val="80000"/>
                  </a:schemeClr>
                </a:solidFill>
                <a:effectLst/>
                <a:latin typeface="+mn-lt"/>
                <a:ea typeface="+mn-ea"/>
                <a:cs typeface="+mn-cs"/>
              </a:defRPr>
            </a:pPr>
            <a:endParaRPr lang="en-US"/>
          </a:p>
        </c:txPr>
        <c:crossAx val="1183413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[coffee sales project.xlsx]cash VS card!PivotTable2</c:name>
    <c:fmtId val="6"/>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cap="none" spc="0" baseline="0">
                  <a:ln/>
                  <a:solidFill>
                    <a:schemeClr val="accent4"/>
                  </a:solidFill>
                  <a:effectLst/>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003304419661297"/>
              <c:y val="6.894174422612892E-3"/>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cap="none" spc="0" baseline="0">
                  <a:ln/>
                  <a:solidFill>
                    <a:schemeClr val="accent4"/>
                  </a:solidFill>
                  <a:effectLst/>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3630731102850047"/>
              <c:y val="-5.170630816959669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cap="none" spc="0" baseline="0">
                  <a:ln/>
                  <a:solidFill>
                    <a:schemeClr val="accent4"/>
                  </a:solidFill>
                  <a:effectLst/>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cap="none" spc="0" baseline="0">
                  <a:ln/>
                  <a:solidFill>
                    <a:schemeClr val="accent4"/>
                  </a:solidFill>
                  <a:effectLst/>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3630731102850047"/>
              <c:y val="-5.170630816959669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cap="none" spc="0" baseline="0">
                  <a:ln/>
                  <a:solidFill>
                    <a:schemeClr val="accent4"/>
                  </a:solidFill>
                  <a:effectLst/>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003304419661297"/>
              <c:y val="6.894174422612892E-3"/>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cap="none" spc="0" baseline="0">
                  <a:ln/>
                  <a:solidFill>
                    <a:schemeClr val="accent4"/>
                  </a:solidFill>
                  <a:effectLst/>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cap="none" spc="50" baseline="0">
                  <a:ln w="0"/>
                  <a:solidFill>
                    <a:schemeClr val="accent3">
                      <a:lumMod val="20000"/>
                      <a:lumOff val="80000"/>
                    </a:schemeClr>
                  </a:solidFill>
                  <a:effectLst>
                    <a:innerShdw blurRad="63500" dist="50800" dir="13500000">
                      <a:srgbClr val="000000">
                        <a:alpha val="50000"/>
                      </a:srgbClr>
                    </a:innerShdw>
                  </a:effectLst>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gradFill rotWithShape="1">
            <a:gsLst>
              <a:gs pos="0">
                <a:schemeClr val="accent1">
                  <a:tint val="50000"/>
                  <a:satMod val="103000"/>
                  <a:lumMod val="102000"/>
                  <a:tint val="94000"/>
                </a:schemeClr>
              </a:gs>
              <a:gs pos="50000">
                <a:schemeClr val="accent1">
                  <a:tint val="50000"/>
                  <a:satMod val="110000"/>
                  <a:lumMod val="100000"/>
                  <a:shade val="100000"/>
                </a:schemeClr>
              </a:gs>
              <a:gs pos="100000">
                <a:schemeClr val="accent1">
                  <a:tint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tint val="70000"/>
                  <a:satMod val="103000"/>
                  <a:lumMod val="102000"/>
                  <a:tint val="94000"/>
                </a:schemeClr>
              </a:gs>
              <a:gs pos="50000">
                <a:schemeClr val="accent1">
                  <a:tint val="70000"/>
                  <a:satMod val="110000"/>
                  <a:lumMod val="100000"/>
                  <a:shade val="100000"/>
                </a:schemeClr>
              </a:gs>
              <a:gs pos="100000">
                <a:schemeClr val="accent1">
                  <a:tint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tint val="90000"/>
                  <a:satMod val="103000"/>
                  <a:lumMod val="102000"/>
                  <a:tint val="94000"/>
                </a:schemeClr>
              </a:gs>
              <a:gs pos="50000">
                <a:schemeClr val="accent1">
                  <a:tint val="90000"/>
                  <a:satMod val="110000"/>
                  <a:lumMod val="100000"/>
                  <a:shade val="100000"/>
                </a:schemeClr>
              </a:gs>
              <a:gs pos="100000">
                <a:schemeClr val="accent1">
                  <a:tint val="9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7447335811647963E-2"/>
              <c:y val="-1.8133651382343017E-16"/>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cap="none" spc="50" baseline="0">
                  <a:ln w="0"/>
                  <a:solidFill>
                    <a:schemeClr val="accent3">
                      <a:lumMod val="20000"/>
                      <a:lumOff val="80000"/>
                    </a:schemeClr>
                  </a:solidFill>
                  <a:effectLst>
                    <a:innerShdw blurRad="63500" dist="50800" dir="13500000">
                      <a:srgbClr val="000000">
                        <a:alpha val="50000"/>
                      </a:srgbClr>
                    </a:innerShdw>
                  </a:effectLst>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gradFill rotWithShape="1">
            <a:gsLst>
              <a:gs pos="0">
                <a:schemeClr val="accent1">
                  <a:shade val="90000"/>
                  <a:satMod val="103000"/>
                  <a:lumMod val="102000"/>
                  <a:tint val="94000"/>
                </a:schemeClr>
              </a:gs>
              <a:gs pos="50000">
                <a:schemeClr val="accent1">
                  <a:shade val="90000"/>
                  <a:satMod val="110000"/>
                  <a:lumMod val="100000"/>
                  <a:shade val="100000"/>
                </a:schemeClr>
              </a:gs>
              <a:gs pos="100000">
                <a:schemeClr val="accent1">
                  <a:shade val="9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hade val="70000"/>
                  <a:satMod val="103000"/>
                  <a:lumMod val="102000"/>
                  <a:tint val="94000"/>
                </a:schemeClr>
              </a:gs>
              <a:gs pos="50000">
                <a:schemeClr val="accent1">
                  <a:shade val="70000"/>
                  <a:satMod val="110000"/>
                  <a:lumMod val="100000"/>
                  <a:shade val="100000"/>
                </a:schemeClr>
              </a:gs>
              <a:gs pos="100000">
                <a:schemeClr val="accent1">
                  <a:shade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hade val="50000"/>
                  <a:satMod val="103000"/>
                  <a:lumMod val="102000"/>
                  <a:tint val="94000"/>
                </a:schemeClr>
              </a:gs>
              <a:gs pos="50000">
                <a:schemeClr val="accent1">
                  <a:shade val="50000"/>
                  <a:satMod val="110000"/>
                  <a:lumMod val="100000"/>
                  <a:shade val="100000"/>
                </a:schemeClr>
              </a:gs>
              <a:gs pos="100000">
                <a:schemeClr val="accent1">
                  <a:shade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6109045848822801"/>
              <c:y val="0"/>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cap="none" spc="50" baseline="0">
                  <a:ln w="0"/>
                  <a:solidFill>
                    <a:schemeClr val="accent3">
                      <a:lumMod val="20000"/>
                      <a:lumOff val="80000"/>
                    </a:schemeClr>
                  </a:solidFill>
                  <a:effectLst>
                    <a:innerShdw blurRad="63500" dist="50800" dir="13500000">
                      <a:srgbClr val="000000">
                        <a:alpha val="50000"/>
                      </a:srgbClr>
                    </a:innerShdw>
                  </a:effectLst>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31489894946395219"/>
          <c:y val="8.0468418838234301E-2"/>
          <c:w val="0.55808233078671854"/>
          <c:h val="0.93148384890358193"/>
        </c:manualLayout>
      </c:layout>
      <c:pieChart>
        <c:varyColors val="1"/>
        <c:ser>
          <c:idx val="0"/>
          <c:order val="0"/>
          <c:tx>
            <c:strRef>
              <c:f>'cash VS card'!$B$3</c:f>
              <c:strCache>
                <c:ptCount val="1"/>
                <c:pt idx="0">
                  <c:v>Total</c:v>
                </c:pt>
              </c:strCache>
            </c:strRef>
          </c:tx>
          <c:dPt>
            <c:idx val="0"/>
            <c:bubble3D val="0"/>
            <c:spPr>
              <a:gradFill rotWithShape="1">
                <a:gsLst>
                  <a:gs pos="0">
                    <a:schemeClr val="accent1">
                      <a:tint val="50000"/>
                      <a:satMod val="103000"/>
                      <a:lumMod val="102000"/>
                      <a:tint val="94000"/>
                    </a:schemeClr>
                  </a:gs>
                  <a:gs pos="50000">
                    <a:schemeClr val="accent1">
                      <a:tint val="50000"/>
                      <a:satMod val="110000"/>
                      <a:lumMod val="100000"/>
                      <a:shade val="100000"/>
                    </a:schemeClr>
                  </a:gs>
                  <a:gs pos="100000">
                    <a:schemeClr val="accent1">
                      <a:tint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B3C-446C-9B33-5BF34D49EA2C}"/>
              </c:ext>
            </c:extLst>
          </c:dPt>
          <c:dPt>
            <c:idx val="1"/>
            <c:bubble3D val="0"/>
            <c:spPr>
              <a:gradFill rotWithShape="1">
                <a:gsLst>
                  <a:gs pos="0">
                    <a:schemeClr val="accent1">
                      <a:tint val="70000"/>
                      <a:satMod val="103000"/>
                      <a:lumMod val="102000"/>
                      <a:tint val="94000"/>
                    </a:schemeClr>
                  </a:gs>
                  <a:gs pos="50000">
                    <a:schemeClr val="accent1">
                      <a:tint val="70000"/>
                      <a:satMod val="110000"/>
                      <a:lumMod val="100000"/>
                      <a:shade val="100000"/>
                    </a:schemeClr>
                  </a:gs>
                  <a:gs pos="100000">
                    <a:schemeClr val="accent1">
                      <a:tint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B3C-446C-9B33-5BF34D49EA2C}"/>
              </c:ext>
            </c:extLst>
          </c:dPt>
          <c:dPt>
            <c:idx val="2"/>
            <c:bubble3D val="0"/>
            <c:spPr>
              <a:gradFill rotWithShape="1">
                <a:gsLst>
                  <a:gs pos="0">
                    <a:schemeClr val="accent1">
                      <a:tint val="90000"/>
                      <a:satMod val="103000"/>
                      <a:lumMod val="102000"/>
                      <a:tint val="94000"/>
                    </a:schemeClr>
                  </a:gs>
                  <a:gs pos="50000">
                    <a:schemeClr val="accent1">
                      <a:tint val="90000"/>
                      <a:satMod val="110000"/>
                      <a:lumMod val="100000"/>
                      <a:shade val="100000"/>
                    </a:schemeClr>
                  </a:gs>
                  <a:gs pos="100000">
                    <a:schemeClr val="accent1">
                      <a:tint val="9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B3C-446C-9B33-5BF34D49EA2C}"/>
              </c:ext>
            </c:extLst>
          </c:dPt>
          <c:dPt>
            <c:idx val="3"/>
            <c:bubble3D val="0"/>
            <c:spPr>
              <a:gradFill rotWithShape="1">
                <a:gsLst>
                  <a:gs pos="0">
                    <a:schemeClr val="accent1">
                      <a:shade val="90000"/>
                      <a:satMod val="103000"/>
                      <a:lumMod val="102000"/>
                      <a:tint val="94000"/>
                    </a:schemeClr>
                  </a:gs>
                  <a:gs pos="50000">
                    <a:schemeClr val="accent1">
                      <a:shade val="90000"/>
                      <a:satMod val="110000"/>
                      <a:lumMod val="100000"/>
                      <a:shade val="100000"/>
                    </a:schemeClr>
                  </a:gs>
                  <a:gs pos="100000">
                    <a:schemeClr val="accent1">
                      <a:shade val="9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CB3C-446C-9B33-5BF34D49EA2C}"/>
              </c:ext>
            </c:extLst>
          </c:dPt>
          <c:dPt>
            <c:idx val="4"/>
            <c:bubble3D val="0"/>
            <c:spPr>
              <a:gradFill rotWithShape="1">
                <a:gsLst>
                  <a:gs pos="0">
                    <a:schemeClr val="accent1">
                      <a:shade val="70000"/>
                      <a:satMod val="103000"/>
                      <a:lumMod val="102000"/>
                      <a:tint val="94000"/>
                    </a:schemeClr>
                  </a:gs>
                  <a:gs pos="50000">
                    <a:schemeClr val="accent1">
                      <a:shade val="70000"/>
                      <a:satMod val="110000"/>
                      <a:lumMod val="100000"/>
                      <a:shade val="100000"/>
                    </a:schemeClr>
                  </a:gs>
                  <a:gs pos="100000">
                    <a:schemeClr val="accent1">
                      <a:shade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CB3C-446C-9B33-5BF34D49EA2C}"/>
              </c:ext>
            </c:extLst>
          </c:dPt>
          <c:dPt>
            <c:idx val="5"/>
            <c:bubble3D val="0"/>
            <c:spPr>
              <a:gradFill rotWithShape="1">
                <a:gsLst>
                  <a:gs pos="0">
                    <a:schemeClr val="accent1">
                      <a:shade val="50000"/>
                      <a:satMod val="103000"/>
                      <a:lumMod val="102000"/>
                      <a:tint val="94000"/>
                    </a:schemeClr>
                  </a:gs>
                  <a:gs pos="50000">
                    <a:schemeClr val="accent1">
                      <a:shade val="50000"/>
                      <a:satMod val="110000"/>
                      <a:lumMod val="100000"/>
                      <a:shade val="100000"/>
                    </a:schemeClr>
                  </a:gs>
                  <a:gs pos="100000">
                    <a:schemeClr val="accent1">
                      <a:shade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CB3C-446C-9B33-5BF34D49EA2C}"/>
              </c:ext>
            </c:extLst>
          </c:dPt>
          <c:dLbls>
            <c:dLbl>
              <c:idx val="2"/>
              <c:layout>
                <c:manualLayout>
                  <c:x val="7.7447335811647963E-2"/>
                  <c:y val="-1.8133651382343017E-16"/>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B3C-446C-9B33-5BF34D49EA2C}"/>
                </c:ext>
              </c:extLst>
            </c:dLbl>
            <c:dLbl>
              <c:idx val="5"/>
              <c:layout>
                <c:manualLayout>
                  <c:x val="-0.16109045848822801"/>
                  <c:y val="0"/>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B3C-446C-9B33-5BF34D49EA2C}"/>
                </c:ext>
              </c:extLst>
            </c:dLbl>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cap="none" spc="50" baseline="0">
                    <a:ln w="0"/>
                    <a:solidFill>
                      <a:schemeClr val="accent3">
                        <a:lumMod val="20000"/>
                        <a:lumOff val="80000"/>
                      </a:schemeClr>
                    </a:solidFill>
                    <a:effectLst>
                      <a:innerShdw blurRad="63500" dist="50800" dir="13500000">
                        <a:srgbClr val="000000">
                          <a:alpha val="50000"/>
                        </a:srgbClr>
                      </a:innerShdw>
                    </a:effectLst>
                    <a:latin typeface="+mn-lt"/>
                    <a:ea typeface="+mn-ea"/>
                    <a:cs typeface="+mn-cs"/>
                  </a:defRPr>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multiLvlStrRef>
              <c:f>'cash VS card'!$A$4:$A$13</c:f>
              <c:multiLvlStrCache>
                <c:ptCount val="6"/>
                <c:lvl>
                  <c:pt idx="0">
                    <c:v>card</c:v>
                  </c:pt>
                  <c:pt idx="1">
                    <c:v>cash</c:v>
                  </c:pt>
                  <c:pt idx="2">
                    <c:v>card</c:v>
                  </c:pt>
                  <c:pt idx="3">
                    <c:v>cash</c:v>
                  </c:pt>
                  <c:pt idx="4">
                    <c:v>card</c:v>
                  </c:pt>
                  <c:pt idx="5">
                    <c:v>cash</c:v>
                  </c:pt>
                </c:lvl>
                <c:lvl>
                  <c:pt idx="0">
                    <c:v>Afternoon</c:v>
                  </c:pt>
                  <c:pt idx="2">
                    <c:v>Morning</c:v>
                  </c:pt>
                  <c:pt idx="4">
                    <c:v>Night</c:v>
                  </c:pt>
                </c:lvl>
              </c:multiLvlStrCache>
            </c:multiLvlStrRef>
          </c:cat>
          <c:val>
            <c:numRef>
              <c:f>'cash VS card'!$B$4:$B$13</c:f>
              <c:numCache>
                <c:formatCode>_ [$₹-4009]\ * #,##0.00_ ;_ [$₹-4009]\ * \-#,##0.00_ ;_ [$₹-4009]\ * "-"??_ ;_ @_ </c:formatCode>
                <c:ptCount val="6"/>
                <c:pt idx="0">
                  <c:v>18254.019999999931</c:v>
                </c:pt>
                <c:pt idx="1">
                  <c:v>888</c:v>
                </c:pt>
                <c:pt idx="2">
                  <c:v>19484.259999999962</c:v>
                </c:pt>
                <c:pt idx="3">
                  <c:v>1451</c:v>
                </c:pt>
                <c:pt idx="4">
                  <c:v>22339.639999999785</c:v>
                </c:pt>
                <c:pt idx="5">
                  <c:v>847</c:v>
                </c:pt>
              </c:numCache>
            </c:numRef>
          </c:val>
          <c:extLst>
            <c:ext xmlns:c16="http://schemas.microsoft.com/office/drawing/2014/chart" uri="{C3380CC4-5D6E-409C-BE32-E72D297353CC}">
              <c16:uniqueId val="{0000000C-CB3C-446C-9B33-5BF34D49EA2C}"/>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7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project.xlsx]sales by month !PivotTable3</c:name>
    <c:fmtId val="8"/>
  </c:pivotSource>
  <c:chart>
    <c:title>
      <c:tx>
        <c:rich>
          <a:bodyPr rot="0" spcFirstLastPara="1" vertOverflow="ellipsis" vert="horz" wrap="square" anchor="ctr" anchorCtr="1"/>
          <a:lstStyle/>
          <a:p>
            <a:pPr>
              <a:defRPr sz="1050" b="1" i="0" u="none" strike="noStrike" kern="1200" spc="100" baseline="0">
                <a:solidFill>
                  <a:schemeClr val="accent3">
                    <a:lumMod val="20000"/>
                    <a:lumOff val="80000"/>
                  </a:schemeClr>
                </a:solidFill>
                <a:effectLst>
                  <a:outerShdw blurRad="50800" dist="38100" dir="5400000" algn="t" rotWithShape="0">
                    <a:prstClr val="black">
                      <a:alpha val="40000"/>
                    </a:prstClr>
                  </a:outerShdw>
                </a:effectLst>
                <a:latin typeface="Arial Black" panose="020B0A04020102020204" pitchFamily="34" charset="0"/>
                <a:ea typeface="+mn-ea"/>
                <a:cs typeface="+mn-cs"/>
              </a:defRPr>
            </a:pPr>
            <a:r>
              <a:rPr lang="en-IN" sz="1050">
                <a:solidFill>
                  <a:schemeClr val="accent3">
                    <a:lumMod val="40000"/>
                    <a:lumOff val="60000"/>
                  </a:schemeClr>
                </a:solidFill>
                <a:latin typeface="Arial Black" panose="020B0A04020102020204" pitchFamily="34" charset="0"/>
              </a:rPr>
              <a:t>SALES</a:t>
            </a:r>
            <a:r>
              <a:rPr lang="en-IN" sz="1050" baseline="0">
                <a:solidFill>
                  <a:schemeClr val="accent3">
                    <a:lumMod val="40000"/>
                    <a:lumOff val="60000"/>
                  </a:schemeClr>
                </a:solidFill>
                <a:latin typeface="Arial Black" panose="020B0A04020102020204" pitchFamily="34" charset="0"/>
              </a:rPr>
              <a:t> BY MONTH</a:t>
            </a:r>
            <a:endParaRPr lang="en-IN" sz="1050">
              <a:solidFill>
                <a:schemeClr val="accent3">
                  <a:lumMod val="40000"/>
                  <a:lumOff val="60000"/>
                </a:schemeClr>
              </a:solidFill>
              <a:latin typeface="Arial Black" panose="020B0A04020102020204" pitchFamily="34" charset="0"/>
            </a:endParaRPr>
          </a:p>
        </c:rich>
      </c:tx>
      <c:layout>
        <c:manualLayout>
          <c:xMode val="edge"/>
          <c:yMode val="edge"/>
          <c:x val="1.7949702041961735E-3"/>
          <c:y val="0"/>
        </c:manualLayout>
      </c:layout>
      <c:overlay val="1"/>
      <c:spPr>
        <a:noFill/>
        <a:ln>
          <a:noFill/>
        </a:ln>
        <a:effectLst/>
      </c:spPr>
      <c:txPr>
        <a:bodyPr rot="0" spcFirstLastPara="1" vertOverflow="ellipsis" vert="horz" wrap="square" anchor="ctr" anchorCtr="1"/>
        <a:lstStyle/>
        <a:p>
          <a:pPr>
            <a:defRPr sz="1050" b="1" i="0" u="none" strike="noStrike" kern="1200" spc="100" baseline="0">
              <a:solidFill>
                <a:schemeClr val="accent3">
                  <a:lumMod val="20000"/>
                  <a:lumOff val="80000"/>
                </a:schemeClr>
              </a:solidFill>
              <a:effectLst>
                <a:outerShdw blurRad="50800" dist="38100" dir="5400000" algn="t" rotWithShape="0">
                  <a:prstClr val="black">
                    <a:alpha val="40000"/>
                  </a:prstClr>
                </a:outerShdw>
              </a:effectLst>
              <a:latin typeface="Arial Black" panose="020B0A04020102020204" pitchFamily="34" charset="0"/>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3">
                      <a:lumMod val="20000"/>
                      <a:lumOff val="8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3">
                      <a:lumMod val="20000"/>
                      <a:lumOff val="8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571072483864046"/>
          <c:y val="7.470755777978845E-2"/>
          <c:w val="0.78558906551775365"/>
          <c:h val="0.84069422145128991"/>
        </c:manualLayout>
      </c:layout>
      <c:barChart>
        <c:barDir val="bar"/>
        <c:grouping val="clustered"/>
        <c:varyColors val="0"/>
        <c:ser>
          <c:idx val="0"/>
          <c:order val="0"/>
          <c:tx>
            <c:strRef>
              <c:f>'sales by month '!$B$3</c:f>
              <c:strCache>
                <c:ptCount val="1"/>
                <c:pt idx="0">
                  <c:v>Sum of hour_of_day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accent3">
                        <a:lumMod val="20000"/>
                        <a:lumOff val="80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'sales by month '!$A$4:$A$12</c:f>
              <c:strCache>
                <c:ptCount val="8"/>
                <c:pt idx="0">
                  <c:v>Mar</c:v>
                </c:pt>
                <c:pt idx="1">
                  <c:v>Apr</c:v>
                </c:pt>
                <c:pt idx="2">
                  <c:v>May</c:v>
                </c:pt>
                <c:pt idx="3">
                  <c:v>Jun</c:v>
                </c:pt>
                <c:pt idx="4">
                  <c:v>Jul</c:v>
                </c:pt>
                <c:pt idx="5">
                  <c:v>Aug</c:v>
                </c:pt>
                <c:pt idx="6">
                  <c:v>Sep</c:v>
                </c:pt>
                <c:pt idx="7">
                  <c:v>Oct</c:v>
                </c:pt>
              </c:strCache>
            </c:strRef>
          </c:cat>
          <c:val>
            <c:numRef>
              <c:f>'sales by month '!$B$4:$B$12</c:f>
              <c:numCache>
                <c:formatCode>General</c:formatCode>
                <c:ptCount val="8"/>
                <c:pt idx="0">
                  <c:v>2822</c:v>
                </c:pt>
                <c:pt idx="1">
                  <c:v>2829</c:v>
                </c:pt>
                <c:pt idx="2">
                  <c:v>3996</c:v>
                </c:pt>
                <c:pt idx="3">
                  <c:v>3481</c:v>
                </c:pt>
                <c:pt idx="4">
                  <c:v>3360</c:v>
                </c:pt>
                <c:pt idx="5">
                  <c:v>3674</c:v>
                </c:pt>
                <c:pt idx="6">
                  <c:v>4954</c:v>
                </c:pt>
                <c:pt idx="7">
                  <c:v>3508</c:v>
                </c:pt>
              </c:numCache>
            </c:numRef>
          </c:val>
          <c:extLst>
            <c:ext xmlns:c16="http://schemas.microsoft.com/office/drawing/2014/chart" uri="{C3380CC4-5D6E-409C-BE32-E72D297353CC}">
              <c16:uniqueId val="{00000000-C303-4528-B6F5-FF0A445EE7ED}"/>
            </c:ext>
          </c:extLst>
        </c:ser>
        <c:ser>
          <c:idx val="1"/>
          <c:order val="1"/>
          <c:tx>
            <c:strRef>
              <c:f>'sales by month '!$C$3</c:f>
              <c:strCache>
                <c:ptCount val="1"/>
                <c:pt idx="0">
                  <c:v>Sum of money</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accent3">
                        <a:lumMod val="20000"/>
                        <a:lumOff val="80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'sales by month '!$A$4:$A$12</c:f>
              <c:strCache>
                <c:ptCount val="8"/>
                <c:pt idx="0">
                  <c:v>Mar</c:v>
                </c:pt>
                <c:pt idx="1">
                  <c:v>Apr</c:v>
                </c:pt>
                <c:pt idx="2">
                  <c:v>May</c:v>
                </c:pt>
                <c:pt idx="3">
                  <c:v>Jun</c:v>
                </c:pt>
                <c:pt idx="4">
                  <c:v>Jul</c:v>
                </c:pt>
                <c:pt idx="5">
                  <c:v>Aug</c:v>
                </c:pt>
                <c:pt idx="6">
                  <c:v>Sep</c:v>
                </c:pt>
                <c:pt idx="7">
                  <c:v>Oct</c:v>
                </c:pt>
              </c:strCache>
            </c:strRef>
          </c:cat>
          <c:val>
            <c:numRef>
              <c:f>'sales by month '!$C$4:$C$12</c:f>
              <c:numCache>
                <c:formatCode>_ [$₹-4009]\ * #,##0.00_ ;_ [$₹-4009]\ * \-#,##0.00_ ;_ [$₹-4009]\ * "-"??_ ;_ @_ </c:formatCode>
                <c:ptCount val="8"/>
                <c:pt idx="0">
                  <c:v>7050.1999999999871</c:v>
                </c:pt>
                <c:pt idx="1">
                  <c:v>6720.5600000000013</c:v>
                </c:pt>
                <c:pt idx="2">
                  <c:v>9063.4200000000019</c:v>
                </c:pt>
                <c:pt idx="3">
                  <c:v>7758.7600000000048</c:v>
                </c:pt>
                <c:pt idx="4">
                  <c:v>6915.940000000006</c:v>
                </c:pt>
                <c:pt idx="5">
                  <c:v>7613.8400000000147</c:v>
                </c:pt>
                <c:pt idx="6">
                  <c:v>9988.6400000000067</c:v>
                </c:pt>
                <c:pt idx="7">
                  <c:v>8152.5600000000222</c:v>
                </c:pt>
              </c:numCache>
            </c:numRef>
          </c:val>
          <c:extLst>
            <c:ext xmlns:c16="http://schemas.microsoft.com/office/drawing/2014/chart" uri="{C3380CC4-5D6E-409C-BE32-E72D297353CC}">
              <c16:uniqueId val="{00000001-C303-4528-B6F5-FF0A445EE7ED}"/>
            </c:ext>
          </c:extLst>
        </c:ser>
        <c:dLbls>
          <c:dLblPos val="inEnd"/>
          <c:showLegendKey val="0"/>
          <c:showVal val="1"/>
          <c:showCatName val="0"/>
          <c:showSerName val="0"/>
          <c:showPercent val="0"/>
          <c:showBubbleSize val="0"/>
        </c:dLbls>
        <c:gapWidth val="115"/>
        <c:overlap val="-20"/>
        <c:axId val="1301785823"/>
        <c:axId val="1301782943"/>
      </c:barChart>
      <c:catAx>
        <c:axId val="130178582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accent3">
                    <a:lumMod val="20000"/>
                    <a:lumOff val="80000"/>
                  </a:schemeClr>
                </a:solidFill>
                <a:latin typeface="+mn-lt"/>
                <a:ea typeface="+mn-ea"/>
                <a:cs typeface="+mn-cs"/>
              </a:defRPr>
            </a:pPr>
            <a:endParaRPr lang="en-US"/>
          </a:p>
        </c:txPr>
        <c:crossAx val="1301782943"/>
        <c:crosses val="autoZero"/>
        <c:auto val="1"/>
        <c:lblAlgn val="ctr"/>
        <c:lblOffset val="100"/>
        <c:noMultiLvlLbl val="0"/>
      </c:catAx>
      <c:valAx>
        <c:axId val="1301782943"/>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3">
                    <a:lumMod val="20000"/>
                    <a:lumOff val="80000"/>
                  </a:schemeClr>
                </a:solidFill>
                <a:latin typeface="+mn-lt"/>
                <a:ea typeface="+mn-ea"/>
                <a:cs typeface="+mn-cs"/>
              </a:defRPr>
            </a:pPr>
            <a:endParaRPr lang="en-US"/>
          </a:p>
        </c:txPr>
        <c:crossAx val="1301785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75000"/>
      </a:schemeClr>
    </a:solidFill>
    <a:ln>
      <a:noFill/>
    </a:ln>
    <a:effectLst/>
  </c:spPr>
  <c:txPr>
    <a:bodyPr/>
    <a:lstStyle/>
    <a:p>
      <a:pPr>
        <a:defRPr>
          <a:solidFill>
            <a:schemeClr val="accent3">
              <a:lumMod val="20000"/>
              <a:lumOff val="8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[coffee sales project.xlsx]sales by weekday !PivotTable4</c:name>
    <c:fmtId val="7"/>
  </c:pivotSource>
  <c:chart>
    <c:autoTitleDeleted val="1"/>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gradFill>
            <a:ln>
              <a:solidFill>
                <a:schemeClr val="accent4"/>
              </a:solidFill>
            </a:ln>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34925" cap="rnd">
            <a:solidFill>
              <a:schemeClr val="accent4">
                <a:tint val="62000"/>
              </a:schemeClr>
            </a:solidFill>
            <a:round/>
          </a:ln>
          <a:effectLst>
            <a:outerShdw blurRad="57150" dist="19050" dir="5400000" algn="ctr" rotWithShape="0">
              <a:srgbClr val="000000">
                <a:alpha val="63000"/>
              </a:srgbClr>
            </a:outerShdw>
          </a:effectLst>
        </c:spPr>
        <c:marker>
          <c:symbol val="circle"/>
          <c:size val="6"/>
          <c:spPr>
            <a:gradFill>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gradFill>
            <a:ln>
              <a:solidFill>
                <a:schemeClr val="accent4"/>
              </a:solidFill>
            </a:ln>
          </c:spPr>
        </c:marker>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34925" cap="rnd">
            <a:solidFill>
              <a:schemeClr val="accent4">
                <a:tint val="62000"/>
              </a:schemeClr>
            </a:solidFill>
            <a:round/>
          </a:ln>
          <a:effectLst>
            <a:outerShdw blurRad="57150" dist="19050" dir="5400000" algn="ctr" rotWithShape="0">
              <a:srgbClr val="000000">
                <a:alpha val="63000"/>
              </a:srgbClr>
            </a:outerShdw>
          </a:effectLst>
        </c:spPr>
        <c:marker>
          <c:symbol val="circle"/>
          <c:size val="6"/>
          <c:spPr>
            <a:gradFill>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gradFill>
            <a:ln>
              <a:solidFill>
                <a:schemeClr val="accent4"/>
              </a:solidFill>
            </a:ln>
          </c:spPr>
        </c:marker>
      </c:pivotFmt>
      <c:pivotFmt>
        <c:idx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a:gsLst>
                <a:gs pos="0">
                  <a:schemeClr val="accent4">
                    <a:tint val="93000"/>
                    <a:satMod val="103000"/>
                    <a:lumMod val="102000"/>
                    <a:tint val="94000"/>
                  </a:schemeClr>
                </a:gs>
                <a:gs pos="50000">
                  <a:schemeClr val="accent4">
                    <a:tint val="93000"/>
                    <a:satMod val="110000"/>
                    <a:lumMod val="100000"/>
                    <a:shade val="100000"/>
                  </a:schemeClr>
                </a:gs>
                <a:gs pos="100000">
                  <a:schemeClr val="accent4">
                    <a:tint val="93000"/>
                    <a:lumMod val="99000"/>
                    <a:satMod val="120000"/>
                    <a:shade val="78000"/>
                  </a:schemeClr>
                </a:gs>
              </a:gsLst>
            </a:gradFill>
            <a:ln>
              <a:solidFill>
                <a:schemeClr val="accent4">
                  <a:tint val="93000"/>
                </a:schemeClr>
              </a:solidFill>
            </a:ln>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gradFill>
            <a:ln>
              <a:solidFill>
                <a:schemeClr val="accent4">
                  <a:tint val="77000"/>
                </a:schemeClr>
              </a:solidFill>
            </a:ln>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a:gsLst>
                <a:gs pos="0">
                  <a:schemeClr val="accent4">
                    <a:tint val="46000"/>
                    <a:satMod val="103000"/>
                    <a:lumMod val="102000"/>
                    <a:tint val="94000"/>
                  </a:schemeClr>
                </a:gs>
                <a:gs pos="50000">
                  <a:schemeClr val="accent4">
                    <a:tint val="46000"/>
                    <a:satMod val="110000"/>
                    <a:lumMod val="100000"/>
                    <a:shade val="100000"/>
                  </a:schemeClr>
                </a:gs>
                <a:gs pos="100000">
                  <a:schemeClr val="accent4">
                    <a:tint val="46000"/>
                    <a:lumMod val="99000"/>
                    <a:satMod val="120000"/>
                    <a:shade val="78000"/>
                  </a:schemeClr>
                </a:gs>
              </a:gsLst>
            </a:gradFill>
            <a:ln>
              <a:solidFill>
                <a:schemeClr val="accent4">
                  <a:tint val="46000"/>
                </a:schemeClr>
              </a:solidFill>
            </a:ln>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34925" cap="rnd">
            <a:solidFill>
              <a:schemeClr val="accent4"/>
            </a:solidFill>
            <a:round/>
          </a:ln>
          <a:effectLst>
            <a:outerShdw blurRad="57150" dist="19050" dir="5400000" algn="ctr" rotWithShape="0">
              <a:srgbClr val="000000">
                <a:alpha val="63000"/>
              </a:srgbClr>
            </a:outerShdw>
          </a:effectLst>
        </c:spPr>
        <c:marker>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015105516943324"/>
          <c:y val="6.8103751665226392E-2"/>
          <c:w val="0.60995360861577885"/>
          <c:h val="0.89717699214510638"/>
        </c:manualLayout>
      </c:layout>
      <c:ofPieChart>
        <c:ofPieType val="pie"/>
        <c:varyColors val="1"/>
        <c:ser>
          <c:idx val="0"/>
          <c:order val="0"/>
          <c:tx>
            <c:strRef>
              <c:f>'sales by weekday '!$B$3:$B$4</c:f>
              <c:strCache>
                <c:ptCount val="1"/>
                <c:pt idx="0">
                  <c:v>Americano</c:v>
                </c:pt>
              </c:strCache>
            </c:strRef>
          </c:tx>
          <c:dPt>
            <c:idx val="0"/>
            <c:bubble3D val="0"/>
            <c:spPr>
              <a:gradFill rotWithShape="1">
                <a:gsLst>
                  <a:gs pos="0">
                    <a:schemeClr val="accent4">
                      <a:shade val="47000"/>
                      <a:satMod val="103000"/>
                      <a:lumMod val="102000"/>
                      <a:tint val="94000"/>
                    </a:schemeClr>
                  </a:gs>
                  <a:gs pos="50000">
                    <a:schemeClr val="accent4">
                      <a:shade val="47000"/>
                      <a:satMod val="110000"/>
                      <a:lumMod val="100000"/>
                      <a:shade val="100000"/>
                    </a:schemeClr>
                  </a:gs>
                  <a:gs pos="100000">
                    <a:schemeClr val="accent4">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4">
                      <a:shade val="65000"/>
                      <a:satMod val="103000"/>
                      <a:lumMod val="102000"/>
                      <a:tint val="94000"/>
                    </a:schemeClr>
                  </a:gs>
                  <a:gs pos="50000">
                    <a:schemeClr val="accent4">
                      <a:shade val="65000"/>
                      <a:satMod val="110000"/>
                      <a:lumMod val="100000"/>
                      <a:shade val="100000"/>
                    </a:schemeClr>
                  </a:gs>
                  <a:gs pos="100000">
                    <a:schemeClr val="accent4">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4">
                      <a:shade val="82000"/>
                      <a:satMod val="103000"/>
                      <a:lumMod val="102000"/>
                      <a:tint val="94000"/>
                    </a:schemeClr>
                  </a:gs>
                  <a:gs pos="50000">
                    <a:schemeClr val="accent4">
                      <a:shade val="82000"/>
                      <a:satMod val="110000"/>
                      <a:lumMod val="100000"/>
                      <a:shade val="100000"/>
                    </a:schemeClr>
                  </a:gs>
                  <a:gs pos="100000">
                    <a:schemeClr val="accent4">
                      <a:shade val="82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4">
                      <a:tint val="83000"/>
                      <a:satMod val="103000"/>
                      <a:lumMod val="102000"/>
                      <a:tint val="94000"/>
                    </a:schemeClr>
                  </a:gs>
                  <a:gs pos="50000">
                    <a:schemeClr val="accent4">
                      <a:tint val="83000"/>
                      <a:satMod val="110000"/>
                      <a:lumMod val="100000"/>
                      <a:shade val="100000"/>
                    </a:schemeClr>
                  </a:gs>
                  <a:gs pos="100000">
                    <a:schemeClr val="accent4">
                      <a:tint val="83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5"/>
            <c:bubble3D val="0"/>
            <c:spPr>
              <a:gradFill rotWithShape="1">
                <a:gsLst>
                  <a:gs pos="0">
                    <a:schemeClr val="accent4">
                      <a:tint val="65000"/>
                      <a:satMod val="103000"/>
                      <a:lumMod val="102000"/>
                      <a:tint val="94000"/>
                    </a:schemeClr>
                  </a:gs>
                  <a:gs pos="50000">
                    <a:schemeClr val="accent4">
                      <a:tint val="65000"/>
                      <a:satMod val="110000"/>
                      <a:lumMod val="100000"/>
                      <a:shade val="100000"/>
                    </a:schemeClr>
                  </a:gs>
                  <a:gs pos="100000">
                    <a:schemeClr val="accent4">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6"/>
            <c:bubble3D val="0"/>
            <c:spPr>
              <a:gradFill rotWithShape="1">
                <a:gsLst>
                  <a:gs pos="0">
                    <a:schemeClr val="accent4">
                      <a:tint val="48000"/>
                      <a:satMod val="103000"/>
                      <a:lumMod val="102000"/>
                      <a:tint val="94000"/>
                    </a:schemeClr>
                  </a:gs>
                  <a:gs pos="50000">
                    <a:schemeClr val="accent4">
                      <a:tint val="48000"/>
                      <a:satMod val="110000"/>
                      <a:lumMod val="100000"/>
                      <a:shade val="100000"/>
                    </a:schemeClr>
                  </a:gs>
                  <a:gs pos="100000">
                    <a:schemeClr val="accent4">
                      <a:tint val="48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7"/>
            <c:bubble3D val="0"/>
            <c:spPr>
              <a:gradFill rotWithShape="1">
                <a:gsLst>
                  <a:gs pos="0">
                    <a:schemeClr val="accent4">
                      <a:tint val="30000"/>
                      <a:satMod val="103000"/>
                      <a:lumMod val="102000"/>
                      <a:tint val="94000"/>
                    </a:schemeClr>
                  </a:gs>
                  <a:gs pos="50000">
                    <a:schemeClr val="accent4">
                      <a:tint val="30000"/>
                      <a:satMod val="110000"/>
                      <a:lumMod val="100000"/>
                      <a:shade val="100000"/>
                    </a:schemeClr>
                  </a:gs>
                  <a:gs pos="100000">
                    <a:schemeClr val="accent4">
                      <a:tint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'sales by weekday '!$A$5:$A$12</c:f>
              <c:strCache>
                <c:ptCount val="7"/>
                <c:pt idx="0">
                  <c:v>Sun</c:v>
                </c:pt>
                <c:pt idx="1">
                  <c:v>Mon</c:v>
                </c:pt>
                <c:pt idx="2">
                  <c:v>Tue</c:v>
                </c:pt>
                <c:pt idx="3">
                  <c:v>Wed</c:v>
                </c:pt>
                <c:pt idx="4">
                  <c:v>Thu</c:v>
                </c:pt>
                <c:pt idx="5">
                  <c:v>Fri</c:v>
                </c:pt>
                <c:pt idx="6">
                  <c:v>Sat</c:v>
                </c:pt>
              </c:strCache>
            </c:strRef>
          </c:cat>
          <c:val>
            <c:numRef>
              <c:f>'sales by weekday '!$B$5:$B$12</c:f>
              <c:numCache>
                <c:formatCode>_ [$₹-4009]\ * #,##0.00_ ;_ [$₹-4009]\ * \-#,##0.00_ ;_ [$₹-4009]\ * "-"??_ ;_ @_ </c:formatCode>
                <c:ptCount val="7"/>
                <c:pt idx="0">
                  <c:v>755.04000000000008</c:v>
                </c:pt>
                <c:pt idx="1">
                  <c:v>1373.9599999999996</c:v>
                </c:pt>
                <c:pt idx="2">
                  <c:v>1052.3400000000001</c:v>
                </c:pt>
                <c:pt idx="3">
                  <c:v>959.6400000000001</c:v>
                </c:pt>
                <c:pt idx="4">
                  <c:v>985.62</c:v>
                </c:pt>
                <c:pt idx="5">
                  <c:v>1208.98</c:v>
                </c:pt>
                <c:pt idx="6">
                  <c:v>730.99999999999989</c:v>
                </c:pt>
              </c:numCache>
            </c:numRef>
          </c:val>
          <c:extLst>
            <c:ext xmlns:c16="http://schemas.microsoft.com/office/drawing/2014/chart" uri="{C3380CC4-5D6E-409C-BE32-E72D297353CC}">
              <c16:uniqueId val="{00000000-5C27-47A2-AF86-1FF5F1365E99}"/>
            </c:ext>
          </c:extLst>
        </c:ser>
        <c:ser>
          <c:idx val="1"/>
          <c:order val="1"/>
          <c:tx>
            <c:strRef>
              <c:f>'sales by weekday '!$C$3:$C$4</c:f>
              <c:strCache>
                <c:ptCount val="1"/>
                <c:pt idx="0">
                  <c:v>Americano with Milk</c:v>
                </c:pt>
              </c:strCache>
            </c:strRef>
          </c:tx>
          <c:dPt>
            <c:idx val="0"/>
            <c:bubble3D val="0"/>
            <c:spPr>
              <a:gradFill rotWithShape="1">
                <a:gsLst>
                  <a:gs pos="0">
                    <a:schemeClr val="accent4">
                      <a:shade val="47000"/>
                      <a:satMod val="103000"/>
                      <a:lumMod val="102000"/>
                      <a:tint val="94000"/>
                    </a:schemeClr>
                  </a:gs>
                  <a:gs pos="50000">
                    <a:schemeClr val="accent4">
                      <a:shade val="47000"/>
                      <a:satMod val="110000"/>
                      <a:lumMod val="100000"/>
                      <a:shade val="100000"/>
                    </a:schemeClr>
                  </a:gs>
                  <a:gs pos="100000">
                    <a:schemeClr val="accent4">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4">
                      <a:shade val="65000"/>
                      <a:satMod val="103000"/>
                      <a:lumMod val="102000"/>
                      <a:tint val="94000"/>
                    </a:schemeClr>
                  </a:gs>
                  <a:gs pos="50000">
                    <a:schemeClr val="accent4">
                      <a:shade val="65000"/>
                      <a:satMod val="110000"/>
                      <a:lumMod val="100000"/>
                      <a:shade val="100000"/>
                    </a:schemeClr>
                  </a:gs>
                  <a:gs pos="100000">
                    <a:schemeClr val="accent4">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4">
                      <a:shade val="82000"/>
                      <a:satMod val="103000"/>
                      <a:lumMod val="102000"/>
                      <a:tint val="94000"/>
                    </a:schemeClr>
                  </a:gs>
                  <a:gs pos="50000">
                    <a:schemeClr val="accent4">
                      <a:shade val="82000"/>
                      <a:satMod val="110000"/>
                      <a:lumMod val="100000"/>
                      <a:shade val="100000"/>
                    </a:schemeClr>
                  </a:gs>
                  <a:gs pos="100000">
                    <a:schemeClr val="accent4">
                      <a:shade val="82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4">
                      <a:tint val="83000"/>
                      <a:satMod val="103000"/>
                      <a:lumMod val="102000"/>
                      <a:tint val="94000"/>
                    </a:schemeClr>
                  </a:gs>
                  <a:gs pos="50000">
                    <a:schemeClr val="accent4">
                      <a:tint val="83000"/>
                      <a:satMod val="110000"/>
                      <a:lumMod val="100000"/>
                      <a:shade val="100000"/>
                    </a:schemeClr>
                  </a:gs>
                  <a:gs pos="100000">
                    <a:schemeClr val="accent4">
                      <a:tint val="83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5"/>
            <c:bubble3D val="0"/>
            <c:spPr>
              <a:gradFill rotWithShape="1">
                <a:gsLst>
                  <a:gs pos="0">
                    <a:schemeClr val="accent4">
                      <a:tint val="65000"/>
                      <a:satMod val="103000"/>
                      <a:lumMod val="102000"/>
                      <a:tint val="94000"/>
                    </a:schemeClr>
                  </a:gs>
                  <a:gs pos="50000">
                    <a:schemeClr val="accent4">
                      <a:tint val="65000"/>
                      <a:satMod val="110000"/>
                      <a:lumMod val="100000"/>
                      <a:shade val="100000"/>
                    </a:schemeClr>
                  </a:gs>
                  <a:gs pos="100000">
                    <a:schemeClr val="accent4">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6"/>
            <c:bubble3D val="0"/>
            <c:spPr>
              <a:gradFill rotWithShape="1">
                <a:gsLst>
                  <a:gs pos="0">
                    <a:schemeClr val="accent4">
                      <a:tint val="48000"/>
                      <a:satMod val="103000"/>
                      <a:lumMod val="102000"/>
                      <a:tint val="94000"/>
                    </a:schemeClr>
                  </a:gs>
                  <a:gs pos="50000">
                    <a:schemeClr val="accent4">
                      <a:tint val="48000"/>
                      <a:satMod val="110000"/>
                      <a:lumMod val="100000"/>
                      <a:shade val="100000"/>
                    </a:schemeClr>
                  </a:gs>
                  <a:gs pos="100000">
                    <a:schemeClr val="accent4">
                      <a:tint val="48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7"/>
            <c:bubble3D val="0"/>
            <c:spPr>
              <a:gradFill rotWithShape="1">
                <a:gsLst>
                  <a:gs pos="0">
                    <a:schemeClr val="accent4">
                      <a:tint val="30000"/>
                      <a:satMod val="103000"/>
                      <a:lumMod val="102000"/>
                      <a:tint val="94000"/>
                    </a:schemeClr>
                  </a:gs>
                  <a:gs pos="50000">
                    <a:schemeClr val="accent4">
                      <a:tint val="30000"/>
                      <a:satMod val="110000"/>
                      <a:lumMod val="100000"/>
                      <a:shade val="100000"/>
                    </a:schemeClr>
                  </a:gs>
                  <a:gs pos="100000">
                    <a:schemeClr val="accent4">
                      <a:tint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'sales by weekday '!$A$5:$A$12</c:f>
              <c:strCache>
                <c:ptCount val="7"/>
                <c:pt idx="0">
                  <c:v>Sun</c:v>
                </c:pt>
                <c:pt idx="1">
                  <c:v>Mon</c:v>
                </c:pt>
                <c:pt idx="2">
                  <c:v>Tue</c:v>
                </c:pt>
                <c:pt idx="3">
                  <c:v>Wed</c:v>
                </c:pt>
                <c:pt idx="4">
                  <c:v>Thu</c:v>
                </c:pt>
                <c:pt idx="5">
                  <c:v>Fri</c:v>
                </c:pt>
                <c:pt idx="6">
                  <c:v>Sat</c:v>
                </c:pt>
              </c:strCache>
            </c:strRef>
          </c:cat>
          <c:val>
            <c:numRef>
              <c:f>'sales by weekday '!$C$5:$C$12</c:f>
              <c:numCache>
                <c:formatCode>_ [$₹-4009]\ * #,##0.00_ ;_ [$₹-4009]\ * \-#,##0.00_ ;_ [$₹-4009]\ * "-"??_ ;_ @_ </c:formatCode>
                <c:ptCount val="7"/>
                <c:pt idx="0">
                  <c:v>1954.340000000002</c:v>
                </c:pt>
                <c:pt idx="1">
                  <c:v>2109.6000000000017</c:v>
                </c:pt>
                <c:pt idx="2">
                  <c:v>2862.7400000000052</c:v>
                </c:pt>
                <c:pt idx="3">
                  <c:v>2059.5000000000005</c:v>
                </c:pt>
                <c:pt idx="4">
                  <c:v>1890.7800000000016</c:v>
                </c:pt>
                <c:pt idx="5">
                  <c:v>1873.0600000000015</c:v>
                </c:pt>
                <c:pt idx="6">
                  <c:v>2211.8600000000019</c:v>
                </c:pt>
              </c:numCache>
            </c:numRef>
          </c:val>
          <c:extLst>
            <c:ext xmlns:c16="http://schemas.microsoft.com/office/drawing/2014/chart" uri="{C3380CC4-5D6E-409C-BE32-E72D297353CC}">
              <c16:uniqueId val="{0000000C-9EEE-405C-A632-F5D228812BD1}"/>
            </c:ext>
          </c:extLst>
        </c:ser>
        <c:ser>
          <c:idx val="2"/>
          <c:order val="2"/>
          <c:tx>
            <c:strRef>
              <c:f>'sales by weekday '!$D$3:$D$4</c:f>
              <c:strCache>
                <c:ptCount val="1"/>
                <c:pt idx="0">
                  <c:v>Cappuccino</c:v>
                </c:pt>
              </c:strCache>
            </c:strRef>
          </c:tx>
          <c:dPt>
            <c:idx val="0"/>
            <c:bubble3D val="0"/>
            <c:spPr>
              <a:gradFill rotWithShape="1">
                <a:gsLst>
                  <a:gs pos="0">
                    <a:schemeClr val="accent4">
                      <a:shade val="47000"/>
                      <a:satMod val="103000"/>
                      <a:lumMod val="102000"/>
                      <a:tint val="94000"/>
                    </a:schemeClr>
                  </a:gs>
                  <a:gs pos="50000">
                    <a:schemeClr val="accent4">
                      <a:shade val="47000"/>
                      <a:satMod val="110000"/>
                      <a:lumMod val="100000"/>
                      <a:shade val="100000"/>
                    </a:schemeClr>
                  </a:gs>
                  <a:gs pos="100000">
                    <a:schemeClr val="accent4">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4">
                      <a:shade val="65000"/>
                      <a:satMod val="103000"/>
                      <a:lumMod val="102000"/>
                      <a:tint val="94000"/>
                    </a:schemeClr>
                  </a:gs>
                  <a:gs pos="50000">
                    <a:schemeClr val="accent4">
                      <a:shade val="65000"/>
                      <a:satMod val="110000"/>
                      <a:lumMod val="100000"/>
                      <a:shade val="100000"/>
                    </a:schemeClr>
                  </a:gs>
                  <a:gs pos="100000">
                    <a:schemeClr val="accent4">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4">
                      <a:shade val="82000"/>
                      <a:satMod val="103000"/>
                      <a:lumMod val="102000"/>
                      <a:tint val="94000"/>
                    </a:schemeClr>
                  </a:gs>
                  <a:gs pos="50000">
                    <a:schemeClr val="accent4">
                      <a:shade val="82000"/>
                      <a:satMod val="110000"/>
                      <a:lumMod val="100000"/>
                      <a:shade val="100000"/>
                    </a:schemeClr>
                  </a:gs>
                  <a:gs pos="100000">
                    <a:schemeClr val="accent4">
                      <a:shade val="82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4">
                      <a:tint val="83000"/>
                      <a:satMod val="103000"/>
                      <a:lumMod val="102000"/>
                      <a:tint val="94000"/>
                    </a:schemeClr>
                  </a:gs>
                  <a:gs pos="50000">
                    <a:schemeClr val="accent4">
                      <a:tint val="83000"/>
                      <a:satMod val="110000"/>
                      <a:lumMod val="100000"/>
                      <a:shade val="100000"/>
                    </a:schemeClr>
                  </a:gs>
                  <a:gs pos="100000">
                    <a:schemeClr val="accent4">
                      <a:tint val="83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5"/>
            <c:bubble3D val="0"/>
            <c:spPr>
              <a:gradFill rotWithShape="1">
                <a:gsLst>
                  <a:gs pos="0">
                    <a:schemeClr val="accent4">
                      <a:tint val="65000"/>
                      <a:satMod val="103000"/>
                      <a:lumMod val="102000"/>
                      <a:tint val="94000"/>
                    </a:schemeClr>
                  </a:gs>
                  <a:gs pos="50000">
                    <a:schemeClr val="accent4">
                      <a:tint val="65000"/>
                      <a:satMod val="110000"/>
                      <a:lumMod val="100000"/>
                      <a:shade val="100000"/>
                    </a:schemeClr>
                  </a:gs>
                  <a:gs pos="100000">
                    <a:schemeClr val="accent4">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6"/>
            <c:bubble3D val="0"/>
            <c:spPr>
              <a:gradFill rotWithShape="1">
                <a:gsLst>
                  <a:gs pos="0">
                    <a:schemeClr val="accent4">
                      <a:tint val="48000"/>
                      <a:satMod val="103000"/>
                      <a:lumMod val="102000"/>
                      <a:tint val="94000"/>
                    </a:schemeClr>
                  </a:gs>
                  <a:gs pos="50000">
                    <a:schemeClr val="accent4">
                      <a:tint val="48000"/>
                      <a:satMod val="110000"/>
                      <a:lumMod val="100000"/>
                      <a:shade val="100000"/>
                    </a:schemeClr>
                  </a:gs>
                  <a:gs pos="100000">
                    <a:schemeClr val="accent4">
                      <a:tint val="48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7"/>
            <c:bubble3D val="0"/>
            <c:spPr>
              <a:gradFill rotWithShape="1">
                <a:gsLst>
                  <a:gs pos="0">
                    <a:schemeClr val="accent4">
                      <a:tint val="30000"/>
                      <a:satMod val="103000"/>
                      <a:lumMod val="102000"/>
                      <a:tint val="94000"/>
                    </a:schemeClr>
                  </a:gs>
                  <a:gs pos="50000">
                    <a:schemeClr val="accent4">
                      <a:tint val="30000"/>
                      <a:satMod val="110000"/>
                      <a:lumMod val="100000"/>
                      <a:shade val="100000"/>
                    </a:schemeClr>
                  </a:gs>
                  <a:gs pos="100000">
                    <a:schemeClr val="accent4">
                      <a:tint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'sales by weekday '!$A$5:$A$12</c:f>
              <c:strCache>
                <c:ptCount val="7"/>
                <c:pt idx="0">
                  <c:v>Sun</c:v>
                </c:pt>
                <c:pt idx="1">
                  <c:v>Mon</c:v>
                </c:pt>
                <c:pt idx="2">
                  <c:v>Tue</c:v>
                </c:pt>
                <c:pt idx="3">
                  <c:v>Wed</c:v>
                </c:pt>
                <c:pt idx="4">
                  <c:v>Thu</c:v>
                </c:pt>
                <c:pt idx="5">
                  <c:v>Fri</c:v>
                </c:pt>
                <c:pt idx="6">
                  <c:v>Sat</c:v>
                </c:pt>
              </c:strCache>
            </c:strRef>
          </c:cat>
          <c:val>
            <c:numRef>
              <c:f>'sales by weekday '!$D$5:$D$12</c:f>
              <c:numCache>
                <c:formatCode>_ [$₹-4009]\ * #,##0.00_ ;_ [$₹-4009]\ * \-#,##0.00_ ;_ [$₹-4009]\ * "-"??_ ;_ @_ </c:formatCode>
                <c:ptCount val="7"/>
                <c:pt idx="0">
                  <c:v>1919.5799999999995</c:v>
                </c:pt>
                <c:pt idx="1">
                  <c:v>1532.2599999999998</c:v>
                </c:pt>
                <c:pt idx="2">
                  <c:v>1374.52</c:v>
                </c:pt>
                <c:pt idx="3">
                  <c:v>1424.36</c:v>
                </c:pt>
                <c:pt idx="4">
                  <c:v>1611.7799999999997</c:v>
                </c:pt>
                <c:pt idx="5">
                  <c:v>1270.2000000000005</c:v>
                </c:pt>
                <c:pt idx="6">
                  <c:v>1499.1199999999997</c:v>
                </c:pt>
              </c:numCache>
            </c:numRef>
          </c:val>
          <c:extLst>
            <c:ext xmlns:c16="http://schemas.microsoft.com/office/drawing/2014/chart" uri="{C3380CC4-5D6E-409C-BE32-E72D297353CC}">
              <c16:uniqueId val="{0000000D-9EEE-405C-A632-F5D228812BD1}"/>
            </c:ext>
          </c:extLst>
        </c:ser>
        <c:ser>
          <c:idx val="3"/>
          <c:order val="3"/>
          <c:tx>
            <c:strRef>
              <c:f>'sales by weekday '!$E$3:$E$4</c:f>
              <c:strCache>
                <c:ptCount val="1"/>
                <c:pt idx="0">
                  <c:v>Cocoa</c:v>
                </c:pt>
              </c:strCache>
            </c:strRef>
          </c:tx>
          <c:dPt>
            <c:idx val="0"/>
            <c:bubble3D val="0"/>
            <c:spPr>
              <a:gradFill rotWithShape="1">
                <a:gsLst>
                  <a:gs pos="0">
                    <a:schemeClr val="accent4">
                      <a:shade val="47000"/>
                      <a:satMod val="103000"/>
                      <a:lumMod val="102000"/>
                      <a:tint val="94000"/>
                    </a:schemeClr>
                  </a:gs>
                  <a:gs pos="50000">
                    <a:schemeClr val="accent4">
                      <a:shade val="47000"/>
                      <a:satMod val="110000"/>
                      <a:lumMod val="100000"/>
                      <a:shade val="100000"/>
                    </a:schemeClr>
                  </a:gs>
                  <a:gs pos="100000">
                    <a:schemeClr val="accent4">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4">
                      <a:shade val="65000"/>
                      <a:satMod val="103000"/>
                      <a:lumMod val="102000"/>
                      <a:tint val="94000"/>
                    </a:schemeClr>
                  </a:gs>
                  <a:gs pos="50000">
                    <a:schemeClr val="accent4">
                      <a:shade val="65000"/>
                      <a:satMod val="110000"/>
                      <a:lumMod val="100000"/>
                      <a:shade val="100000"/>
                    </a:schemeClr>
                  </a:gs>
                  <a:gs pos="100000">
                    <a:schemeClr val="accent4">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4">
                      <a:shade val="82000"/>
                      <a:satMod val="103000"/>
                      <a:lumMod val="102000"/>
                      <a:tint val="94000"/>
                    </a:schemeClr>
                  </a:gs>
                  <a:gs pos="50000">
                    <a:schemeClr val="accent4">
                      <a:shade val="82000"/>
                      <a:satMod val="110000"/>
                      <a:lumMod val="100000"/>
                      <a:shade val="100000"/>
                    </a:schemeClr>
                  </a:gs>
                  <a:gs pos="100000">
                    <a:schemeClr val="accent4">
                      <a:shade val="82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4">
                      <a:tint val="83000"/>
                      <a:satMod val="103000"/>
                      <a:lumMod val="102000"/>
                      <a:tint val="94000"/>
                    </a:schemeClr>
                  </a:gs>
                  <a:gs pos="50000">
                    <a:schemeClr val="accent4">
                      <a:tint val="83000"/>
                      <a:satMod val="110000"/>
                      <a:lumMod val="100000"/>
                      <a:shade val="100000"/>
                    </a:schemeClr>
                  </a:gs>
                  <a:gs pos="100000">
                    <a:schemeClr val="accent4">
                      <a:tint val="83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5"/>
            <c:bubble3D val="0"/>
            <c:spPr>
              <a:gradFill rotWithShape="1">
                <a:gsLst>
                  <a:gs pos="0">
                    <a:schemeClr val="accent4">
                      <a:tint val="65000"/>
                      <a:satMod val="103000"/>
                      <a:lumMod val="102000"/>
                      <a:tint val="94000"/>
                    </a:schemeClr>
                  </a:gs>
                  <a:gs pos="50000">
                    <a:schemeClr val="accent4">
                      <a:tint val="65000"/>
                      <a:satMod val="110000"/>
                      <a:lumMod val="100000"/>
                      <a:shade val="100000"/>
                    </a:schemeClr>
                  </a:gs>
                  <a:gs pos="100000">
                    <a:schemeClr val="accent4">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6"/>
            <c:bubble3D val="0"/>
            <c:spPr>
              <a:gradFill rotWithShape="1">
                <a:gsLst>
                  <a:gs pos="0">
                    <a:schemeClr val="accent4">
                      <a:tint val="48000"/>
                      <a:satMod val="103000"/>
                      <a:lumMod val="102000"/>
                      <a:tint val="94000"/>
                    </a:schemeClr>
                  </a:gs>
                  <a:gs pos="50000">
                    <a:schemeClr val="accent4">
                      <a:tint val="48000"/>
                      <a:satMod val="110000"/>
                      <a:lumMod val="100000"/>
                      <a:shade val="100000"/>
                    </a:schemeClr>
                  </a:gs>
                  <a:gs pos="100000">
                    <a:schemeClr val="accent4">
                      <a:tint val="48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7"/>
            <c:bubble3D val="0"/>
            <c:spPr>
              <a:gradFill rotWithShape="1">
                <a:gsLst>
                  <a:gs pos="0">
                    <a:schemeClr val="accent4">
                      <a:tint val="30000"/>
                      <a:satMod val="103000"/>
                      <a:lumMod val="102000"/>
                      <a:tint val="94000"/>
                    </a:schemeClr>
                  </a:gs>
                  <a:gs pos="50000">
                    <a:schemeClr val="accent4">
                      <a:tint val="30000"/>
                      <a:satMod val="110000"/>
                      <a:lumMod val="100000"/>
                      <a:shade val="100000"/>
                    </a:schemeClr>
                  </a:gs>
                  <a:gs pos="100000">
                    <a:schemeClr val="accent4">
                      <a:tint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'sales by weekday '!$A$5:$A$12</c:f>
              <c:strCache>
                <c:ptCount val="7"/>
                <c:pt idx="0">
                  <c:v>Sun</c:v>
                </c:pt>
                <c:pt idx="1">
                  <c:v>Mon</c:v>
                </c:pt>
                <c:pt idx="2">
                  <c:v>Tue</c:v>
                </c:pt>
                <c:pt idx="3">
                  <c:v>Wed</c:v>
                </c:pt>
                <c:pt idx="4">
                  <c:v>Thu</c:v>
                </c:pt>
                <c:pt idx="5">
                  <c:v>Fri</c:v>
                </c:pt>
                <c:pt idx="6">
                  <c:v>Sat</c:v>
                </c:pt>
              </c:strCache>
            </c:strRef>
          </c:cat>
          <c:val>
            <c:numRef>
              <c:f>'sales by weekday '!$E$5:$E$12</c:f>
              <c:numCache>
                <c:formatCode>_ [$₹-4009]\ * #,##0.00_ ;_ [$₹-4009]\ * \-#,##0.00_ ;_ [$₹-4009]\ * "-"??_ ;_ @_ </c:formatCode>
                <c:ptCount val="7"/>
                <c:pt idx="0">
                  <c:v>169.98</c:v>
                </c:pt>
                <c:pt idx="1">
                  <c:v>311.05999999999995</c:v>
                </c:pt>
                <c:pt idx="2">
                  <c:v>572.46</c:v>
                </c:pt>
                <c:pt idx="3">
                  <c:v>250.32</c:v>
                </c:pt>
                <c:pt idx="4">
                  <c:v>68.58</c:v>
                </c:pt>
                <c:pt idx="5">
                  <c:v>653.79999999999995</c:v>
                </c:pt>
                <c:pt idx="6">
                  <c:v>465.47999999999996</c:v>
                </c:pt>
              </c:numCache>
            </c:numRef>
          </c:val>
          <c:extLst>
            <c:ext xmlns:c16="http://schemas.microsoft.com/office/drawing/2014/chart" uri="{C3380CC4-5D6E-409C-BE32-E72D297353CC}">
              <c16:uniqueId val="{0000000E-9EEE-405C-A632-F5D228812BD1}"/>
            </c:ext>
          </c:extLst>
        </c:ser>
        <c:ser>
          <c:idx val="4"/>
          <c:order val="4"/>
          <c:tx>
            <c:strRef>
              <c:f>'sales by weekday '!$F$3:$F$4</c:f>
              <c:strCache>
                <c:ptCount val="1"/>
                <c:pt idx="0">
                  <c:v>Cortado</c:v>
                </c:pt>
              </c:strCache>
            </c:strRef>
          </c:tx>
          <c:dPt>
            <c:idx val="0"/>
            <c:bubble3D val="0"/>
            <c:spPr>
              <a:gradFill rotWithShape="1">
                <a:gsLst>
                  <a:gs pos="0">
                    <a:schemeClr val="accent4">
                      <a:shade val="47000"/>
                      <a:satMod val="103000"/>
                      <a:lumMod val="102000"/>
                      <a:tint val="94000"/>
                    </a:schemeClr>
                  </a:gs>
                  <a:gs pos="50000">
                    <a:schemeClr val="accent4">
                      <a:shade val="47000"/>
                      <a:satMod val="110000"/>
                      <a:lumMod val="100000"/>
                      <a:shade val="100000"/>
                    </a:schemeClr>
                  </a:gs>
                  <a:gs pos="100000">
                    <a:schemeClr val="accent4">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4">
                      <a:shade val="65000"/>
                      <a:satMod val="103000"/>
                      <a:lumMod val="102000"/>
                      <a:tint val="94000"/>
                    </a:schemeClr>
                  </a:gs>
                  <a:gs pos="50000">
                    <a:schemeClr val="accent4">
                      <a:shade val="65000"/>
                      <a:satMod val="110000"/>
                      <a:lumMod val="100000"/>
                      <a:shade val="100000"/>
                    </a:schemeClr>
                  </a:gs>
                  <a:gs pos="100000">
                    <a:schemeClr val="accent4">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4">
                      <a:shade val="82000"/>
                      <a:satMod val="103000"/>
                      <a:lumMod val="102000"/>
                      <a:tint val="94000"/>
                    </a:schemeClr>
                  </a:gs>
                  <a:gs pos="50000">
                    <a:schemeClr val="accent4">
                      <a:shade val="82000"/>
                      <a:satMod val="110000"/>
                      <a:lumMod val="100000"/>
                      <a:shade val="100000"/>
                    </a:schemeClr>
                  </a:gs>
                  <a:gs pos="100000">
                    <a:schemeClr val="accent4">
                      <a:shade val="82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4">
                      <a:tint val="83000"/>
                      <a:satMod val="103000"/>
                      <a:lumMod val="102000"/>
                      <a:tint val="94000"/>
                    </a:schemeClr>
                  </a:gs>
                  <a:gs pos="50000">
                    <a:schemeClr val="accent4">
                      <a:tint val="83000"/>
                      <a:satMod val="110000"/>
                      <a:lumMod val="100000"/>
                      <a:shade val="100000"/>
                    </a:schemeClr>
                  </a:gs>
                  <a:gs pos="100000">
                    <a:schemeClr val="accent4">
                      <a:tint val="83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5"/>
            <c:bubble3D val="0"/>
            <c:spPr>
              <a:gradFill rotWithShape="1">
                <a:gsLst>
                  <a:gs pos="0">
                    <a:schemeClr val="accent4">
                      <a:tint val="65000"/>
                      <a:satMod val="103000"/>
                      <a:lumMod val="102000"/>
                      <a:tint val="94000"/>
                    </a:schemeClr>
                  </a:gs>
                  <a:gs pos="50000">
                    <a:schemeClr val="accent4">
                      <a:tint val="65000"/>
                      <a:satMod val="110000"/>
                      <a:lumMod val="100000"/>
                      <a:shade val="100000"/>
                    </a:schemeClr>
                  </a:gs>
                  <a:gs pos="100000">
                    <a:schemeClr val="accent4">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6"/>
            <c:bubble3D val="0"/>
            <c:spPr>
              <a:gradFill rotWithShape="1">
                <a:gsLst>
                  <a:gs pos="0">
                    <a:schemeClr val="accent4">
                      <a:tint val="48000"/>
                      <a:satMod val="103000"/>
                      <a:lumMod val="102000"/>
                      <a:tint val="94000"/>
                    </a:schemeClr>
                  </a:gs>
                  <a:gs pos="50000">
                    <a:schemeClr val="accent4">
                      <a:tint val="48000"/>
                      <a:satMod val="110000"/>
                      <a:lumMod val="100000"/>
                      <a:shade val="100000"/>
                    </a:schemeClr>
                  </a:gs>
                  <a:gs pos="100000">
                    <a:schemeClr val="accent4">
                      <a:tint val="48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7"/>
            <c:bubble3D val="0"/>
            <c:spPr>
              <a:gradFill rotWithShape="1">
                <a:gsLst>
                  <a:gs pos="0">
                    <a:schemeClr val="accent4">
                      <a:tint val="30000"/>
                      <a:satMod val="103000"/>
                      <a:lumMod val="102000"/>
                      <a:tint val="94000"/>
                    </a:schemeClr>
                  </a:gs>
                  <a:gs pos="50000">
                    <a:schemeClr val="accent4">
                      <a:tint val="30000"/>
                      <a:satMod val="110000"/>
                      <a:lumMod val="100000"/>
                      <a:shade val="100000"/>
                    </a:schemeClr>
                  </a:gs>
                  <a:gs pos="100000">
                    <a:schemeClr val="accent4">
                      <a:tint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'sales by weekday '!$A$5:$A$12</c:f>
              <c:strCache>
                <c:ptCount val="7"/>
                <c:pt idx="0">
                  <c:v>Sun</c:v>
                </c:pt>
                <c:pt idx="1">
                  <c:v>Mon</c:v>
                </c:pt>
                <c:pt idx="2">
                  <c:v>Tue</c:v>
                </c:pt>
                <c:pt idx="3">
                  <c:v>Wed</c:v>
                </c:pt>
                <c:pt idx="4">
                  <c:v>Thu</c:v>
                </c:pt>
                <c:pt idx="5">
                  <c:v>Fri</c:v>
                </c:pt>
                <c:pt idx="6">
                  <c:v>Sat</c:v>
                </c:pt>
              </c:strCache>
            </c:strRef>
          </c:cat>
          <c:val>
            <c:numRef>
              <c:f>'sales by weekday '!$F$5:$F$12</c:f>
              <c:numCache>
                <c:formatCode>_ [$₹-4009]\ * #,##0.00_ ;_ [$₹-4009]\ * \-#,##0.00_ ;_ [$₹-4009]\ * "-"??_ ;_ @_ </c:formatCode>
                <c:ptCount val="7"/>
                <c:pt idx="0">
                  <c:v>875.04000000000008</c:v>
                </c:pt>
                <c:pt idx="1">
                  <c:v>533.04</c:v>
                </c:pt>
                <c:pt idx="2">
                  <c:v>798.99999999999989</c:v>
                </c:pt>
                <c:pt idx="3">
                  <c:v>679</c:v>
                </c:pt>
                <c:pt idx="4">
                  <c:v>784.17999999999984</c:v>
                </c:pt>
                <c:pt idx="5">
                  <c:v>654.88000000000011</c:v>
                </c:pt>
                <c:pt idx="6">
                  <c:v>821.4</c:v>
                </c:pt>
              </c:numCache>
            </c:numRef>
          </c:val>
          <c:extLst>
            <c:ext xmlns:c16="http://schemas.microsoft.com/office/drawing/2014/chart" uri="{C3380CC4-5D6E-409C-BE32-E72D297353CC}">
              <c16:uniqueId val="{0000000F-9EEE-405C-A632-F5D228812BD1}"/>
            </c:ext>
          </c:extLst>
        </c:ser>
        <c:ser>
          <c:idx val="5"/>
          <c:order val="5"/>
          <c:tx>
            <c:strRef>
              <c:f>'sales by weekday '!$G$3:$G$4</c:f>
              <c:strCache>
                <c:ptCount val="1"/>
                <c:pt idx="0">
                  <c:v>Espresso</c:v>
                </c:pt>
              </c:strCache>
            </c:strRef>
          </c:tx>
          <c:dPt>
            <c:idx val="0"/>
            <c:bubble3D val="0"/>
            <c:spPr>
              <a:gradFill rotWithShape="1">
                <a:gsLst>
                  <a:gs pos="0">
                    <a:schemeClr val="accent4">
                      <a:shade val="47000"/>
                      <a:satMod val="103000"/>
                      <a:lumMod val="102000"/>
                      <a:tint val="94000"/>
                    </a:schemeClr>
                  </a:gs>
                  <a:gs pos="50000">
                    <a:schemeClr val="accent4">
                      <a:shade val="47000"/>
                      <a:satMod val="110000"/>
                      <a:lumMod val="100000"/>
                      <a:shade val="100000"/>
                    </a:schemeClr>
                  </a:gs>
                  <a:gs pos="100000">
                    <a:schemeClr val="accent4">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4">
                      <a:shade val="65000"/>
                      <a:satMod val="103000"/>
                      <a:lumMod val="102000"/>
                      <a:tint val="94000"/>
                    </a:schemeClr>
                  </a:gs>
                  <a:gs pos="50000">
                    <a:schemeClr val="accent4">
                      <a:shade val="65000"/>
                      <a:satMod val="110000"/>
                      <a:lumMod val="100000"/>
                      <a:shade val="100000"/>
                    </a:schemeClr>
                  </a:gs>
                  <a:gs pos="100000">
                    <a:schemeClr val="accent4">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4">
                      <a:shade val="82000"/>
                      <a:satMod val="103000"/>
                      <a:lumMod val="102000"/>
                      <a:tint val="94000"/>
                    </a:schemeClr>
                  </a:gs>
                  <a:gs pos="50000">
                    <a:schemeClr val="accent4">
                      <a:shade val="82000"/>
                      <a:satMod val="110000"/>
                      <a:lumMod val="100000"/>
                      <a:shade val="100000"/>
                    </a:schemeClr>
                  </a:gs>
                  <a:gs pos="100000">
                    <a:schemeClr val="accent4">
                      <a:shade val="82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4">
                      <a:tint val="83000"/>
                      <a:satMod val="103000"/>
                      <a:lumMod val="102000"/>
                      <a:tint val="94000"/>
                    </a:schemeClr>
                  </a:gs>
                  <a:gs pos="50000">
                    <a:schemeClr val="accent4">
                      <a:tint val="83000"/>
                      <a:satMod val="110000"/>
                      <a:lumMod val="100000"/>
                      <a:shade val="100000"/>
                    </a:schemeClr>
                  </a:gs>
                  <a:gs pos="100000">
                    <a:schemeClr val="accent4">
                      <a:tint val="83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5"/>
            <c:bubble3D val="0"/>
            <c:spPr>
              <a:gradFill rotWithShape="1">
                <a:gsLst>
                  <a:gs pos="0">
                    <a:schemeClr val="accent4">
                      <a:tint val="65000"/>
                      <a:satMod val="103000"/>
                      <a:lumMod val="102000"/>
                      <a:tint val="94000"/>
                    </a:schemeClr>
                  </a:gs>
                  <a:gs pos="50000">
                    <a:schemeClr val="accent4">
                      <a:tint val="65000"/>
                      <a:satMod val="110000"/>
                      <a:lumMod val="100000"/>
                      <a:shade val="100000"/>
                    </a:schemeClr>
                  </a:gs>
                  <a:gs pos="100000">
                    <a:schemeClr val="accent4">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6"/>
            <c:bubble3D val="0"/>
            <c:spPr>
              <a:gradFill rotWithShape="1">
                <a:gsLst>
                  <a:gs pos="0">
                    <a:schemeClr val="accent4">
                      <a:tint val="48000"/>
                      <a:satMod val="103000"/>
                      <a:lumMod val="102000"/>
                      <a:tint val="94000"/>
                    </a:schemeClr>
                  </a:gs>
                  <a:gs pos="50000">
                    <a:schemeClr val="accent4">
                      <a:tint val="48000"/>
                      <a:satMod val="110000"/>
                      <a:lumMod val="100000"/>
                      <a:shade val="100000"/>
                    </a:schemeClr>
                  </a:gs>
                  <a:gs pos="100000">
                    <a:schemeClr val="accent4">
                      <a:tint val="48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7"/>
            <c:bubble3D val="0"/>
            <c:spPr>
              <a:gradFill rotWithShape="1">
                <a:gsLst>
                  <a:gs pos="0">
                    <a:schemeClr val="accent4">
                      <a:tint val="30000"/>
                      <a:satMod val="103000"/>
                      <a:lumMod val="102000"/>
                      <a:tint val="94000"/>
                    </a:schemeClr>
                  </a:gs>
                  <a:gs pos="50000">
                    <a:schemeClr val="accent4">
                      <a:tint val="30000"/>
                      <a:satMod val="110000"/>
                      <a:lumMod val="100000"/>
                      <a:shade val="100000"/>
                    </a:schemeClr>
                  </a:gs>
                  <a:gs pos="100000">
                    <a:schemeClr val="accent4">
                      <a:tint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'sales by weekday '!$A$5:$A$12</c:f>
              <c:strCache>
                <c:ptCount val="7"/>
                <c:pt idx="0">
                  <c:v>Sun</c:v>
                </c:pt>
                <c:pt idx="1">
                  <c:v>Mon</c:v>
                </c:pt>
                <c:pt idx="2">
                  <c:v>Tue</c:v>
                </c:pt>
                <c:pt idx="3">
                  <c:v>Wed</c:v>
                </c:pt>
                <c:pt idx="4">
                  <c:v>Thu</c:v>
                </c:pt>
                <c:pt idx="5">
                  <c:v>Fri</c:v>
                </c:pt>
                <c:pt idx="6">
                  <c:v>Sat</c:v>
                </c:pt>
              </c:strCache>
            </c:strRef>
          </c:cat>
          <c:val>
            <c:numRef>
              <c:f>'sales by weekday '!$G$5:$G$12</c:f>
              <c:numCache>
                <c:formatCode>_ [$₹-4009]\ * #,##0.00_ ;_ [$₹-4009]\ * \-#,##0.00_ ;_ [$₹-4009]\ * "-"??_ ;_ @_ </c:formatCode>
                <c:ptCount val="7"/>
                <c:pt idx="0">
                  <c:v>260.56</c:v>
                </c:pt>
                <c:pt idx="1">
                  <c:v>133.26</c:v>
                </c:pt>
                <c:pt idx="2">
                  <c:v>137.62</c:v>
                </c:pt>
                <c:pt idx="3">
                  <c:v>376.68000000000006</c:v>
                </c:pt>
                <c:pt idx="4">
                  <c:v>289.94</c:v>
                </c:pt>
                <c:pt idx="5">
                  <c:v>271.82</c:v>
                </c:pt>
                <c:pt idx="6">
                  <c:v>228.22000000000003</c:v>
                </c:pt>
              </c:numCache>
            </c:numRef>
          </c:val>
          <c:extLst>
            <c:ext xmlns:c16="http://schemas.microsoft.com/office/drawing/2014/chart" uri="{C3380CC4-5D6E-409C-BE32-E72D297353CC}">
              <c16:uniqueId val="{00000010-9EEE-405C-A632-F5D228812BD1}"/>
            </c:ext>
          </c:extLst>
        </c:ser>
        <c:ser>
          <c:idx val="6"/>
          <c:order val="6"/>
          <c:tx>
            <c:strRef>
              <c:f>'sales by weekday '!$H$3:$H$4</c:f>
              <c:strCache>
                <c:ptCount val="1"/>
                <c:pt idx="0">
                  <c:v>Hot Chocolate</c:v>
                </c:pt>
              </c:strCache>
            </c:strRef>
          </c:tx>
          <c:dPt>
            <c:idx val="0"/>
            <c:bubble3D val="0"/>
            <c:spPr>
              <a:gradFill rotWithShape="1">
                <a:gsLst>
                  <a:gs pos="0">
                    <a:schemeClr val="accent4">
                      <a:shade val="47000"/>
                      <a:satMod val="103000"/>
                      <a:lumMod val="102000"/>
                      <a:tint val="94000"/>
                    </a:schemeClr>
                  </a:gs>
                  <a:gs pos="50000">
                    <a:schemeClr val="accent4">
                      <a:shade val="47000"/>
                      <a:satMod val="110000"/>
                      <a:lumMod val="100000"/>
                      <a:shade val="100000"/>
                    </a:schemeClr>
                  </a:gs>
                  <a:gs pos="100000">
                    <a:schemeClr val="accent4">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4">
                      <a:shade val="65000"/>
                      <a:satMod val="103000"/>
                      <a:lumMod val="102000"/>
                      <a:tint val="94000"/>
                    </a:schemeClr>
                  </a:gs>
                  <a:gs pos="50000">
                    <a:schemeClr val="accent4">
                      <a:shade val="65000"/>
                      <a:satMod val="110000"/>
                      <a:lumMod val="100000"/>
                      <a:shade val="100000"/>
                    </a:schemeClr>
                  </a:gs>
                  <a:gs pos="100000">
                    <a:schemeClr val="accent4">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4">
                      <a:shade val="82000"/>
                      <a:satMod val="103000"/>
                      <a:lumMod val="102000"/>
                      <a:tint val="94000"/>
                    </a:schemeClr>
                  </a:gs>
                  <a:gs pos="50000">
                    <a:schemeClr val="accent4">
                      <a:shade val="82000"/>
                      <a:satMod val="110000"/>
                      <a:lumMod val="100000"/>
                      <a:shade val="100000"/>
                    </a:schemeClr>
                  </a:gs>
                  <a:gs pos="100000">
                    <a:schemeClr val="accent4">
                      <a:shade val="82000"/>
                      <a:lumMod val="99000"/>
                      <a:satMod val="120000"/>
                      <a:shade val="78000"/>
                    </a:schemeClr>
                  </a:gs>
                </a:gsLst>
                <a:lin ang="5400000" scaled="0"/>
              </a:gradFill>
              <a:ln w="34925" cap="rnd">
                <a:solidFill>
                  <a:schemeClr val="accent4">
                    <a:tint val="62000"/>
                  </a:schemeClr>
                </a:solidFill>
                <a:round/>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4">
                      <a:tint val="83000"/>
                      <a:satMod val="103000"/>
                      <a:lumMod val="102000"/>
                      <a:tint val="94000"/>
                    </a:schemeClr>
                  </a:gs>
                  <a:gs pos="50000">
                    <a:schemeClr val="accent4">
                      <a:tint val="83000"/>
                      <a:satMod val="110000"/>
                      <a:lumMod val="100000"/>
                      <a:shade val="100000"/>
                    </a:schemeClr>
                  </a:gs>
                  <a:gs pos="100000">
                    <a:schemeClr val="accent4">
                      <a:tint val="83000"/>
                      <a:lumMod val="99000"/>
                      <a:satMod val="120000"/>
                      <a:shade val="78000"/>
                    </a:schemeClr>
                  </a:gs>
                </a:gsLst>
                <a:lin ang="5400000" scaled="0"/>
              </a:gradFill>
              <a:ln w="34925" cap="rnd">
                <a:solidFill>
                  <a:schemeClr val="accent4">
                    <a:tint val="62000"/>
                  </a:schemeClr>
                </a:solidFill>
                <a:round/>
              </a:ln>
              <a:effectLst>
                <a:outerShdw blurRad="57150" dist="19050" dir="5400000" algn="ctr" rotWithShape="0">
                  <a:srgbClr val="000000">
                    <a:alpha val="63000"/>
                  </a:srgbClr>
                </a:outerShdw>
              </a:effectLst>
            </c:spPr>
          </c:dPt>
          <c:dPt>
            <c:idx val="5"/>
            <c:bubble3D val="0"/>
            <c:spPr>
              <a:gradFill rotWithShape="1">
                <a:gsLst>
                  <a:gs pos="0">
                    <a:schemeClr val="accent4">
                      <a:tint val="65000"/>
                      <a:satMod val="103000"/>
                      <a:lumMod val="102000"/>
                      <a:tint val="94000"/>
                    </a:schemeClr>
                  </a:gs>
                  <a:gs pos="50000">
                    <a:schemeClr val="accent4">
                      <a:tint val="65000"/>
                      <a:satMod val="110000"/>
                      <a:lumMod val="100000"/>
                      <a:shade val="100000"/>
                    </a:schemeClr>
                  </a:gs>
                  <a:gs pos="100000">
                    <a:schemeClr val="accent4">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6"/>
            <c:bubble3D val="0"/>
            <c:spPr>
              <a:gradFill rotWithShape="1">
                <a:gsLst>
                  <a:gs pos="0">
                    <a:schemeClr val="accent4">
                      <a:tint val="48000"/>
                      <a:satMod val="103000"/>
                      <a:lumMod val="102000"/>
                      <a:tint val="94000"/>
                    </a:schemeClr>
                  </a:gs>
                  <a:gs pos="50000">
                    <a:schemeClr val="accent4">
                      <a:tint val="48000"/>
                      <a:satMod val="110000"/>
                      <a:lumMod val="100000"/>
                      <a:shade val="100000"/>
                    </a:schemeClr>
                  </a:gs>
                  <a:gs pos="100000">
                    <a:schemeClr val="accent4">
                      <a:tint val="48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7"/>
            <c:bubble3D val="0"/>
            <c:spPr>
              <a:gradFill rotWithShape="1">
                <a:gsLst>
                  <a:gs pos="0">
                    <a:schemeClr val="accent4">
                      <a:tint val="30000"/>
                      <a:satMod val="103000"/>
                      <a:lumMod val="102000"/>
                      <a:tint val="94000"/>
                    </a:schemeClr>
                  </a:gs>
                  <a:gs pos="50000">
                    <a:schemeClr val="accent4">
                      <a:tint val="30000"/>
                      <a:satMod val="110000"/>
                      <a:lumMod val="100000"/>
                      <a:shade val="100000"/>
                    </a:schemeClr>
                  </a:gs>
                  <a:gs pos="100000">
                    <a:schemeClr val="accent4">
                      <a:tint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'sales by weekday '!$A$5:$A$12</c:f>
              <c:strCache>
                <c:ptCount val="7"/>
                <c:pt idx="0">
                  <c:v>Sun</c:v>
                </c:pt>
                <c:pt idx="1">
                  <c:v>Mon</c:v>
                </c:pt>
                <c:pt idx="2">
                  <c:v>Tue</c:v>
                </c:pt>
                <c:pt idx="3">
                  <c:v>Wed</c:v>
                </c:pt>
                <c:pt idx="4">
                  <c:v>Thu</c:v>
                </c:pt>
                <c:pt idx="5">
                  <c:v>Fri</c:v>
                </c:pt>
                <c:pt idx="6">
                  <c:v>Sat</c:v>
                </c:pt>
              </c:strCache>
            </c:strRef>
          </c:cat>
          <c:val>
            <c:numRef>
              <c:f>'sales by weekday '!$H$5:$H$12</c:f>
              <c:numCache>
                <c:formatCode>_ [$₹-4009]\ * #,##0.00_ ;_ [$₹-4009]\ * \-#,##0.00_ ;_ [$₹-4009]\ * "-"??_ ;_ @_ </c:formatCode>
                <c:ptCount val="7"/>
                <c:pt idx="0">
                  <c:v>729.9000000000002</c:v>
                </c:pt>
                <c:pt idx="1">
                  <c:v>352.7</c:v>
                </c:pt>
                <c:pt idx="2">
                  <c:v>1090.7600000000004</c:v>
                </c:pt>
                <c:pt idx="3">
                  <c:v>520.55999999999995</c:v>
                </c:pt>
                <c:pt idx="4">
                  <c:v>1015.2999999999998</c:v>
                </c:pt>
                <c:pt idx="5">
                  <c:v>825.42</c:v>
                </c:pt>
                <c:pt idx="6">
                  <c:v>309.58000000000004</c:v>
                </c:pt>
              </c:numCache>
            </c:numRef>
          </c:val>
          <c:extLst>
            <c:ext xmlns:c16="http://schemas.microsoft.com/office/drawing/2014/chart" uri="{C3380CC4-5D6E-409C-BE32-E72D297353CC}">
              <c16:uniqueId val="{00000011-9EEE-405C-A632-F5D228812BD1}"/>
            </c:ext>
          </c:extLst>
        </c:ser>
        <c:ser>
          <c:idx val="7"/>
          <c:order val="7"/>
          <c:tx>
            <c:strRef>
              <c:f>'sales by weekday '!$I$3:$I$4</c:f>
              <c:strCache>
                <c:ptCount val="1"/>
                <c:pt idx="0">
                  <c:v>Latte</c:v>
                </c:pt>
              </c:strCache>
            </c:strRef>
          </c:tx>
          <c:dPt>
            <c:idx val="0"/>
            <c:bubble3D val="0"/>
            <c:spPr>
              <a:gradFill rotWithShape="1">
                <a:gsLst>
                  <a:gs pos="0">
                    <a:schemeClr val="accent4">
                      <a:shade val="47000"/>
                      <a:satMod val="103000"/>
                      <a:lumMod val="102000"/>
                      <a:tint val="94000"/>
                    </a:schemeClr>
                  </a:gs>
                  <a:gs pos="50000">
                    <a:schemeClr val="accent4">
                      <a:shade val="47000"/>
                      <a:satMod val="110000"/>
                      <a:lumMod val="100000"/>
                      <a:shade val="100000"/>
                    </a:schemeClr>
                  </a:gs>
                  <a:gs pos="100000">
                    <a:schemeClr val="accent4">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4">
                      <a:shade val="65000"/>
                      <a:satMod val="103000"/>
                      <a:lumMod val="102000"/>
                      <a:tint val="94000"/>
                    </a:schemeClr>
                  </a:gs>
                  <a:gs pos="50000">
                    <a:schemeClr val="accent4">
                      <a:shade val="65000"/>
                      <a:satMod val="110000"/>
                      <a:lumMod val="100000"/>
                      <a:shade val="100000"/>
                    </a:schemeClr>
                  </a:gs>
                  <a:gs pos="100000">
                    <a:schemeClr val="accent4">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4">
                      <a:shade val="82000"/>
                      <a:satMod val="103000"/>
                      <a:lumMod val="102000"/>
                      <a:tint val="94000"/>
                    </a:schemeClr>
                  </a:gs>
                  <a:gs pos="50000">
                    <a:schemeClr val="accent4">
                      <a:shade val="82000"/>
                      <a:satMod val="110000"/>
                      <a:lumMod val="100000"/>
                      <a:shade val="100000"/>
                    </a:schemeClr>
                  </a:gs>
                  <a:gs pos="100000">
                    <a:schemeClr val="accent4">
                      <a:shade val="82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4">
                      <a:tint val="83000"/>
                      <a:satMod val="103000"/>
                      <a:lumMod val="102000"/>
                      <a:tint val="94000"/>
                    </a:schemeClr>
                  </a:gs>
                  <a:gs pos="50000">
                    <a:schemeClr val="accent4">
                      <a:tint val="83000"/>
                      <a:satMod val="110000"/>
                      <a:lumMod val="100000"/>
                      <a:shade val="100000"/>
                    </a:schemeClr>
                  </a:gs>
                  <a:gs pos="100000">
                    <a:schemeClr val="accent4">
                      <a:tint val="83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5"/>
            <c:bubble3D val="0"/>
            <c:spPr>
              <a:gradFill rotWithShape="1">
                <a:gsLst>
                  <a:gs pos="0">
                    <a:schemeClr val="accent4">
                      <a:tint val="65000"/>
                      <a:satMod val="103000"/>
                      <a:lumMod val="102000"/>
                      <a:tint val="94000"/>
                    </a:schemeClr>
                  </a:gs>
                  <a:gs pos="50000">
                    <a:schemeClr val="accent4">
                      <a:tint val="65000"/>
                      <a:satMod val="110000"/>
                      <a:lumMod val="100000"/>
                      <a:shade val="100000"/>
                    </a:schemeClr>
                  </a:gs>
                  <a:gs pos="100000">
                    <a:schemeClr val="accent4">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6"/>
            <c:bubble3D val="0"/>
            <c:spPr>
              <a:gradFill rotWithShape="1">
                <a:gsLst>
                  <a:gs pos="0">
                    <a:schemeClr val="accent4">
                      <a:tint val="48000"/>
                      <a:satMod val="103000"/>
                      <a:lumMod val="102000"/>
                      <a:tint val="94000"/>
                    </a:schemeClr>
                  </a:gs>
                  <a:gs pos="50000">
                    <a:schemeClr val="accent4">
                      <a:tint val="48000"/>
                      <a:satMod val="110000"/>
                      <a:lumMod val="100000"/>
                      <a:shade val="100000"/>
                    </a:schemeClr>
                  </a:gs>
                  <a:gs pos="100000">
                    <a:schemeClr val="accent4">
                      <a:tint val="48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7"/>
            <c:bubble3D val="0"/>
            <c:spPr>
              <a:gradFill rotWithShape="1">
                <a:gsLst>
                  <a:gs pos="0">
                    <a:schemeClr val="accent4">
                      <a:tint val="30000"/>
                      <a:satMod val="103000"/>
                      <a:lumMod val="102000"/>
                      <a:tint val="94000"/>
                    </a:schemeClr>
                  </a:gs>
                  <a:gs pos="50000">
                    <a:schemeClr val="accent4">
                      <a:tint val="30000"/>
                      <a:satMod val="110000"/>
                      <a:lumMod val="100000"/>
                      <a:shade val="100000"/>
                    </a:schemeClr>
                  </a:gs>
                  <a:gs pos="100000">
                    <a:schemeClr val="accent4">
                      <a:tint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'sales by weekday '!$A$5:$A$12</c:f>
              <c:strCache>
                <c:ptCount val="7"/>
                <c:pt idx="0">
                  <c:v>Sun</c:v>
                </c:pt>
                <c:pt idx="1">
                  <c:v>Mon</c:v>
                </c:pt>
                <c:pt idx="2">
                  <c:v>Tue</c:v>
                </c:pt>
                <c:pt idx="3">
                  <c:v>Wed</c:v>
                </c:pt>
                <c:pt idx="4">
                  <c:v>Thu</c:v>
                </c:pt>
                <c:pt idx="5">
                  <c:v>Fri</c:v>
                </c:pt>
                <c:pt idx="6">
                  <c:v>Sat</c:v>
                </c:pt>
              </c:strCache>
            </c:strRef>
          </c:cat>
          <c:val>
            <c:numRef>
              <c:f>'sales by weekday '!$I$5:$I$12</c:f>
              <c:numCache>
                <c:formatCode>_ [$₹-4009]\ * #,##0.00_ ;_ [$₹-4009]\ * \-#,##0.00_ ;_ [$₹-4009]\ * "-"??_ ;_ @_ </c:formatCode>
                <c:ptCount val="7"/>
                <c:pt idx="0">
                  <c:v>2020.8199999999993</c:v>
                </c:pt>
                <c:pt idx="1">
                  <c:v>2535.1600000000017</c:v>
                </c:pt>
                <c:pt idx="2">
                  <c:v>2784.5000000000027</c:v>
                </c:pt>
                <c:pt idx="3">
                  <c:v>2110.2799999999993</c:v>
                </c:pt>
                <c:pt idx="4">
                  <c:v>2654.5000000000032</c:v>
                </c:pt>
                <c:pt idx="5">
                  <c:v>2276.46</c:v>
                </c:pt>
                <c:pt idx="6">
                  <c:v>2041.379999999999</c:v>
                </c:pt>
              </c:numCache>
            </c:numRef>
          </c:val>
          <c:extLst>
            <c:ext xmlns:c16="http://schemas.microsoft.com/office/drawing/2014/chart" uri="{C3380CC4-5D6E-409C-BE32-E72D297353CC}">
              <c16:uniqueId val="{00000012-9EEE-405C-A632-F5D228812BD1}"/>
            </c:ext>
          </c:extLst>
        </c:ser>
        <c:dLbls>
          <c:showLegendKey val="0"/>
          <c:showVal val="0"/>
          <c:showCatName val="0"/>
          <c:showSerName val="0"/>
          <c:showPercent val="0"/>
          <c:showBubbleSize val="0"/>
          <c:showLeaderLines val="1"/>
        </c:dLbls>
        <c:gapWidth val="150"/>
        <c:secondPieSize val="75"/>
        <c:serLines>
          <c:spPr>
            <a:ln w="9525" cap="flat" cmpd="sng" algn="ctr">
              <a:solidFill>
                <a:schemeClr val="lt1">
                  <a:lumMod val="95000"/>
                  <a:alpha val="54000"/>
                </a:schemeClr>
              </a:solidFill>
              <a:round/>
            </a:ln>
            <a:effectLst/>
          </c:spPr>
        </c:serLines>
      </c:ofPieChart>
      <c:spPr>
        <a:noFill/>
        <a:ln>
          <a:noFill/>
        </a:ln>
        <a:effectLst/>
      </c:spPr>
    </c:plotArea>
    <c:legend>
      <c:legendPos val="l"/>
      <c:layout>
        <c:manualLayout>
          <c:xMode val="edge"/>
          <c:yMode val="edge"/>
          <c:x val="1.8349162897703657E-2"/>
          <c:y val="0.28600876777854689"/>
          <c:w val="0.16284882071711995"/>
          <c:h val="0.5341871521216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75000"/>
      </a:schemeClr>
    </a:soli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project.xlsx]sum of hours &amp; money!PivotTable1</c:name>
    <c:fmtId val="5"/>
  </c:pivotSource>
  <c:chart>
    <c:autoTitleDeleted val="0"/>
    <c:pivotFmts>
      <c:pivotFmt>
        <c:idx val="0"/>
        <c:spPr>
          <a:noFill/>
          <a:ln w="9525" cap="flat" cmpd="sng" algn="ctr">
            <a:solidFill>
              <a:schemeClr val="accent2"/>
            </a:solidFill>
            <a:miter lim="800000"/>
          </a:ln>
          <a:effectLst>
            <a:glow rad="63500">
              <a:schemeClr val="accent2">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2"/>
            </a:solidFill>
            <a:miter lim="800000"/>
          </a:ln>
          <a:effectLst>
            <a:glow rad="63500">
              <a:schemeClr val="accent2">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2"/>
            </a:solidFill>
            <a:miter lim="800000"/>
          </a:ln>
          <a:effectLst>
            <a:glow rad="63500">
              <a:schemeClr val="accent2">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2"/>
            </a:solidFill>
            <a:miter lim="800000"/>
          </a:ln>
          <a:effectLst>
            <a:glow rad="63500">
              <a:schemeClr val="accent2">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60000"/>
                      <a:lumOff val="4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2225" cap="rnd">
            <a:solidFill>
              <a:schemeClr val="accent2"/>
            </a:solidFill>
          </a:ln>
          <a:effectLst>
            <a:glow rad="139700">
              <a:schemeClr val="accent2">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60000"/>
                      <a:lumOff val="4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layout>
            <c:manualLayout>
              <c:x val="-4.3546740884233735E-2"/>
              <c:y val="4.74377741962693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60000"/>
                      <a:lumOff val="4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layout>
            <c:manualLayout>
              <c:x val="-4.3546740884233825E-2"/>
              <c:y val="5.69182373504867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60000"/>
                      <a:lumOff val="4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layout>
            <c:manualLayout>
              <c:x val="-4.3546740884233825E-2"/>
              <c:y val="4.743777419626947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60000"/>
                      <a:lumOff val="4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layout>
            <c:manualLayout>
              <c:x val="-4.3546740884233825E-2"/>
              <c:y val="5.21780057733781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60000"/>
                      <a:lumOff val="4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layout>
            <c:manualLayout>
              <c:x val="-4.3546740884233735E-2"/>
              <c:y val="4.743777419626947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60000"/>
                      <a:lumOff val="4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layout>
            <c:manualLayout>
              <c:x val="-4.3546740884233735E-2"/>
              <c:y val="4.743777419626947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60000"/>
                      <a:lumOff val="4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layout>
            <c:manualLayout>
              <c:x val="-4.3546740884233735E-2"/>
              <c:y val="3.79573110420521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60000"/>
                      <a:lumOff val="4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layout>
            <c:manualLayout>
              <c:x val="-4.3546740884233735E-2"/>
              <c:y val="5.21780057733782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60000"/>
                      <a:lumOff val="4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117796439913225E-2"/>
          <c:y val="0.11621919710237064"/>
          <c:w val="0.90900423116553364"/>
          <c:h val="0.71246663276617739"/>
        </c:manualLayout>
      </c:layout>
      <c:lineChart>
        <c:grouping val="standard"/>
        <c:varyColors val="0"/>
        <c:ser>
          <c:idx val="0"/>
          <c:order val="0"/>
          <c:tx>
            <c:strRef>
              <c:f>'sum of hours &amp; money'!$B$3</c:f>
              <c:strCache>
                <c:ptCount val="1"/>
                <c:pt idx="0">
                  <c:v>Sum of hour_of_day</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Pt>
            <c:idx val="0"/>
            <c:marker>
              <c:symbol val="circle"/>
              <c:size val="4"/>
              <c:spPr>
                <a:solidFill>
                  <a:schemeClr val="accent2">
                    <a:lumMod val="60000"/>
                    <a:lumOff val="40000"/>
                  </a:schemeClr>
                </a:solidFill>
                <a:ln>
                  <a:noFill/>
                </a:ln>
                <a:effectLst>
                  <a:glow rad="63500">
                    <a:schemeClr val="accent2">
                      <a:satMod val="175000"/>
                      <a:alpha val="25000"/>
                    </a:schemeClr>
                  </a:glow>
                </a:effectLst>
              </c:spPr>
            </c:marker>
            <c:bubble3D val="0"/>
            <c:spPr>
              <a:ln w="22225" cap="rnd">
                <a:solidFill>
                  <a:schemeClr val="accent2"/>
                </a:solidFill>
              </a:ln>
              <a:effectLst>
                <a:glow rad="139700">
                  <a:schemeClr val="accent2">
                    <a:satMod val="175000"/>
                    <a:alpha val="14000"/>
                  </a:schemeClr>
                </a:glow>
              </a:effectLst>
            </c:spPr>
            <c:extLst>
              <c:ext xmlns:c16="http://schemas.microsoft.com/office/drawing/2014/chart" uri="{C3380CC4-5D6E-409C-BE32-E72D297353CC}">
                <c16:uniqueId val="{00000002-2254-455B-B8F1-9A5252497AB9}"/>
              </c:ext>
            </c:extLst>
          </c:dPt>
          <c:dPt>
            <c:idx val="1"/>
            <c:marker>
              <c:symbol val="circle"/>
              <c:size val="4"/>
              <c:spPr>
                <a:solidFill>
                  <a:schemeClr val="accent2">
                    <a:lumMod val="60000"/>
                    <a:lumOff val="40000"/>
                  </a:schemeClr>
                </a:solidFill>
                <a:ln>
                  <a:noFill/>
                </a:ln>
                <a:effectLst>
                  <a:glow rad="63500">
                    <a:schemeClr val="accent2">
                      <a:satMod val="175000"/>
                      <a:alpha val="25000"/>
                    </a:schemeClr>
                  </a:glow>
                </a:effectLst>
              </c:spPr>
            </c:marker>
            <c:bubble3D val="0"/>
            <c:spPr>
              <a:ln w="22225" cap="rnd">
                <a:solidFill>
                  <a:schemeClr val="accent2"/>
                </a:solidFill>
              </a:ln>
              <a:effectLst>
                <a:glow rad="139700">
                  <a:schemeClr val="accent2">
                    <a:satMod val="175000"/>
                    <a:alpha val="14000"/>
                  </a:schemeClr>
                </a:glow>
              </a:effectLst>
            </c:spPr>
            <c:extLst>
              <c:ext xmlns:c16="http://schemas.microsoft.com/office/drawing/2014/chart" uri="{C3380CC4-5D6E-409C-BE32-E72D297353CC}">
                <c16:uniqueId val="{00000009-2254-455B-B8F1-9A5252497AB9}"/>
              </c:ext>
            </c:extLst>
          </c:dPt>
          <c:dPt>
            <c:idx val="2"/>
            <c:marker>
              <c:symbol val="circle"/>
              <c:size val="4"/>
              <c:spPr>
                <a:solidFill>
                  <a:schemeClr val="accent2">
                    <a:lumMod val="60000"/>
                    <a:lumOff val="40000"/>
                  </a:schemeClr>
                </a:solidFill>
                <a:ln>
                  <a:noFill/>
                </a:ln>
                <a:effectLst>
                  <a:glow rad="63500">
                    <a:schemeClr val="accent2">
                      <a:satMod val="175000"/>
                      <a:alpha val="25000"/>
                    </a:schemeClr>
                  </a:glow>
                </a:effectLst>
              </c:spPr>
            </c:marker>
            <c:bubble3D val="0"/>
            <c:spPr>
              <a:ln w="22225" cap="rnd">
                <a:solidFill>
                  <a:schemeClr val="accent2"/>
                </a:solidFill>
              </a:ln>
              <a:effectLst>
                <a:glow rad="139700">
                  <a:schemeClr val="accent2">
                    <a:satMod val="175000"/>
                    <a:alpha val="14000"/>
                  </a:schemeClr>
                </a:glow>
              </a:effectLst>
            </c:spPr>
            <c:extLst>
              <c:ext xmlns:c16="http://schemas.microsoft.com/office/drawing/2014/chart" uri="{C3380CC4-5D6E-409C-BE32-E72D297353CC}">
                <c16:uniqueId val="{00000008-2254-455B-B8F1-9A5252497AB9}"/>
              </c:ext>
            </c:extLst>
          </c:dPt>
          <c:dPt>
            <c:idx val="3"/>
            <c:marker>
              <c:symbol val="circle"/>
              <c:size val="4"/>
              <c:spPr>
                <a:solidFill>
                  <a:schemeClr val="accent2">
                    <a:lumMod val="60000"/>
                    <a:lumOff val="40000"/>
                  </a:schemeClr>
                </a:solidFill>
                <a:ln>
                  <a:noFill/>
                </a:ln>
                <a:effectLst>
                  <a:glow rad="63500">
                    <a:schemeClr val="accent2">
                      <a:satMod val="175000"/>
                      <a:alpha val="25000"/>
                    </a:schemeClr>
                  </a:glow>
                </a:effectLst>
              </c:spPr>
            </c:marker>
            <c:bubble3D val="0"/>
            <c:spPr>
              <a:ln w="22225" cap="rnd">
                <a:solidFill>
                  <a:schemeClr val="accent2"/>
                </a:solidFill>
              </a:ln>
              <a:effectLst>
                <a:glow rad="139700">
                  <a:schemeClr val="accent2">
                    <a:satMod val="175000"/>
                    <a:alpha val="14000"/>
                  </a:schemeClr>
                </a:glow>
              </a:effectLst>
            </c:spPr>
            <c:extLst>
              <c:ext xmlns:c16="http://schemas.microsoft.com/office/drawing/2014/chart" uri="{C3380CC4-5D6E-409C-BE32-E72D297353CC}">
                <c16:uniqueId val="{00000007-2254-455B-B8F1-9A5252497AB9}"/>
              </c:ext>
            </c:extLst>
          </c:dPt>
          <c:dPt>
            <c:idx val="4"/>
            <c:marker>
              <c:symbol val="circle"/>
              <c:size val="4"/>
              <c:spPr>
                <a:solidFill>
                  <a:schemeClr val="accent2">
                    <a:lumMod val="60000"/>
                    <a:lumOff val="40000"/>
                  </a:schemeClr>
                </a:solidFill>
                <a:ln>
                  <a:noFill/>
                </a:ln>
                <a:effectLst>
                  <a:glow rad="63500">
                    <a:schemeClr val="accent2">
                      <a:satMod val="175000"/>
                      <a:alpha val="25000"/>
                    </a:schemeClr>
                  </a:glow>
                </a:effectLst>
              </c:spPr>
            </c:marker>
            <c:bubble3D val="0"/>
            <c:spPr>
              <a:ln w="22225" cap="rnd">
                <a:solidFill>
                  <a:schemeClr val="accent2"/>
                </a:solidFill>
              </a:ln>
              <a:effectLst>
                <a:glow rad="139700">
                  <a:schemeClr val="accent2">
                    <a:satMod val="175000"/>
                    <a:alpha val="14000"/>
                  </a:schemeClr>
                </a:glow>
              </a:effectLst>
            </c:spPr>
            <c:extLst>
              <c:ext xmlns:c16="http://schemas.microsoft.com/office/drawing/2014/chart" uri="{C3380CC4-5D6E-409C-BE32-E72D297353CC}">
                <c16:uniqueId val="{00000006-2254-455B-B8F1-9A5252497AB9}"/>
              </c:ext>
            </c:extLst>
          </c:dPt>
          <c:dPt>
            <c:idx val="5"/>
            <c:marker>
              <c:symbol val="circle"/>
              <c:size val="4"/>
              <c:spPr>
                <a:solidFill>
                  <a:schemeClr val="accent2">
                    <a:lumMod val="60000"/>
                    <a:lumOff val="40000"/>
                  </a:schemeClr>
                </a:solidFill>
                <a:ln>
                  <a:noFill/>
                </a:ln>
                <a:effectLst>
                  <a:glow rad="63500">
                    <a:schemeClr val="accent2">
                      <a:satMod val="175000"/>
                      <a:alpha val="25000"/>
                    </a:schemeClr>
                  </a:glow>
                </a:effectLst>
              </c:spPr>
            </c:marker>
            <c:bubble3D val="0"/>
            <c:spPr>
              <a:ln w="22225" cap="rnd">
                <a:solidFill>
                  <a:schemeClr val="accent2"/>
                </a:solidFill>
              </a:ln>
              <a:effectLst>
                <a:glow rad="139700">
                  <a:schemeClr val="accent2">
                    <a:satMod val="175000"/>
                    <a:alpha val="14000"/>
                  </a:schemeClr>
                </a:glow>
              </a:effectLst>
            </c:spPr>
            <c:extLst>
              <c:ext xmlns:c16="http://schemas.microsoft.com/office/drawing/2014/chart" uri="{C3380CC4-5D6E-409C-BE32-E72D297353CC}">
                <c16:uniqueId val="{00000005-2254-455B-B8F1-9A5252497AB9}"/>
              </c:ext>
            </c:extLst>
          </c:dPt>
          <c:dPt>
            <c:idx val="6"/>
            <c:marker>
              <c:symbol val="circle"/>
              <c:size val="4"/>
              <c:spPr>
                <a:solidFill>
                  <a:schemeClr val="accent2">
                    <a:lumMod val="60000"/>
                    <a:lumOff val="40000"/>
                  </a:schemeClr>
                </a:solidFill>
                <a:ln>
                  <a:noFill/>
                </a:ln>
                <a:effectLst>
                  <a:glow rad="63500">
                    <a:schemeClr val="accent2">
                      <a:satMod val="175000"/>
                      <a:alpha val="25000"/>
                    </a:schemeClr>
                  </a:glow>
                </a:effectLst>
              </c:spPr>
            </c:marker>
            <c:bubble3D val="0"/>
            <c:spPr>
              <a:ln w="22225" cap="rnd">
                <a:solidFill>
                  <a:schemeClr val="accent2"/>
                </a:solidFill>
              </a:ln>
              <a:effectLst>
                <a:glow rad="139700">
                  <a:schemeClr val="accent2">
                    <a:satMod val="175000"/>
                    <a:alpha val="14000"/>
                  </a:schemeClr>
                </a:glow>
              </a:effectLst>
            </c:spPr>
            <c:extLst>
              <c:ext xmlns:c16="http://schemas.microsoft.com/office/drawing/2014/chart" uri="{C3380CC4-5D6E-409C-BE32-E72D297353CC}">
                <c16:uniqueId val="{00000004-2254-455B-B8F1-9A5252497AB9}"/>
              </c:ext>
            </c:extLst>
          </c:dPt>
          <c:dPt>
            <c:idx val="7"/>
            <c:marker>
              <c:symbol val="circle"/>
              <c:size val="4"/>
              <c:spPr>
                <a:solidFill>
                  <a:schemeClr val="accent2">
                    <a:lumMod val="60000"/>
                    <a:lumOff val="40000"/>
                  </a:schemeClr>
                </a:solidFill>
                <a:ln>
                  <a:noFill/>
                </a:ln>
                <a:effectLst>
                  <a:glow rad="63500">
                    <a:schemeClr val="accent2">
                      <a:satMod val="175000"/>
                      <a:alpha val="25000"/>
                    </a:schemeClr>
                  </a:glow>
                </a:effectLst>
              </c:spPr>
            </c:marker>
            <c:bubble3D val="0"/>
            <c:spPr>
              <a:ln w="22225" cap="rnd">
                <a:solidFill>
                  <a:schemeClr val="accent2"/>
                </a:solidFill>
              </a:ln>
              <a:effectLst>
                <a:glow rad="139700">
                  <a:schemeClr val="accent2">
                    <a:satMod val="175000"/>
                    <a:alpha val="14000"/>
                  </a:schemeClr>
                </a:glow>
              </a:effectLst>
            </c:spPr>
            <c:extLst>
              <c:ext xmlns:c16="http://schemas.microsoft.com/office/drawing/2014/chart" uri="{C3380CC4-5D6E-409C-BE32-E72D297353CC}">
                <c16:uniqueId val="{00000003-2254-455B-B8F1-9A5252497AB9}"/>
              </c:ext>
            </c:extLst>
          </c:dPt>
          <c:dLbls>
            <c:dLbl>
              <c:idx val="0"/>
              <c:layout>
                <c:manualLayout>
                  <c:x val="-4.3546740884233735E-2"/>
                  <c:y val="5.217800577337820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254-455B-B8F1-9A5252497AB9}"/>
                </c:ext>
              </c:extLst>
            </c:dLbl>
            <c:dLbl>
              <c:idx val="1"/>
              <c:layout>
                <c:manualLayout>
                  <c:x val="-4.3546740884233735E-2"/>
                  <c:y val="3.79573110420521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254-455B-B8F1-9A5252497AB9}"/>
                </c:ext>
              </c:extLst>
            </c:dLbl>
            <c:dLbl>
              <c:idx val="2"/>
              <c:layout>
                <c:manualLayout>
                  <c:x val="-4.3546740884233735E-2"/>
                  <c:y val="4.743777419626947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254-455B-B8F1-9A5252497AB9}"/>
                </c:ext>
              </c:extLst>
            </c:dLbl>
            <c:dLbl>
              <c:idx val="3"/>
              <c:layout>
                <c:manualLayout>
                  <c:x val="-4.3546740884233735E-2"/>
                  <c:y val="4.743777419626947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254-455B-B8F1-9A5252497AB9}"/>
                </c:ext>
              </c:extLst>
            </c:dLbl>
            <c:dLbl>
              <c:idx val="4"/>
              <c:layout>
                <c:manualLayout>
                  <c:x val="-4.3546740884233825E-2"/>
                  <c:y val="5.217800577337811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254-455B-B8F1-9A5252497AB9}"/>
                </c:ext>
              </c:extLst>
            </c:dLbl>
            <c:dLbl>
              <c:idx val="5"/>
              <c:layout>
                <c:manualLayout>
                  <c:x val="-4.3546740884233825E-2"/>
                  <c:y val="4.743777419626947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254-455B-B8F1-9A5252497AB9}"/>
                </c:ext>
              </c:extLst>
            </c:dLbl>
            <c:dLbl>
              <c:idx val="6"/>
              <c:layout>
                <c:manualLayout>
                  <c:x val="-4.3546740884233825E-2"/>
                  <c:y val="5.691823735048675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254-455B-B8F1-9A5252497AB9}"/>
                </c:ext>
              </c:extLst>
            </c:dLbl>
            <c:dLbl>
              <c:idx val="7"/>
              <c:layout>
                <c:manualLayout>
                  <c:x val="-4.3546740884233735E-2"/>
                  <c:y val="4.743777419626939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254-455B-B8F1-9A5252497AB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60000"/>
                        <a:lumOff val="4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'sum of hours &amp; money'!$A$4:$A$12</c:f>
              <c:strCache>
                <c:ptCount val="8"/>
                <c:pt idx="0">
                  <c:v>Mar</c:v>
                </c:pt>
                <c:pt idx="1">
                  <c:v>Apr</c:v>
                </c:pt>
                <c:pt idx="2">
                  <c:v>May</c:v>
                </c:pt>
                <c:pt idx="3">
                  <c:v>Jun</c:v>
                </c:pt>
                <c:pt idx="4">
                  <c:v>Jul</c:v>
                </c:pt>
                <c:pt idx="5">
                  <c:v>Aug</c:v>
                </c:pt>
                <c:pt idx="6">
                  <c:v>Sep</c:v>
                </c:pt>
                <c:pt idx="7">
                  <c:v>Oct</c:v>
                </c:pt>
              </c:strCache>
            </c:strRef>
          </c:cat>
          <c:val>
            <c:numRef>
              <c:f>'sum of hours &amp; money'!$B$4:$B$12</c:f>
              <c:numCache>
                <c:formatCode>General</c:formatCode>
                <c:ptCount val="8"/>
                <c:pt idx="0">
                  <c:v>2822</c:v>
                </c:pt>
                <c:pt idx="1">
                  <c:v>2829</c:v>
                </c:pt>
                <c:pt idx="2">
                  <c:v>3996</c:v>
                </c:pt>
                <c:pt idx="3">
                  <c:v>3481</c:v>
                </c:pt>
                <c:pt idx="4">
                  <c:v>3360</c:v>
                </c:pt>
                <c:pt idx="5">
                  <c:v>3674</c:v>
                </c:pt>
                <c:pt idx="6">
                  <c:v>4954</c:v>
                </c:pt>
                <c:pt idx="7">
                  <c:v>3508</c:v>
                </c:pt>
              </c:numCache>
            </c:numRef>
          </c:val>
          <c:smooth val="0"/>
          <c:extLst>
            <c:ext xmlns:c16="http://schemas.microsoft.com/office/drawing/2014/chart" uri="{C3380CC4-5D6E-409C-BE32-E72D297353CC}">
              <c16:uniqueId val="{00000000-2254-455B-B8F1-9A5252497AB9}"/>
            </c:ext>
          </c:extLst>
        </c:ser>
        <c:ser>
          <c:idx val="1"/>
          <c:order val="1"/>
          <c:tx>
            <c:strRef>
              <c:f>'sum of hours &amp; money'!$C$3</c:f>
              <c:strCache>
                <c:ptCount val="1"/>
                <c:pt idx="0">
                  <c:v>Sum of money</c:v>
                </c:pt>
              </c:strCache>
            </c:strRef>
          </c:tx>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60000"/>
                        <a:lumOff val="4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'sum of hours &amp; money'!$A$4:$A$12</c:f>
              <c:strCache>
                <c:ptCount val="8"/>
                <c:pt idx="0">
                  <c:v>Mar</c:v>
                </c:pt>
                <c:pt idx="1">
                  <c:v>Apr</c:v>
                </c:pt>
                <c:pt idx="2">
                  <c:v>May</c:v>
                </c:pt>
                <c:pt idx="3">
                  <c:v>Jun</c:v>
                </c:pt>
                <c:pt idx="4">
                  <c:v>Jul</c:v>
                </c:pt>
                <c:pt idx="5">
                  <c:v>Aug</c:v>
                </c:pt>
                <c:pt idx="6">
                  <c:v>Sep</c:v>
                </c:pt>
                <c:pt idx="7">
                  <c:v>Oct</c:v>
                </c:pt>
              </c:strCache>
            </c:strRef>
          </c:cat>
          <c:val>
            <c:numRef>
              <c:f>'sum of hours &amp; money'!$C$4:$C$12</c:f>
              <c:numCache>
                <c:formatCode>[$R]#,##0.00</c:formatCode>
                <c:ptCount val="8"/>
                <c:pt idx="0">
                  <c:v>7050.1999999999871</c:v>
                </c:pt>
                <c:pt idx="1">
                  <c:v>6720.5600000000013</c:v>
                </c:pt>
                <c:pt idx="2">
                  <c:v>9063.4200000000019</c:v>
                </c:pt>
                <c:pt idx="3">
                  <c:v>7758.7600000000048</c:v>
                </c:pt>
                <c:pt idx="4">
                  <c:v>6915.940000000006</c:v>
                </c:pt>
                <c:pt idx="5">
                  <c:v>7613.8400000000147</c:v>
                </c:pt>
                <c:pt idx="6">
                  <c:v>9988.6400000000067</c:v>
                </c:pt>
                <c:pt idx="7">
                  <c:v>8152.5600000000222</c:v>
                </c:pt>
              </c:numCache>
            </c:numRef>
          </c:val>
          <c:smooth val="0"/>
          <c:extLst>
            <c:ext xmlns:c16="http://schemas.microsoft.com/office/drawing/2014/chart" uri="{C3380CC4-5D6E-409C-BE32-E72D297353CC}">
              <c16:uniqueId val="{00000001-2254-455B-B8F1-9A5252497AB9}"/>
            </c:ext>
          </c:extLst>
        </c:ser>
        <c:dLbls>
          <c:dLblPos val="t"/>
          <c:showLegendKey val="0"/>
          <c:showVal val="1"/>
          <c:showCatName val="0"/>
          <c:showSerName val="0"/>
          <c:showPercent val="0"/>
          <c:showBubbleSize val="0"/>
        </c:dLbls>
        <c:upDownBars>
          <c:gapWidth val="315"/>
          <c:upBars>
            <c:spPr>
              <a:solidFill>
                <a:schemeClr val="accent4">
                  <a:alpha val="50000"/>
                </a:schemeClr>
              </a:solidFill>
              <a:ln w="9525">
                <a:noFill/>
                <a:round/>
              </a:ln>
              <a:effectLst/>
            </c:spPr>
          </c:upBars>
          <c:downBars>
            <c:spPr>
              <a:solidFill>
                <a:schemeClr val="dk1">
                  <a:lumMod val="50000"/>
                  <a:lumOff val="50000"/>
                </a:schemeClr>
              </a:solidFill>
              <a:ln w="9525">
                <a:solidFill>
                  <a:schemeClr val="dk1">
                    <a:lumMod val="75000"/>
                  </a:schemeClr>
                </a:solidFill>
                <a:round/>
              </a:ln>
              <a:effectLst/>
            </c:spPr>
          </c:downBars>
        </c:upDownBars>
        <c:marker val="1"/>
        <c:smooth val="0"/>
        <c:axId val="1278072751"/>
        <c:axId val="1278061711"/>
      </c:lineChart>
      <c:catAx>
        <c:axId val="127807275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cap="none" spc="0" baseline="0">
                <a:ln/>
                <a:solidFill>
                  <a:schemeClr val="accent6">
                    <a:lumMod val="60000"/>
                    <a:lumOff val="40000"/>
                  </a:schemeClr>
                </a:solidFill>
                <a:effectLst/>
                <a:latin typeface="+mn-lt"/>
                <a:ea typeface="+mn-ea"/>
                <a:cs typeface="+mn-cs"/>
              </a:defRPr>
            </a:pPr>
            <a:endParaRPr lang="en-US"/>
          </a:p>
        </c:txPr>
        <c:crossAx val="1278061711"/>
        <c:crosses val="autoZero"/>
        <c:auto val="1"/>
        <c:lblAlgn val="ctr"/>
        <c:lblOffset val="100"/>
        <c:noMultiLvlLbl val="0"/>
      </c:catAx>
      <c:valAx>
        <c:axId val="127806171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cap="none" spc="0" baseline="0">
                <a:ln/>
                <a:solidFill>
                  <a:schemeClr val="accent6">
                    <a:lumMod val="60000"/>
                    <a:lumOff val="40000"/>
                  </a:schemeClr>
                </a:solidFill>
                <a:effectLst/>
                <a:latin typeface="+mn-lt"/>
                <a:ea typeface="+mn-ea"/>
                <a:cs typeface="+mn-cs"/>
              </a:defRPr>
            </a:pPr>
            <a:endParaRPr lang="en-US"/>
          </a:p>
        </c:txPr>
        <c:crossAx val="1278072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4">
  <a:schemeClr val="accent4"/>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withinLinearReversed" id="21">
  <a:schemeClr val="accent1"/>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7">
  <a:schemeClr val="accent4"/>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21">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21">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image" Target="../media/image9.svg"/><Relationship Id="rId3" Type="http://schemas.openxmlformats.org/officeDocument/2006/relationships/image" Target="../media/image1.emf"/><Relationship Id="rId7" Type="http://schemas.openxmlformats.org/officeDocument/2006/relationships/image" Target="../media/image3.svg"/><Relationship Id="rId12" Type="http://schemas.openxmlformats.org/officeDocument/2006/relationships/image" Target="../media/image8.png"/><Relationship Id="rId2" Type="http://schemas.openxmlformats.org/officeDocument/2006/relationships/chart" Target="../charts/chart7.xml"/><Relationship Id="rId16" Type="http://schemas.openxmlformats.org/officeDocument/2006/relationships/chart" Target="../charts/chart10.xml"/><Relationship Id="rId1" Type="http://schemas.openxmlformats.org/officeDocument/2006/relationships/chart" Target="../charts/chart6.xml"/><Relationship Id="rId6" Type="http://schemas.openxmlformats.org/officeDocument/2006/relationships/image" Target="../media/image2.png"/><Relationship Id="rId11" Type="http://schemas.openxmlformats.org/officeDocument/2006/relationships/image" Target="../media/image7.svg"/><Relationship Id="rId5" Type="http://schemas.openxmlformats.org/officeDocument/2006/relationships/chart" Target="../charts/chart9.xml"/><Relationship Id="rId15" Type="http://schemas.openxmlformats.org/officeDocument/2006/relationships/image" Target="../media/image11.svg"/><Relationship Id="rId10" Type="http://schemas.openxmlformats.org/officeDocument/2006/relationships/image" Target="../media/image6.png"/><Relationship Id="rId4" Type="http://schemas.openxmlformats.org/officeDocument/2006/relationships/chart" Target="../charts/chart8.xml"/><Relationship Id="rId9" Type="http://schemas.openxmlformats.org/officeDocument/2006/relationships/image" Target="../media/image5.svg"/><Relationship Id="rId1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2</xdr:col>
      <xdr:colOff>601980</xdr:colOff>
      <xdr:row>2</xdr:row>
      <xdr:rowOff>7620</xdr:rowOff>
    </xdr:from>
    <xdr:to>
      <xdr:col>13</xdr:col>
      <xdr:colOff>0</xdr:colOff>
      <xdr:row>24</xdr:row>
      <xdr:rowOff>22860</xdr:rowOff>
    </xdr:to>
    <xdr:graphicFrame macro="">
      <xdr:nvGraphicFramePr>
        <xdr:cNvPr id="2" name="Chart 1">
          <a:extLst>
            <a:ext uri="{FF2B5EF4-FFF2-40B4-BE49-F238E27FC236}">
              <a16:creationId xmlns:a16="http://schemas.microsoft.com/office/drawing/2014/main" id="{40CDA12A-96CC-A8CE-E76B-58D6B5600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7620</xdr:colOff>
      <xdr:row>2</xdr:row>
      <xdr:rowOff>0</xdr:rowOff>
    </xdr:from>
    <xdr:to>
      <xdr:col>14</xdr:col>
      <xdr:colOff>883920</xdr:colOff>
      <xdr:row>23</xdr:row>
      <xdr:rowOff>167640</xdr:rowOff>
    </xdr:to>
    <xdr:graphicFrame macro="">
      <xdr:nvGraphicFramePr>
        <xdr:cNvPr id="2" name="Chart 1">
          <a:extLst>
            <a:ext uri="{FF2B5EF4-FFF2-40B4-BE49-F238E27FC236}">
              <a16:creationId xmlns:a16="http://schemas.microsoft.com/office/drawing/2014/main" id="{8A02C1B8-D403-6CDA-0BEF-5B6A289FFA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632460</xdr:colOff>
      <xdr:row>13</xdr:row>
      <xdr:rowOff>22860</xdr:rowOff>
    </xdr:from>
    <xdr:to>
      <xdr:col>10</xdr:col>
      <xdr:colOff>15240</xdr:colOff>
      <xdr:row>35</xdr:row>
      <xdr:rowOff>30480</xdr:rowOff>
    </xdr:to>
    <xdr:graphicFrame macro="">
      <xdr:nvGraphicFramePr>
        <xdr:cNvPr id="3" name="Chart 2">
          <a:extLst>
            <a:ext uri="{FF2B5EF4-FFF2-40B4-BE49-F238E27FC236}">
              <a16:creationId xmlns:a16="http://schemas.microsoft.com/office/drawing/2014/main" id="{75F6B56E-7F99-8BC7-FD4E-5A421C8E17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601980</xdr:colOff>
      <xdr:row>2</xdr:row>
      <xdr:rowOff>3810</xdr:rowOff>
    </xdr:from>
    <xdr:to>
      <xdr:col>13</xdr:col>
      <xdr:colOff>45720</xdr:colOff>
      <xdr:row>22</xdr:row>
      <xdr:rowOff>30480</xdr:rowOff>
    </xdr:to>
    <xdr:graphicFrame macro="">
      <xdr:nvGraphicFramePr>
        <xdr:cNvPr id="2" name="Chart 1">
          <a:extLst>
            <a:ext uri="{FF2B5EF4-FFF2-40B4-BE49-F238E27FC236}">
              <a16:creationId xmlns:a16="http://schemas.microsoft.com/office/drawing/2014/main" id="{F7D625C0-5F31-7A96-4F0B-DD69B9FD10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601980</xdr:colOff>
      <xdr:row>2</xdr:row>
      <xdr:rowOff>0</xdr:rowOff>
    </xdr:from>
    <xdr:to>
      <xdr:col>13</xdr:col>
      <xdr:colOff>601980</xdr:colOff>
      <xdr:row>25</xdr:row>
      <xdr:rowOff>7620</xdr:rowOff>
    </xdr:to>
    <xdr:graphicFrame macro="">
      <xdr:nvGraphicFramePr>
        <xdr:cNvPr id="2" name="Chart 1">
          <a:extLst>
            <a:ext uri="{FF2B5EF4-FFF2-40B4-BE49-F238E27FC236}">
              <a16:creationId xmlns:a16="http://schemas.microsoft.com/office/drawing/2014/main" id="{A1338CFC-20F9-B004-2F5A-7243F1702B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487680</xdr:colOff>
      <xdr:row>1</xdr:row>
      <xdr:rowOff>38100</xdr:rowOff>
    </xdr:from>
    <xdr:to>
      <xdr:col>21</xdr:col>
      <xdr:colOff>60960</xdr:colOff>
      <xdr:row>44</xdr:row>
      <xdr:rowOff>144780</xdr:rowOff>
    </xdr:to>
    <xdr:sp macro="" textlink="">
      <xdr:nvSpPr>
        <xdr:cNvPr id="16" name="Rectangle: Rounded Corners 15">
          <a:extLst>
            <a:ext uri="{FF2B5EF4-FFF2-40B4-BE49-F238E27FC236}">
              <a16:creationId xmlns:a16="http://schemas.microsoft.com/office/drawing/2014/main" id="{C47C2A15-CFF8-9481-27A9-8EC2622D7227}"/>
            </a:ext>
          </a:extLst>
        </xdr:cNvPr>
        <xdr:cNvSpPr/>
      </xdr:nvSpPr>
      <xdr:spPr>
        <a:xfrm>
          <a:off x="1097280" y="220980"/>
          <a:ext cx="11765280" cy="7970520"/>
        </a:xfrm>
        <a:prstGeom prst="roundRect">
          <a:avLst>
            <a:gd name="adj" fmla="val 1922"/>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381000</xdr:colOff>
      <xdr:row>1</xdr:row>
      <xdr:rowOff>38100</xdr:rowOff>
    </xdr:from>
    <xdr:to>
      <xdr:col>14</xdr:col>
      <xdr:colOff>175260</xdr:colOff>
      <xdr:row>6</xdr:row>
      <xdr:rowOff>83820</xdr:rowOff>
    </xdr:to>
    <xdr:sp macro="" textlink="">
      <xdr:nvSpPr>
        <xdr:cNvPr id="17" name="Rectangle: Rounded Corners 16">
          <a:extLst>
            <a:ext uri="{FF2B5EF4-FFF2-40B4-BE49-F238E27FC236}">
              <a16:creationId xmlns:a16="http://schemas.microsoft.com/office/drawing/2014/main" id="{73CC5FE3-B3E5-A224-9C0B-0814FA0B52A3}"/>
            </a:ext>
          </a:extLst>
        </xdr:cNvPr>
        <xdr:cNvSpPr/>
      </xdr:nvSpPr>
      <xdr:spPr>
        <a:xfrm>
          <a:off x="3429000" y="220980"/>
          <a:ext cx="5280660" cy="960120"/>
        </a:xfrm>
        <a:prstGeom prst="round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487680</xdr:colOff>
      <xdr:row>1</xdr:row>
      <xdr:rowOff>30480</xdr:rowOff>
    </xdr:from>
    <xdr:to>
      <xdr:col>5</xdr:col>
      <xdr:colOff>381000</xdr:colOff>
      <xdr:row>6</xdr:row>
      <xdr:rowOff>76200</xdr:rowOff>
    </xdr:to>
    <xdr:sp macro="" textlink="">
      <xdr:nvSpPr>
        <xdr:cNvPr id="18" name="Rectangle: Rounded Corners 17">
          <a:extLst>
            <a:ext uri="{FF2B5EF4-FFF2-40B4-BE49-F238E27FC236}">
              <a16:creationId xmlns:a16="http://schemas.microsoft.com/office/drawing/2014/main" id="{274DBB97-90C8-0F85-D85E-96BD0E1C64C3}"/>
            </a:ext>
          </a:extLst>
        </xdr:cNvPr>
        <xdr:cNvSpPr/>
      </xdr:nvSpPr>
      <xdr:spPr>
        <a:xfrm>
          <a:off x="1097280" y="213360"/>
          <a:ext cx="2331720" cy="960120"/>
        </a:xfrm>
        <a:prstGeom prst="roundRect">
          <a:avLst>
            <a:gd name="adj" fmla="val 19867"/>
          </a:avLst>
        </a:prstGeom>
        <a:solidFill>
          <a:schemeClr val="accent4">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190500</xdr:colOff>
      <xdr:row>1</xdr:row>
      <xdr:rowOff>45720</xdr:rowOff>
    </xdr:from>
    <xdr:to>
      <xdr:col>21</xdr:col>
      <xdr:colOff>68580</xdr:colOff>
      <xdr:row>15</xdr:row>
      <xdr:rowOff>106680</xdr:rowOff>
    </xdr:to>
    <xdr:sp macro="" textlink="">
      <xdr:nvSpPr>
        <xdr:cNvPr id="19" name="Rectangle: Rounded Corners 18">
          <a:extLst>
            <a:ext uri="{FF2B5EF4-FFF2-40B4-BE49-F238E27FC236}">
              <a16:creationId xmlns:a16="http://schemas.microsoft.com/office/drawing/2014/main" id="{77B6A594-ADB4-3D6F-6A67-8100CA77231D}"/>
            </a:ext>
          </a:extLst>
        </xdr:cNvPr>
        <xdr:cNvSpPr/>
      </xdr:nvSpPr>
      <xdr:spPr>
        <a:xfrm>
          <a:off x="8724900" y="228600"/>
          <a:ext cx="4145280" cy="2621280"/>
        </a:xfrm>
        <a:prstGeom prst="roundRect">
          <a:avLst>
            <a:gd name="adj" fmla="val 2907"/>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495300</xdr:colOff>
      <xdr:row>6</xdr:row>
      <xdr:rowOff>91440</xdr:rowOff>
    </xdr:from>
    <xdr:to>
      <xdr:col>4</xdr:col>
      <xdr:colOff>563880</xdr:colOff>
      <xdr:row>11</xdr:row>
      <xdr:rowOff>68580</xdr:rowOff>
    </xdr:to>
    <xdr:sp macro="" textlink="">
      <xdr:nvSpPr>
        <xdr:cNvPr id="20" name="Rectangle: Rounded Corners 19">
          <a:extLst>
            <a:ext uri="{FF2B5EF4-FFF2-40B4-BE49-F238E27FC236}">
              <a16:creationId xmlns:a16="http://schemas.microsoft.com/office/drawing/2014/main" id="{54138FD1-F688-13AD-EBFA-60FA1829C532}"/>
            </a:ext>
          </a:extLst>
        </xdr:cNvPr>
        <xdr:cNvSpPr/>
      </xdr:nvSpPr>
      <xdr:spPr>
        <a:xfrm>
          <a:off x="1104900" y="1188720"/>
          <a:ext cx="1897380" cy="891540"/>
        </a:xfrm>
        <a:prstGeom prst="roundRect">
          <a:avLst>
            <a:gd name="adj" fmla="val 2565"/>
          </a:avLst>
        </a:prstGeom>
        <a:solidFill>
          <a:schemeClr val="accent4">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571500</xdr:colOff>
      <xdr:row>6</xdr:row>
      <xdr:rowOff>83820</xdr:rowOff>
    </xdr:from>
    <xdr:to>
      <xdr:col>8</xdr:col>
      <xdr:colOff>30480</xdr:colOff>
      <xdr:row>11</xdr:row>
      <xdr:rowOff>60960</xdr:rowOff>
    </xdr:to>
    <xdr:sp macro="" textlink="">
      <xdr:nvSpPr>
        <xdr:cNvPr id="25" name="Rectangle: Rounded Corners 24">
          <a:extLst>
            <a:ext uri="{FF2B5EF4-FFF2-40B4-BE49-F238E27FC236}">
              <a16:creationId xmlns:a16="http://schemas.microsoft.com/office/drawing/2014/main" id="{C8F62C2B-E6FF-43FE-868E-D9C166F81425}"/>
            </a:ext>
          </a:extLst>
        </xdr:cNvPr>
        <xdr:cNvSpPr/>
      </xdr:nvSpPr>
      <xdr:spPr>
        <a:xfrm>
          <a:off x="3009900" y="1181100"/>
          <a:ext cx="1897380" cy="891540"/>
        </a:xfrm>
        <a:prstGeom prst="roundRect">
          <a:avLst>
            <a:gd name="adj" fmla="val 0"/>
          </a:avLst>
        </a:prstGeom>
        <a:solidFill>
          <a:schemeClr val="accent4">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30480</xdr:colOff>
      <xdr:row>6</xdr:row>
      <xdr:rowOff>91440</xdr:rowOff>
    </xdr:from>
    <xdr:to>
      <xdr:col>11</xdr:col>
      <xdr:colOff>281940</xdr:colOff>
      <xdr:row>11</xdr:row>
      <xdr:rowOff>68580</xdr:rowOff>
    </xdr:to>
    <xdr:sp macro="" textlink="">
      <xdr:nvSpPr>
        <xdr:cNvPr id="26" name="Rectangle: Rounded Corners 25">
          <a:extLst>
            <a:ext uri="{FF2B5EF4-FFF2-40B4-BE49-F238E27FC236}">
              <a16:creationId xmlns:a16="http://schemas.microsoft.com/office/drawing/2014/main" id="{1EEDAFEB-E9ED-4306-BFA6-6116D7AABE25}"/>
            </a:ext>
          </a:extLst>
        </xdr:cNvPr>
        <xdr:cNvSpPr/>
      </xdr:nvSpPr>
      <xdr:spPr>
        <a:xfrm>
          <a:off x="4907280" y="1188720"/>
          <a:ext cx="2080260" cy="891540"/>
        </a:xfrm>
        <a:prstGeom prst="roundRect">
          <a:avLst>
            <a:gd name="adj" fmla="val 1282"/>
          </a:avLst>
        </a:prstGeom>
        <a:solidFill>
          <a:schemeClr val="accent4">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274321</xdr:colOff>
      <xdr:row>6</xdr:row>
      <xdr:rowOff>99060</xdr:rowOff>
    </xdr:from>
    <xdr:to>
      <xdr:col>14</xdr:col>
      <xdr:colOff>166688</xdr:colOff>
      <xdr:row>11</xdr:row>
      <xdr:rowOff>76200</xdr:rowOff>
    </xdr:to>
    <xdr:sp macro="" textlink="">
      <xdr:nvSpPr>
        <xdr:cNvPr id="27" name="Rectangle: Rounded Corners 26">
          <a:extLst>
            <a:ext uri="{FF2B5EF4-FFF2-40B4-BE49-F238E27FC236}">
              <a16:creationId xmlns:a16="http://schemas.microsoft.com/office/drawing/2014/main" id="{F150EC60-362B-4F3D-B13B-1CCAD9CD5A7B}"/>
            </a:ext>
          </a:extLst>
        </xdr:cNvPr>
        <xdr:cNvSpPr/>
      </xdr:nvSpPr>
      <xdr:spPr>
        <a:xfrm>
          <a:off x="6953727" y="1170623"/>
          <a:ext cx="1714024" cy="870108"/>
        </a:xfrm>
        <a:prstGeom prst="roundRect">
          <a:avLst>
            <a:gd name="adj" fmla="val 0"/>
          </a:avLst>
        </a:prstGeom>
        <a:solidFill>
          <a:schemeClr val="accent4">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182880</xdr:colOff>
      <xdr:row>15</xdr:row>
      <xdr:rowOff>99060</xdr:rowOff>
    </xdr:from>
    <xdr:to>
      <xdr:col>21</xdr:col>
      <xdr:colOff>60960</xdr:colOff>
      <xdr:row>30</xdr:row>
      <xdr:rowOff>0</xdr:rowOff>
    </xdr:to>
    <xdr:sp macro="" textlink="">
      <xdr:nvSpPr>
        <xdr:cNvPr id="28" name="Rectangle: Rounded Corners 27">
          <a:extLst>
            <a:ext uri="{FF2B5EF4-FFF2-40B4-BE49-F238E27FC236}">
              <a16:creationId xmlns:a16="http://schemas.microsoft.com/office/drawing/2014/main" id="{1529548E-1E2A-42EF-93F7-0A9FF9749298}"/>
            </a:ext>
          </a:extLst>
        </xdr:cNvPr>
        <xdr:cNvSpPr/>
      </xdr:nvSpPr>
      <xdr:spPr>
        <a:xfrm>
          <a:off x="8717280" y="2842260"/>
          <a:ext cx="4145280" cy="2644140"/>
        </a:xfrm>
        <a:prstGeom prst="roundRect">
          <a:avLst>
            <a:gd name="adj" fmla="val 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487680</xdr:colOff>
      <xdr:row>11</xdr:row>
      <xdr:rowOff>83820</xdr:rowOff>
    </xdr:from>
    <xdr:to>
      <xdr:col>4</xdr:col>
      <xdr:colOff>563880</xdr:colOff>
      <xdr:row>44</xdr:row>
      <xdr:rowOff>151141</xdr:rowOff>
    </xdr:to>
    <xdr:sp macro="" textlink="">
      <xdr:nvSpPr>
        <xdr:cNvPr id="29" name="Rectangle: Rounded Corners 28">
          <a:extLst>
            <a:ext uri="{FF2B5EF4-FFF2-40B4-BE49-F238E27FC236}">
              <a16:creationId xmlns:a16="http://schemas.microsoft.com/office/drawing/2014/main" id="{B83E3D79-634D-DD2E-AEE1-92F954F55743}"/>
            </a:ext>
          </a:extLst>
        </xdr:cNvPr>
        <xdr:cNvSpPr/>
      </xdr:nvSpPr>
      <xdr:spPr>
        <a:xfrm>
          <a:off x="1098540" y="2092729"/>
          <a:ext cx="1908778" cy="6094048"/>
        </a:xfrm>
        <a:prstGeom prst="roundRect">
          <a:avLst>
            <a:gd name="adj" fmla="val 5467"/>
          </a:avLst>
        </a:prstGeom>
        <a:solidFill>
          <a:schemeClr val="accent4">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586740</xdr:colOff>
      <xdr:row>11</xdr:row>
      <xdr:rowOff>83820</xdr:rowOff>
    </xdr:from>
    <xdr:to>
      <xdr:col>14</xdr:col>
      <xdr:colOff>167640</xdr:colOff>
      <xdr:row>29</xdr:row>
      <xdr:rowOff>175260</xdr:rowOff>
    </xdr:to>
    <xdr:sp macro="" textlink="">
      <xdr:nvSpPr>
        <xdr:cNvPr id="30" name="Rectangle: Rounded Corners 29">
          <a:extLst>
            <a:ext uri="{FF2B5EF4-FFF2-40B4-BE49-F238E27FC236}">
              <a16:creationId xmlns:a16="http://schemas.microsoft.com/office/drawing/2014/main" id="{E3152559-9C28-583A-12DF-6C695983ABFF}"/>
            </a:ext>
          </a:extLst>
        </xdr:cNvPr>
        <xdr:cNvSpPr/>
      </xdr:nvSpPr>
      <xdr:spPr>
        <a:xfrm>
          <a:off x="3042073" y="2062903"/>
          <a:ext cx="5719234" cy="3329940"/>
        </a:xfrm>
        <a:prstGeom prst="roundRect">
          <a:avLst>
            <a:gd name="adj" fmla="val 2097"/>
          </a:avLst>
        </a:prstGeom>
        <a:solidFill>
          <a:schemeClr val="accent4">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579120</xdr:colOff>
      <xdr:row>30</xdr:row>
      <xdr:rowOff>7620</xdr:rowOff>
    </xdr:from>
    <xdr:to>
      <xdr:col>12</xdr:col>
      <xdr:colOff>556260</xdr:colOff>
      <xdr:row>44</xdr:row>
      <xdr:rowOff>121920</xdr:rowOff>
    </xdr:to>
    <xdr:sp macro="" textlink="">
      <xdr:nvSpPr>
        <xdr:cNvPr id="32" name="Rectangle: Rounded Corners 31">
          <a:extLst>
            <a:ext uri="{FF2B5EF4-FFF2-40B4-BE49-F238E27FC236}">
              <a16:creationId xmlns:a16="http://schemas.microsoft.com/office/drawing/2014/main" id="{B59A09C4-2F71-4FE8-9F03-18F8BEBEB19C}"/>
            </a:ext>
          </a:extLst>
        </xdr:cNvPr>
        <xdr:cNvSpPr/>
      </xdr:nvSpPr>
      <xdr:spPr>
        <a:xfrm>
          <a:off x="3017520" y="5494020"/>
          <a:ext cx="4853940" cy="2674620"/>
        </a:xfrm>
        <a:prstGeom prst="roundRect">
          <a:avLst>
            <a:gd name="adj" fmla="val 1635"/>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565842</xdr:colOff>
      <xdr:row>30</xdr:row>
      <xdr:rowOff>7620</xdr:rowOff>
    </xdr:from>
    <xdr:to>
      <xdr:col>21</xdr:col>
      <xdr:colOff>67901</xdr:colOff>
      <xdr:row>44</xdr:row>
      <xdr:rowOff>143346</xdr:rowOff>
    </xdr:to>
    <xdr:sp macro="" textlink="">
      <xdr:nvSpPr>
        <xdr:cNvPr id="33" name="Rectangle: Rounded Corners 32">
          <a:extLst>
            <a:ext uri="{FF2B5EF4-FFF2-40B4-BE49-F238E27FC236}">
              <a16:creationId xmlns:a16="http://schemas.microsoft.com/office/drawing/2014/main" id="{A6430926-8AF1-432F-955C-F931E821C7B4}"/>
            </a:ext>
          </a:extLst>
        </xdr:cNvPr>
        <xdr:cNvSpPr/>
      </xdr:nvSpPr>
      <xdr:spPr>
        <a:xfrm>
          <a:off x="7899149" y="5439699"/>
          <a:ext cx="5002039" cy="2670697"/>
        </a:xfrm>
        <a:prstGeom prst="roundRect">
          <a:avLst>
            <a:gd name="adj" fmla="val 5323"/>
          </a:avLst>
        </a:prstGeom>
        <a:solidFill>
          <a:schemeClr val="accent4">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594360</xdr:colOff>
      <xdr:row>11</xdr:row>
      <xdr:rowOff>99060</xdr:rowOff>
    </xdr:from>
    <xdr:to>
      <xdr:col>14</xdr:col>
      <xdr:colOff>68580</xdr:colOff>
      <xdr:row>29</xdr:row>
      <xdr:rowOff>99060</xdr:rowOff>
    </xdr:to>
    <xdr:graphicFrame macro="">
      <xdr:nvGraphicFramePr>
        <xdr:cNvPr id="34" name="Chart 33">
          <a:extLst>
            <a:ext uri="{FF2B5EF4-FFF2-40B4-BE49-F238E27FC236}">
              <a16:creationId xmlns:a16="http://schemas.microsoft.com/office/drawing/2014/main" id="{488B7A9B-B218-4041-885F-4BC3445440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178592</xdr:colOff>
      <xdr:row>1</xdr:row>
      <xdr:rowOff>60960</xdr:rowOff>
    </xdr:from>
    <xdr:to>
      <xdr:col>21</xdr:col>
      <xdr:colOff>59530</xdr:colOff>
      <xdr:row>15</xdr:row>
      <xdr:rowOff>99060</xdr:rowOff>
    </xdr:to>
    <xdr:graphicFrame macro="">
      <xdr:nvGraphicFramePr>
        <xdr:cNvPr id="36" name="Chart 35">
          <a:extLst>
            <a:ext uri="{FF2B5EF4-FFF2-40B4-BE49-F238E27FC236}">
              <a16:creationId xmlns:a16="http://schemas.microsoft.com/office/drawing/2014/main" id="{2C430840-1C59-4612-87EE-213EA574C0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281940</xdr:colOff>
      <xdr:row>49</xdr:row>
      <xdr:rowOff>0</xdr:rowOff>
    </xdr:from>
    <xdr:to>
      <xdr:col>3</xdr:col>
      <xdr:colOff>7620</xdr:colOff>
      <xdr:row>50</xdr:row>
      <xdr:rowOff>7620</xdr:rowOff>
    </xdr:to>
    <xdr:pic>
      <xdr:nvPicPr>
        <xdr:cNvPr id="37" name="Picture 36">
          <a:extLst>
            <a:ext uri="{FF2B5EF4-FFF2-40B4-BE49-F238E27FC236}">
              <a16:creationId xmlns:a16="http://schemas.microsoft.com/office/drawing/2014/main" id="{8C5F81C4-46FA-5359-6C27-4F91BD8A0C5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81940" y="8961120"/>
          <a:ext cx="155448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586740</xdr:colOff>
      <xdr:row>30</xdr:row>
      <xdr:rowOff>7621</xdr:rowOff>
    </xdr:from>
    <xdr:to>
      <xdr:col>12</xdr:col>
      <xdr:colOff>556260</xdr:colOff>
      <xdr:row>44</xdr:row>
      <xdr:rowOff>125952</xdr:rowOff>
    </xdr:to>
    <xdr:graphicFrame macro="">
      <xdr:nvGraphicFramePr>
        <xdr:cNvPr id="38" name="Chart 37">
          <a:extLst>
            <a:ext uri="{FF2B5EF4-FFF2-40B4-BE49-F238E27FC236}">
              <a16:creationId xmlns:a16="http://schemas.microsoft.com/office/drawing/2014/main" id="{7359A4C5-6671-4746-8D06-4A82B2F8D2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182880</xdr:colOff>
      <xdr:row>15</xdr:row>
      <xdr:rowOff>107157</xdr:rowOff>
    </xdr:from>
    <xdr:to>
      <xdr:col>21</xdr:col>
      <xdr:colOff>77491</xdr:colOff>
      <xdr:row>30</xdr:row>
      <xdr:rowOff>4665</xdr:rowOff>
    </xdr:to>
    <xdr:graphicFrame macro="">
      <xdr:nvGraphicFramePr>
        <xdr:cNvPr id="39" name="Chart 38">
          <a:extLst>
            <a:ext uri="{FF2B5EF4-FFF2-40B4-BE49-F238E27FC236}">
              <a16:creationId xmlns:a16="http://schemas.microsoft.com/office/drawing/2014/main" id="{0CBDB6A8-2DA3-45F7-A84E-D90C806BAF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518160</xdr:colOff>
      <xdr:row>7</xdr:row>
      <xdr:rowOff>45720</xdr:rowOff>
    </xdr:from>
    <xdr:to>
      <xdr:col>3</xdr:col>
      <xdr:colOff>76200</xdr:colOff>
      <xdr:row>11</xdr:row>
      <xdr:rowOff>91440</xdr:rowOff>
    </xdr:to>
    <xdr:pic>
      <xdr:nvPicPr>
        <xdr:cNvPr id="5" name="Graphic 4" descr="Money with solid fill">
          <a:extLst>
            <a:ext uri="{FF2B5EF4-FFF2-40B4-BE49-F238E27FC236}">
              <a16:creationId xmlns:a16="http://schemas.microsoft.com/office/drawing/2014/main" id="{F95366CE-A7AC-AC8C-6311-E349B2086DCC}"/>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127760" y="1325880"/>
          <a:ext cx="777240" cy="777240"/>
        </a:xfrm>
        <a:prstGeom prst="rect">
          <a:avLst/>
        </a:prstGeom>
      </xdr:spPr>
    </xdr:pic>
    <xdr:clientData/>
  </xdr:twoCellAnchor>
  <xdr:twoCellAnchor>
    <xdr:from>
      <xdr:col>3</xdr:col>
      <xdr:colOff>38100</xdr:colOff>
      <xdr:row>6</xdr:row>
      <xdr:rowOff>121920</xdr:rowOff>
    </xdr:from>
    <xdr:to>
      <xdr:col>4</xdr:col>
      <xdr:colOff>548640</xdr:colOff>
      <xdr:row>8</xdr:row>
      <xdr:rowOff>45720</xdr:rowOff>
    </xdr:to>
    <xdr:sp macro="" textlink="">
      <xdr:nvSpPr>
        <xdr:cNvPr id="6" name="Rectangle 5">
          <a:extLst>
            <a:ext uri="{FF2B5EF4-FFF2-40B4-BE49-F238E27FC236}">
              <a16:creationId xmlns:a16="http://schemas.microsoft.com/office/drawing/2014/main" id="{2FCAEE17-73F7-0145-9159-5C15B1F68CD8}"/>
            </a:ext>
          </a:extLst>
        </xdr:cNvPr>
        <xdr:cNvSpPr/>
      </xdr:nvSpPr>
      <xdr:spPr>
        <a:xfrm>
          <a:off x="1866900" y="1219200"/>
          <a:ext cx="1120140" cy="2895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accent6">
                  <a:lumMod val="60000"/>
                  <a:lumOff val="40000"/>
                </a:schemeClr>
              </a:solidFill>
              <a:latin typeface="Algerian" panose="04020705040A02060702" pitchFamily="82" charset="0"/>
            </a:rPr>
            <a:t>TOTAL SALES</a:t>
          </a:r>
        </a:p>
      </xdr:txBody>
    </xdr:sp>
    <xdr:clientData/>
  </xdr:twoCellAnchor>
  <xdr:twoCellAnchor>
    <xdr:from>
      <xdr:col>3</xdr:col>
      <xdr:colOff>22860</xdr:colOff>
      <xdr:row>9</xdr:row>
      <xdr:rowOff>45720</xdr:rowOff>
    </xdr:from>
    <xdr:to>
      <xdr:col>4</xdr:col>
      <xdr:colOff>457200</xdr:colOff>
      <xdr:row>10</xdr:row>
      <xdr:rowOff>152400</xdr:rowOff>
    </xdr:to>
    <xdr:sp macro="" textlink="KPI!A7">
      <xdr:nvSpPr>
        <xdr:cNvPr id="8" name="Rectangle 7">
          <a:extLst>
            <a:ext uri="{FF2B5EF4-FFF2-40B4-BE49-F238E27FC236}">
              <a16:creationId xmlns:a16="http://schemas.microsoft.com/office/drawing/2014/main" id="{27BC584A-0CB2-2AD5-3220-A907DF7D8DB5}"/>
            </a:ext>
          </a:extLst>
        </xdr:cNvPr>
        <xdr:cNvSpPr/>
      </xdr:nvSpPr>
      <xdr:spPr>
        <a:xfrm>
          <a:off x="1851660" y="1691640"/>
          <a:ext cx="1043940" cy="2895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817839D2-14B0-404B-A7A8-1F8ADB911A8D}" type="TxLink">
            <a:rPr lang="en-US" sz="1000" b="0" i="0" u="none" strike="noStrike">
              <a:solidFill>
                <a:schemeClr val="tx2">
                  <a:lumMod val="10000"/>
                  <a:lumOff val="90000"/>
                </a:schemeClr>
              </a:solidFill>
              <a:latin typeface="Arial Black" panose="020B0A04020102020204" pitchFamily="34" charset="0"/>
            </a:rPr>
            <a:pPr algn="l"/>
            <a:t>R63,263.92</a:t>
          </a:fld>
          <a:endParaRPr lang="en-US" sz="1000">
            <a:solidFill>
              <a:schemeClr val="tx2">
                <a:lumMod val="10000"/>
                <a:lumOff val="90000"/>
              </a:schemeClr>
            </a:solidFill>
            <a:latin typeface="Arial Black" panose="020B0A04020102020204" pitchFamily="34" charset="0"/>
          </a:endParaRPr>
        </a:p>
      </xdr:txBody>
    </xdr:sp>
    <xdr:clientData/>
  </xdr:twoCellAnchor>
  <xdr:twoCellAnchor>
    <xdr:from>
      <xdr:col>12</xdr:col>
      <xdr:colOff>236220</xdr:colOff>
      <xdr:row>7</xdr:row>
      <xdr:rowOff>144780</xdr:rowOff>
    </xdr:from>
    <xdr:to>
      <xdr:col>14</xdr:col>
      <xdr:colOff>213360</xdr:colOff>
      <xdr:row>11</xdr:row>
      <xdr:rowOff>106680</xdr:rowOff>
    </xdr:to>
    <xdr:sp macro="" textlink="KPI!D7">
      <xdr:nvSpPr>
        <xdr:cNvPr id="9" name="Rectangle 8">
          <a:extLst>
            <a:ext uri="{FF2B5EF4-FFF2-40B4-BE49-F238E27FC236}">
              <a16:creationId xmlns:a16="http://schemas.microsoft.com/office/drawing/2014/main" id="{E68E29CE-3E7F-4C4E-9BE3-D755B0674202}"/>
            </a:ext>
          </a:extLst>
        </xdr:cNvPr>
        <xdr:cNvSpPr/>
      </xdr:nvSpPr>
      <xdr:spPr>
        <a:xfrm>
          <a:off x="7551420" y="1424940"/>
          <a:ext cx="1196340" cy="69342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D30BEF0C-B8E0-400D-80C1-26FECBBD4E65}" type="TxLink">
            <a:rPr lang="en-US" sz="2800" b="0" i="0" u="none" strike="noStrike">
              <a:solidFill>
                <a:schemeClr val="accent2">
                  <a:lumMod val="60000"/>
                  <a:lumOff val="40000"/>
                </a:schemeClr>
              </a:solidFill>
              <a:latin typeface="Algerian" panose="04020705040A02060702" pitchFamily="82" charset="0"/>
            </a:rPr>
            <a:pPr algn="l"/>
            <a:t>94.96</a:t>
          </a:fld>
          <a:endParaRPr lang="en-IN" sz="2800">
            <a:solidFill>
              <a:schemeClr val="accent2">
                <a:lumMod val="60000"/>
                <a:lumOff val="40000"/>
              </a:schemeClr>
            </a:solidFill>
            <a:latin typeface="Algerian" panose="04020705040A02060702" pitchFamily="82" charset="0"/>
          </a:endParaRPr>
        </a:p>
      </xdr:txBody>
    </xdr:sp>
    <xdr:clientData/>
  </xdr:twoCellAnchor>
  <xdr:twoCellAnchor>
    <xdr:from>
      <xdr:col>12</xdr:col>
      <xdr:colOff>198120</xdr:colOff>
      <xdr:row>6</xdr:row>
      <xdr:rowOff>91440</xdr:rowOff>
    </xdr:from>
    <xdr:to>
      <xdr:col>14</xdr:col>
      <xdr:colOff>175260</xdr:colOff>
      <xdr:row>8</xdr:row>
      <xdr:rowOff>15240</xdr:rowOff>
    </xdr:to>
    <xdr:sp macro="" textlink="">
      <xdr:nvSpPr>
        <xdr:cNvPr id="10" name="Rectangle 9">
          <a:extLst>
            <a:ext uri="{FF2B5EF4-FFF2-40B4-BE49-F238E27FC236}">
              <a16:creationId xmlns:a16="http://schemas.microsoft.com/office/drawing/2014/main" id="{20C84BEC-B4C1-49FE-83FC-72DE8B83A4EA}"/>
            </a:ext>
          </a:extLst>
        </xdr:cNvPr>
        <xdr:cNvSpPr/>
      </xdr:nvSpPr>
      <xdr:spPr>
        <a:xfrm>
          <a:off x="7513320" y="1188720"/>
          <a:ext cx="1196340" cy="2895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accent6">
                  <a:lumMod val="60000"/>
                  <a:lumOff val="40000"/>
                </a:schemeClr>
              </a:solidFill>
              <a:latin typeface="Algerian" panose="04020705040A02060702" pitchFamily="82" charset="0"/>
            </a:rPr>
            <a:t>%</a:t>
          </a:r>
          <a:r>
            <a:rPr lang="en-IN" sz="1100" b="1" baseline="0">
              <a:solidFill>
                <a:schemeClr val="accent6">
                  <a:lumMod val="60000"/>
                  <a:lumOff val="40000"/>
                </a:schemeClr>
              </a:solidFill>
              <a:latin typeface="Algerian" panose="04020705040A02060702" pitchFamily="82" charset="0"/>
            </a:rPr>
            <a:t>  CARD SALES</a:t>
          </a:r>
          <a:endParaRPr lang="en-IN" sz="1100" b="1">
            <a:solidFill>
              <a:schemeClr val="accent6">
                <a:lumMod val="60000"/>
                <a:lumOff val="40000"/>
              </a:schemeClr>
            </a:solidFill>
            <a:latin typeface="Algerian" panose="04020705040A02060702" pitchFamily="82" charset="0"/>
          </a:endParaRPr>
        </a:p>
      </xdr:txBody>
    </xdr:sp>
    <xdr:clientData/>
  </xdr:twoCellAnchor>
  <xdr:twoCellAnchor>
    <xdr:from>
      <xdr:col>9</xdr:col>
      <xdr:colOff>0</xdr:colOff>
      <xdr:row>8</xdr:row>
      <xdr:rowOff>0</xdr:rowOff>
    </xdr:from>
    <xdr:to>
      <xdr:col>11</xdr:col>
      <xdr:colOff>236220</xdr:colOff>
      <xdr:row>10</xdr:row>
      <xdr:rowOff>160020</xdr:rowOff>
    </xdr:to>
    <xdr:sp macro="" textlink="KPI!C7">
      <xdr:nvSpPr>
        <xdr:cNvPr id="11" name="Rectangle 10">
          <a:extLst>
            <a:ext uri="{FF2B5EF4-FFF2-40B4-BE49-F238E27FC236}">
              <a16:creationId xmlns:a16="http://schemas.microsoft.com/office/drawing/2014/main" id="{851470E8-BA5B-4574-BF90-66182CF0AA5B}"/>
            </a:ext>
          </a:extLst>
        </xdr:cNvPr>
        <xdr:cNvSpPr/>
      </xdr:nvSpPr>
      <xdr:spPr>
        <a:xfrm>
          <a:off x="5486400" y="1463040"/>
          <a:ext cx="1455420" cy="5257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0FFD312D-51A6-4D03-A57F-F89655F43E57}" type="TxLink">
            <a:rPr lang="en-US" sz="2400" b="0" i="0" u="none" strike="noStrike">
              <a:solidFill>
                <a:schemeClr val="accent2">
                  <a:lumMod val="60000"/>
                  <a:lumOff val="40000"/>
                </a:schemeClr>
              </a:solidFill>
              <a:latin typeface="Algerian" panose="04020705040A02060702" pitchFamily="82" charset="0"/>
            </a:rPr>
            <a:pPr algn="l"/>
            <a:t> ₹ 31.63 </a:t>
          </a:fld>
          <a:endParaRPr lang="en-IN" sz="2400">
            <a:solidFill>
              <a:schemeClr val="accent2">
                <a:lumMod val="60000"/>
                <a:lumOff val="40000"/>
              </a:schemeClr>
            </a:solidFill>
            <a:latin typeface="Algerian" panose="04020705040A02060702" pitchFamily="82" charset="0"/>
          </a:endParaRPr>
        </a:p>
      </xdr:txBody>
    </xdr:sp>
    <xdr:clientData/>
  </xdr:twoCellAnchor>
  <xdr:twoCellAnchor>
    <xdr:from>
      <xdr:col>8</xdr:col>
      <xdr:colOff>45720</xdr:colOff>
      <xdr:row>6</xdr:row>
      <xdr:rowOff>114300</xdr:rowOff>
    </xdr:from>
    <xdr:to>
      <xdr:col>11</xdr:col>
      <xdr:colOff>251460</xdr:colOff>
      <xdr:row>8</xdr:row>
      <xdr:rowOff>38100</xdr:rowOff>
    </xdr:to>
    <xdr:sp macro="" textlink="">
      <xdr:nvSpPr>
        <xdr:cNvPr id="12" name="Rectangle 11">
          <a:extLst>
            <a:ext uri="{FF2B5EF4-FFF2-40B4-BE49-F238E27FC236}">
              <a16:creationId xmlns:a16="http://schemas.microsoft.com/office/drawing/2014/main" id="{0219BDF2-E573-4F9D-8F4A-5DE98244170E}"/>
            </a:ext>
          </a:extLst>
        </xdr:cNvPr>
        <xdr:cNvSpPr/>
      </xdr:nvSpPr>
      <xdr:spPr>
        <a:xfrm>
          <a:off x="4922520" y="1211580"/>
          <a:ext cx="2034540" cy="2895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accent6">
                  <a:lumMod val="60000"/>
                  <a:lumOff val="40000"/>
                </a:schemeClr>
              </a:solidFill>
              <a:latin typeface="Algerian" panose="04020705040A02060702" pitchFamily="82" charset="0"/>
            </a:rPr>
            <a:t>AVG SALE PER TRANSATION</a:t>
          </a:r>
        </a:p>
      </xdr:txBody>
    </xdr:sp>
    <xdr:clientData/>
  </xdr:twoCellAnchor>
  <xdr:twoCellAnchor>
    <xdr:from>
      <xdr:col>5</xdr:col>
      <xdr:colOff>358140</xdr:colOff>
      <xdr:row>6</xdr:row>
      <xdr:rowOff>99060</xdr:rowOff>
    </xdr:from>
    <xdr:to>
      <xdr:col>8</xdr:col>
      <xdr:colOff>22860</xdr:colOff>
      <xdr:row>8</xdr:row>
      <xdr:rowOff>22860</xdr:rowOff>
    </xdr:to>
    <xdr:sp macro="" textlink="">
      <xdr:nvSpPr>
        <xdr:cNvPr id="13" name="Rectangle 12">
          <a:extLst>
            <a:ext uri="{FF2B5EF4-FFF2-40B4-BE49-F238E27FC236}">
              <a16:creationId xmlns:a16="http://schemas.microsoft.com/office/drawing/2014/main" id="{8DD98580-A93B-4C3C-9006-56642385363E}"/>
            </a:ext>
          </a:extLst>
        </xdr:cNvPr>
        <xdr:cNvSpPr/>
      </xdr:nvSpPr>
      <xdr:spPr>
        <a:xfrm>
          <a:off x="3406140" y="1196340"/>
          <a:ext cx="1493520" cy="2895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accent6">
                  <a:lumMod val="60000"/>
                  <a:lumOff val="40000"/>
                </a:schemeClr>
              </a:solidFill>
              <a:latin typeface="Algerian" panose="04020705040A02060702" pitchFamily="82" charset="0"/>
            </a:rPr>
            <a:t>TOTAL TRANSATION</a:t>
          </a:r>
        </a:p>
      </xdr:txBody>
    </xdr:sp>
    <xdr:clientData/>
  </xdr:twoCellAnchor>
  <xdr:twoCellAnchor>
    <xdr:from>
      <xdr:col>6</xdr:col>
      <xdr:colOff>121920</xdr:colOff>
      <xdr:row>7</xdr:row>
      <xdr:rowOff>137160</xdr:rowOff>
    </xdr:from>
    <xdr:to>
      <xdr:col>7</xdr:col>
      <xdr:colOff>563880</xdr:colOff>
      <xdr:row>10</xdr:row>
      <xdr:rowOff>91440</xdr:rowOff>
    </xdr:to>
    <xdr:sp macro="" textlink="KPI!B7">
      <xdr:nvSpPr>
        <xdr:cNvPr id="14" name="Rectangle 13">
          <a:extLst>
            <a:ext uri="{FF2B5EF4-FFF2-40B4-BE49-F238E27FC236}">
              <a16:creationId xmlns:a16="http://schemas.microsoft.com/office/drawing/2014/main" id="{55B5DB2D-1FA5-4151-AF77-450AB2A9122D}"/>
            </a:ext>
          </a:extLst>
        </xdr:cNvPr>
        <xdr:cNvSpPr/>
      </xdr:nvSpPr>
      <xdr:spPr>
        <a:xfrm>
          <a:off x="3779520" y="1417320"/>
          <a:ext cx="1051560" cy="50292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36E38CC4-14CC-4921-915A-ACDBFB4F5E05}" type="TxLink">
            <a:rPr lang="en-US" sz="2800" b="0" i="0" u="none" strike="noStrike">
              <a:solidFill>
                <a:schemeClr val="accent2">
                  <a:lumMod val="60000"/>
                  <a:lumOff val="40000"/>
                </a:schemeClr>
              </a:solidFill>
              <a:latin typeface="Algerian" panose="04020705040A02060702" pitchFamily="82" charset="0"/>
            </a:rPr>
            <a:pPr algn="l"/>
            <a:t>2000</a:t>
          </a:fld>
          <a:endParaRPr lang="en-IN" sz="2800">
            <a:solidFill>
              <a:schemeClr val="accent2">
                <a:lumMod val="60000"/>
                <a:lumOff val="40000"/>
              </a:schemeClr>
            </a:solidFill>
            <a:latin typeface="Algerian" panose="04020705040A02060702" pitchFamily="82" charset="0"/>
          </a:endParaRPr>
        </a:p>
      </xdr:txBody>
    </xdr:sp>
    <xdr:clientData/>
  </xdr:twoCellAnchor>
  <xdr:twoCellAnchor editAs="oneCell">
    <xdr:from>
      <xdr:col>5</xdr:col>
      <xdr:colOff>38100</xdr:colOff>
      <xdr:row>7</xdr:row>
      <xdr:rowOff>167640</xdr:rowOff>
    </xdr:from>
    <xdr:to>
      <xdr:col>6</xdr:col>
      <xdr:colOff>137160</xdr:colOff>
      <xdr:row>11</xdr:row>
      <xdr:rowOff>99060</xdr:rowOff>
    </xdr:to>
    <xdr:pic>
      <xdr:nvPicPr>
        <xdr:cNvPr id="21" name="Graphic 20" descr="Connections with solid fill">
          <a:extLst>
            <a:ext uri="{FF2B5EF4-FFF2-40B4-BE49-F238E27FC236}">
              <a16:creationId xmlns:a16="http://schemas.microsoft.com/office/drawing/2014/main" id="{DD52840D-AB48-4144-731D-5E9EF885887A}"/>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086100" y="1447800"/>
          <a:ext cx="708660" cy="662940"/>
        </a:xfrm>
        <a:prstGeom prst="rect">
          <a:avLst/>
        </a:prstGeom>
      </xdr:spPr>
    </xdr:pic>
    <xdr:clientData/>
  </xdr:twoCellAnchor>
  <xdr:twoCellAnchor editAs="oneCell">
    <xdr:from>
      <xdr:col>11</xdr:col>
      <xdr:colOff>243840</xdr:colOff>
      <xdr:row>8</xdr:row>
      <xdr:rowOff>38100</xdr:rowOff>
    </xdr:from>
    <xdr:to>
      <xdr:col>12</xdr:col>
      <xdr:colOff>213360</xdr:colOff>
      <xdr:row>11</xdr:row>
      <xdr:rowOff>30480</xdr:rowOff>
    </xdr:to>
    <xdr:pic>
      <xdr:nvPicPr>
        <xdr:cNvPr id="23" name="Graphic 22" descr="Mathematics with solid fill">
          <a:extLst>
            <a:ext uri="{FF2B5EF4-FFF2-40B4-BE49-F238E27FC236}">
              <a16:creationId xmlns:a16="http://schemas.microsoft.com/office/drawing/2014/main" id="{D725B3DA-1118-17C1-297E-043803F5B9D9}"/>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6949440" y="1501140"/>
          <a:ext cx="579120" cy="541020"/>
        </a:xfrm>
        <a:prstGeom prst="rect">
          <a:avLst/>
        </a:prstGeom>
      </xdr:spPr>
    </xdr:pic>
    <xdr:clientData/>
  </xdr:twoCellAnchor>
  <xdr:twoCellAnchor editAs="oneCell">
    <xdr:from>
      <xdr:col>8</xdr:col>
      <xdr:colOff>30480</xdr:colOff>
      <xdr:row>7</xdr:row>
      <xdr:rowOff>114300</xdr:rowOff>
    </xdr:from>
    <xdr:to>
      <xdr:col>9</xdr:col>
      <xdr:colOff>106680</xdr:colOff>
      <xdr:row>11</xdr:row>
      <xdr:rowOff>99060</xdr:rowOff>
    </xdr:to>
    <xdr:pic>
      <xdr:nvPicPr>
        <xdr:cNvPr id="31" name="Graphic 30" descr="Database with solid fill">
          <a:extLst>
            <a:ext uri="{FF2B5EF4-FFF2-40B4-BE49-F238E27FC236}">
              <a16:creationId xmlns:a16="http://schemas.microsoft.com/office/drawing/2014/main" id="{67B77147-6D38-D0CD-B972-6360E2DF46D1}"/>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4907280" y="1394460"/>
          <a:ext cx="685800" cy="716280"/>
        </a:xfrm>
        <a:prstGeom prst="rect">
          <a:avLst/>
        </a:prstGeom>
      </xdr:spPr>
    </xdr:pic>
    <xdr:clientData/>
  </xdr:twoCellAnchor>
  <xdr:twoCellAnchor editAs="oneCell">
    <xdr:from>
      <xdr:col>1</xdr:col>
      <xdr:colOff>487680</xdr:colOff>
      <xdr:row>11</xdr:row>
      <xdr:rowOff>91440</xdr:rowOff>
    </xdr:from>
    <xdr:to>
      <xdr:col>4</xdr:col>
      <xdr:colOff>579120</xdr:colOff>
      <xdr:row>22</xdr:row>
      <xdr:rowOff>38099</xdr:rowOff>
    </xdr:to>
    <mc:AlternateContent xmlns:mc="http://schemas.openxmlformats.org/markup-compatibility/2006" xmlns:a14="http://schemas.microsoft.com/office/drawing/2010/main">
      <mc:Choice Requires="a14">
        <xdr:graphicFrame macro="">
          <xdr:nvGraphicFramePr>
            <xdr:cNvPr id="35" name="coffee_name">
              <a:extLst>
                <a:ext uri="{FF2B5EF4-FFF2-40B4-BE49-F238E27FC236}">
                  <a16:creationId xmlns:a16="http://schemas.microsoft.com/office/drawing/2014/main" id="{A551CD54-CBF6-4FF2-801D-46DE73204656}"/>
                </a:ext>
              </a:extLst>
            </xdr:cNvPr>
            <xdr:cNvGraphicFramePr/>
          </xdr:nvGraphicFramePr>
          <xdr:xfrm>
            <a:off x="0" y="0"/>
            <a:ext cx="0" cy="0"/>
          </xdr:xfrm>
          <a:graphic>
            <a:graphicData uri="http://schemas.microsoft.com/office/drawing/2010/slicer">
              <sle:slicer xmlns:sle="http://schemas.microsoft.com/office/drawing/2010/slicer" name="coffee_name"/>
            </a:graphicData>
          </a:graphic>
        </xdr:graphicFrame>
      </mc:Choice>
      <mc:Fallback xmlns="">
        <xdr:sp macro="" textlink="">
          <xdr:nvSpPr>
            <xdr:cNvPr id="0" name=""/>
            <xdr:cNvSpPr>
              <a:spLocks noTextEdit="1"/>
            </xdr:cNvSpPr>
          </xdr:nvSpPr>
          <xdr:spPr>
            <a:xfrm>
              <a:off x="1097280" y="2103120"/>
              <a:ext cx="1897380" cy="19583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495300</xdr:colOff>
      <xdr:row>22</xdr:row>
      <xdr:rowOff>30481</xdr:rowOff>
    </xdr:from>
    <xdr:to>
      <xdr:col>4</xdr:col>
      <xdr:colOff>579120</xdr:colOff>
      <xdr:row>28</xdr:row>
      <xdr:rowOff>137161</xdr:rowOff>
    </xdr:to>
    <mc:AlternateContent xmlns:mc="http://schemas.openxmlformats.org/markup-compatibility/2006" xmlns:a14="http://schemas.microsoft.com/office/drawing/2010/main">
      <mc:Choice Requires="a14">
        <xdr:graphicFrame macro="">
          <xdr:nvGraphicFramePr>
            <xdr:cNvPr id="41" name="Time_of_Day">
              <a:extLst>
                <a:ext uri="{FF2B5EF4-FFF2-40B4-BE49-F238E27FC236}">
                  <a16:creationId xmlns:a16="http://schemas.microsoft.com/office/drawing/2014/main" id="{9CAEA4CE-53D6-4179-A5A4-036D882B41CF}"/>
                </a:ext>
              </a:extLst>
            </xdr:cNvPr>
            <xdr:cNvGraphicFramePr/>
          </xdr:nvGraphicFramePr>
          <xdr:xfrm>
            <a:off x="0" y="0"/>
            <a:ext cx="0" cy="0"/>
          </xdr:xfrm>
          <a:graphic>
            <a:graphicData uri="http://schemas.microsoft.com/office/drawing/2010/slicer">
              <sle:slicer xmlns:sle="http://schemas.microsoft.com/office/drawing/2010/slicer" name="Time_of_Day"/>
            </a:graphicData>
          </a:graphic>
        </xdr:graphicFrame>
      </mc:Choice>
      <mc:Fallback xmlns="">
        <xdr:sp macro="" textlink="">
          <xdr:nvSpPr>
            <xdr:cNvPr id="0" name=""/>
            <xdr:cNvSpPr>
              <a:spLocks noTextEdit="1"/>
            </xdr:cNvSpPr>
          </xdr:nvSpPr>
          <xdr:spPr>
            <a:xfrm>
              <a:off x="1104900" y="4053841"/>
              <a:ext cx="1912620" cy="1203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502920</xdr:colOff>
      <xdr:row>28</xdr:row>
      <xdr:rowOff>129541</xdr:rowOff>
    </xdr:from>
    <xdr:to>
      <xdr:col>4</xdr:col>
      <xdr:colOff>571500</xdr:colOff>
      <xdr:row>34</xdr:row>
      <xdr:rowOff>68581</xdr:rowOff>
    </xdr:to>
    <mc:AlternateContent xmlns:mc="http://schemas.openxmlformats.org/markup-compatibility/2006" xmlns:a14="http://schemas.microsoft.com/office/drawing/2010/main">
      <mc:Choice Requires="a14">
        <xdr:graphicFrame macro="">
          <xdr:nvGraphicFramePr>
            <xdr:cNvPr id="42" name="hour_of_day">
              <a:extLst>
                <a:ext uri="{FF2B5EF4-FFF2-40B4-BE49-F238E27FC236}">
                  <a16:creationId xmlns:a16="http://schemas.microsoft.com/office/drawing/2014/main" id="{0A8DCC2A-2BC9-42EA-967E-C45E298653CD}"/>
                </a:ext>
              </a:extLst>
            </xdr:cNvPr>
            <xdr:cNvGraphicFramePr/>
          </xdr:nvGraphicFramePr>
          <xdr:xfrm>
            <a:off x="0" y="0"/>
            <a:ext cx="0" cy="0"/>
          </xdr:xfrm>
          <a:graphic>
            <a:graphicData uri="http://schemas.microsoft.com/office/drawing/2010/slicer">
              <sle:slicer xmlns:sle="http://schemas.microsoft.com/office/drawing/2010/slicer" name="hour_of_day"/>
            </a:graphicData>
          </a:graphic>
        </xdr:graphicFrame>
      </mc:Choice>
      <mc:Fallback xmlns="">
        <xdr:sp macro="" textlink="">
          <xdr:nvSpPr>
            <xdr:cNvPr id="0" name=""/>
            <xdr:cNvSpPr>
              <a:spLocks noTextEdit="1"/>
            </xdr:cNvSpPr>
          </xdr:nvSpPr>
          <xdr:spPr>
            <a:xfrm>
              <a:off x="1112520" y="5250181"/>
              <a:ext cx="1897380" cy="1036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365760</xdr:colOff>
      <xdr:row>1</xdr:row>
      <xdr:rowOff>83820</xdr:rowOff>
    </xdr:from>
    <xdr:to>
      <xdr:col>7</xdr:col>
      <xdr:colOff>60960</xdr:colOff>
      <xdr:row>6</xdr:row>
      <xdr:rowOff>83820</xdr:rowOff>
    </xdr:to>
    <xdr:pic>
      <xdr:nvPicPr>
        <xdr:cNvPr id="3" name="Graphic 2" descr="Bar graph with upward trend with solid fill">
          <a:extLst>
            <a:ext uri="{FF2B5EF4-FFF2-40B4-BE49-F238E27FC236}">
              <a16:creationId xmlns:a16="http://schemas.microsoft.com/office/drawing/2014/main" id="{6C3DE4DA-0432-6AB4-3ECD-CF08655F6100}"/>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3413760" y="266700"/>
          <a:ext cx="914400" cy="914400"/>
        </a:xfrm>
        <a:prstGeom prst="rect">
          <a:avLst/>
        </a:prstGeom>
      </xdr:spPr>
    </xdr:pic>
    <xdr:clientData/>
  </xdr:twoCellAnchor>
  <xdr:twoCellAnchor>
    <xdr:from>
      <xdr:col>6</xdr:col>
      <xdr:colOff>594360</xdr:colOff>
      <xdr:row>2</xdr:row>
      <xdr:rowOff>45720</xdr:rowOff>
    </xdr:from>
    <xdr:to>
      <xdr:col>14</xdr:col>
      <xdr:colOff>129540</xdr:colOff>
      <xdr:row>5</xdr:row>
      <xdr:rowOff>121920</xdr:rowOff>
    </xdr:to>
    <xdr:sp macro="" textlink="">
      <xdr:nvSpPr>
        <xdr:cNvPr id="4" name="Rectangle: Rounded Corners 3">
          <a:extLst>
            <a:ext uri="{FF2B5EF4-FFF2-40B4-BE49-F238E27FC236}">
              <a16:creationId xmlns:a16="http://schemas.microsoft.com/office/drawing/2014/main" id="{B1C13B83-0DEF-E34C-3F70-74AB68698464}"/>
            </a:ext>
          </a:extLst>
        </xdr:cNvPr>
        <xdr:cNvSpPr/>
      </xdr:nvSpPr>
      <xdr:spPr>
        <a:xfrm>
          <a:off x="4251960" y="411480"/>
          <a:ext cx="4411980" cy="62484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i="1" u="dbl">
              <a:solidFill>
                <a:schemeClr val="accent3">
                  <a:lumMod val="60000"/>
                  <a:lumOff val="40000"/>
                </a:schemeClr>
              </a:solidFill>
              <a:latin typeface="Algerian" panose="04020705040A02060702" pitchFamily="82" charset="0"/>
            </a:rPr>
            <a:t>COFFEE</a:t>
          </a:r>
          <a:r>
            <a:rPr lang="en-IN" sz="2400" b="1" i="1" u="dbl" baseline="0">
              <a:solidFill>
                <a:schemeClr val="accent3">
                  <a:lumMod val="60000"/>
                  <a:lumOff val="40000"/>
                </a:schemeClr>
              </a:solidFill>
              <a:latin typeface="Algerian" panose="04020705040A02060702" pitchFamily="82" charset="0"/>
            </a:rPr>
            <a:t> SALES DASHBOARD</a:t>
          </a:r>
          <a:endParaRPr lang="en-IN" sz="2400" b="1" i="1" u="dbl">
            <a:solidFill>
              <a:schemeClr val="accent3">
                <a:lumMod val="60000"/>
                <a:lumOff val="40000"/>
              </a:schemeClr>
            </a:solidFill>
            <a:latin typeface="Algerian" panose="04020705040A02060702" pitchFamily="82" charset="0"/>
          </a:endParaRPr>
        </a:p>
      </xdr:txBody>
    </xdr:sp>
    <xdr:clientData/>
  </xdr:twoCellAnchor>
  <xdr:twoCellAnchor>
    <xdr:from>
      <xdr:col>2</xdr:col>
      <xdr:colOff>0</xdr:colOff>
      <xdr:row>1</xdr:row>
      <xdr:rowOff>60960</xdr:rowOff>
    </xdr:from>
    <xdr:to>
      <xdr:col>5</xdr:col>
      <xdr:colOff>388620</xdr:colOff>
      <xdr:row>5</xdr:row>
      <xdr:rowOff>160020</xdr:rowOff>
    </xdr:to>
    <xdr:sp macro="" textlink="">
      <xdr:nvSpPr>
        <xdr:cNvPr id="24" name="Rectangle: Rounded Corners 23">
          <a:extLst>
            <a:ext uri="{FF2B5EF4-FFF2-40B4-BE49-F238E27FC236}">
              <a16:creationId xmlns:a16="http://schemas.microsoft.com/office/drawing/2014/main" id="{FBA8B6DE-F70F-21C6-144C-9B6805842A56}"/>
            </a:ext>
          </a:extLst>
        </xdr:cNvPr>
        <xdr:cNvSpPr/>
      </xdr:nvSpPr>
      <xdr:spPr>
        <a:xfrm>
          <a:off x="1219200" y="243840"/>
          <a:ext cx="2217420" cy="83058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4000" b="1" i="1" u="dbl">
              <a:solidFill>
                <a:schemeClr val="accent6">
                  <a:lumMod val="60000"/>
                  <a:lumOff val="40000"/>
                </a:schemeClr>
              </a:solidFill>
              <a:latin typeface="Algerian" panose="04020705040A02060702" pitchFamily="82" charset="0"/>
            </a:rPr>
            <a:t>EXCEL</a:t>
          </a:r>
        </a:p>
      </xdr:txBody>
    </xdr:sp>
    <xdr:clientData/>
  </xdr:twoCellAnchor>
  <xdr:twoCellAnchor>
    <xdr:from>
      <xdr:col>12</xdr:col>
      <xdr:colOff>574628</xdr:colOff>
      <xdr:row>30</xdr:row>
      <xdr:rowOff>36871</xdr:rowOff>
    </xdr:from>
    <xdr:to>
      <xdr:col>21</xdr:col>
      <xdr:colOff>92178</xdr:colOff>
      <xdr:row>44</xdr:row>
      <xdr:rowOff>135097</xdr:rowOff>
    </xdr:to>
    <xdr:graphicFrame macro="">
      <xdr:nvGraphicFramePr>
        <xdr:cNvPr id="2" name="Chart 1">
          <a:extLst>
            <a:ext uri="{FF2B5EF4-FFF2-40B4-BE49-F238E27FC236}">
              <a16:creationId xmlns:a16="http://schemas.microsoft.com/office/drawing/2014/main" id="{E2AE6840-0B11-44D9-B377-EAA9F78202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1</xdr:col>
      <xdr:colOff>503800</xdr:colOff>
      <xdr:row>34</xdr:row>
      <xdr:rowOff>66657</xdr:rowOff>
    </xdr:from>
    <xdr:to>
      <xdr:col>4</xdr:col>
      <xdr:colOff>561835</xdr:colOff>
      <xdr:row>44</xdr:row>
      <xdr:rowOff>151140</xdr:rowOff>
    </xdr:to>
    <mc:AlternateContent xmlns:mc="http://schemas.openxmlformats.org/markup-compatibility/2006" xmlns:a14="http://schemas.microsoft.com/office/drawing/2010/main">
      <mc:Choice Requires="a14">
        <xdr:graphicFrame macro="">
          <xdr:nvGraphicFramePr>
            <xdr:cNvPr id="7" name="money">
              <a:extLst>
                <a:ext uri="{FF2B5EF4-FFF2-40B4-BE49-F238E27FC236}">
                  <a16:creationId xmlns:a16="http://schemas.microsoft.com/office/drawing/2014/main" id="{ACF4E16B-A026-4F62-889F-2FE01FE7ECE5}"/>
                </a:ext>
              </a:extLst>
            </xdr:cNvPr>
            <xdr:cNvGraphicFramePr/>
          </xdr:nvGraphicFramePr>
          <xdr:xfrm>
            <a:off x="0" y="0"/>
            <a:ext cx="0" cy="0"/>
          </xdr:xfrm>
          <a:graphic>
            <a:graphicData uri="http://schemas.microsoft.com/office/drawing/2010/slicer">
              <sle:slicer xmlns:sle="http://schemas.microsoft.com/office/drawing/2010/slicer" name="money"/>
            </a:graphicData>
          </a:graphic>
        </xdr:graphicFrame>
      </mc:Choice>
      <mc:Fallback xmlns="">
        <xdr:sp macro="" textlink="">
          <xdr:nvSpPr>
            <xdr:cNvPr id="0" name=""/>
            <xdr:cNvSpPr>
              <a:spLocks noTextEdit="1"/>
            </xdr:cNvSpPr>
          </xdr:nvSpPr>
          <xdr:spPr>
            <a:xfrm>
              <a:off x="1111019" y="6138845"/>
              <a:ext cx="1879691" cy="1870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541610</xdr:colOff>
      <xdr:row>43</xdr:row>
      <xdr:rowOff>42929</xdr:rowOff>
    </xdr:from>
    <xdr:to>
      <xdr:col>16</xdr:col>
      <xdr:colOff>257575</xdr:colOff>
      <xdr:row>44</xdr:row>
      <xdr:rowOff>127155</xdr:rowOff>
    </xdr:to>
    <xdr:sp macro="" textlink="">
      <xdr:nvSpPr>
        <xdr:cNvPr id="15" name="Rectangle: Rounded Corners 14">
          <a:extLst>
            <a:ext uri="{FF2B5EF4-FFF2-40B4-BE49-F238E27FC236}">
              <a16:creationId xmlns:a16="http://schemas.microsoft.com/office/drawing/2014/main" id="{055BC13F-2FF2-DE20-AB56-4D14725D6C79}"/>
            </a:ext>
          </a:extLst>
        </xdr:cNvPr>
        <xdr:cNvSpPr/>
      </xdr:nvSpPr>
      <xdr:spPr>
        <a:xfrm>
          <a:off x="7882568" y="7888309"/>
          <a:ext cx="2162951" cy="266677"/>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i="1">
            <a:solidFill>
              <a:schemeClr val="accent6">
                <a:lumMod val="60000"/>
                <a:lumOff val="40000"/>
              </a:schemeClr>
            </a:solidFill>
            <a:latin typeface="Algerian" panose="04020705040A02060702" pitchFamily="82" charset="0"/>
          </a:endParaRPr>
        </a:p>
      </xdr:txBody>
    </xdr:sp>
    <xdr:clientData/>
  </xdr:twoCellAnchor>
  <xdr:twoCellAnchor>
    <xdr:from>
      <xdr:col>14</xdr:col>
      <xdr:colOff>595312</xdr:colOff>
      <xdr:row>30</xdr:row>
      <xdr:rowOff>47624</xdr:rowOff>
    </xdr:from>
    <xdr:to>
      <xdr:col>19</xdr:col>
      <xdr:colOff>214313</xdr:colOff>
      <xdr:row>32</xdr:row>
      <xdr:rowOff>11907</xdr:rowOff>
    </xdr:to>
    <xdr:sp macro="" textlink="">
      <xdr:nvSpPr>
        <xdr:cNvPr id="22" name="Rectangle: Rounded Corners 21">
          <a:extLst>
            <a:ext uri="{FF2B5EF4-FFF2-40B4-BE49-F238E27FC236}">
              <a16:creationId xmlns:a16="http://schemas.microsoft.com/office/drawing/2014/main" id="{D3B516BA-2074-640C-1BF5-E019A62D8CB5}"/>
            </a:ext>
          </a:extLst>
        </xdr:cNvPr>
        <xdr:cNvSpPr/>
      </xdr:nvSpPr>
      <xdr:spPr>
        <a:xfrm>
          <a:off x="9096375" y="5405437"/>
          <a:ext cx="2655094" cy="32147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200" b="0">
              <a:solidFill>
                <a:schemeClr val="accent3">
                  <a:lumMod val="40000"/>
                  <a:lumOff val="60000"/>
                </a:schemeClr>
              </a:solidFill>
              <a:effectLst/>
              <a:latin typeface="Arial Black" panose="020B0A04020102020204" pitchFamily="34" charset="0"/>
            </a:rPr>
            <a:t>SALES</a:t>
          </a:r>
          <a:r>
            <a:rPr lang="en-IN" sz="1200" b="0" baseline="0">
              <a:solidFill>
                <a:schemeClr val="accent3">
                  <a:lumMod val="40000"/>
                  <a:lumOff val="60000"/>
                </a:schemeClr>
              </a:solidFill>
              <a:effectLst/>
              <a:latin typeface="Arial Black" panose="020B0A04020102020204" pitchFamily="34" charset="0"/>
            </a:rPr>
            <a:t> BY MONEY &amp; HOURS</a:t>
          </a:r>
          <a:endParaRPr lang="en-IN" sz="1200" b="1">
            <a:solidFill>
              <a:schemeClr val="accent3">
                <a:lumMod val="40000"/>
                <a:lumOff val="60000"/>
              </a:schemeClr>
            </a:solidFill>
            <a:effectLst/>
            <a:latin typeface="Arial Black" panose="020B0A04020102020204" pitchFamily="34" charset="0"/>
          </a:endParaRPr>
        </a:p>
      </xdr:txBody>
    </xdr:sp>
    <xdr:clientData/>
  </xdr:twoCellAnchor>
  <xdr:twoCellAnchor>
    <xdr:from>
      <xdr:col>14</xdr:col>
      <xdr:colOff>154781</xdr:colOff>
      <xdr:row>1</xdr:row>
      <xdr:rowOff>59532</xdr:rowOff>
    </xdr:from>
    <xdr:to>
      <xdr:col>16</xdr:col>
      <xdr:colOff>404813</xdr:colOff>
      <xdr:row>4</xdr:row>
      <xdr:rowOff>130969</xdr:rowOff>
    </xdr:to>
    <xdr:sp macro="" textlink="">
      <xdr:nvSpPr>
        <xdr:cNvPr id="40" name="Rectangle: Rounded Corners 39">
          <a:extLst>
            <a:ext uri="{FF2B5EF4-FFF2-40B4-BE49-F238E27FC236}">
              <a16:creationId xmlns:a16="http://schemas.microsoft.com/office/drawing/2014/main" id="{A190E6CC-37FA-E7F5-F1D7-D177BCC94729}"/>
            </a:ext>
          </a:extLst>
        </xdr:cNvPr>
        <xdr:cNvSpPr/>
      </xdr:nvSpPr>
      <xdr:spPr>
        <a:xfrm>
          <a:off x="8655844" y="238126"/>
          <a:ext cx="1464469" cy="60721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accent3">
                  <a:lumMod val="40000"/>
                  <a:lumOff val="60000"/>
                </a:schemeClr>
              </a:solidFill>
            </a:rPr>
            <a:t>SALES</a:t>
          </a:r>
          <a:r>
            <a:rPr lang="en-IN" sz="1400" b="1" baseline="0">
              <a:solidFill>
                <a:schemeClr val="accent3">
                  <a:lumMod val="40000"/>
                  <a:lumOff val="60000"/>
                </a:schemeClr>
              </a:solidFill>
            </a:rPr>
            <a:t>  BY  CASH  &amp; CARDS</a:t>
          </a:r>
          <a:endParaRPr lang="en-IN" sz="1400" b="1">
            <a:solidFill>
              <a:schemeClr val="accent3">
                <a:lumMod val="40000"/>
                <a:lumOff val="60000"/>
              </a:schemeClr>
            </a:solidFill>
          </a:endParaRPr>
        </a:p>
      </xdr:txBody>
    </xdr:sp>
    <xdr:clientData/>
  </xdr:twoCellAnchor>
</xdr:wsDr>
</file>

<file path=xl/drawings/drawing7.xml><?xml version="1.0" encoding="utf-8"?>
<c:userShapes xmlns:c="http://schemas.openxmlformats.org/drawingml/2006/chart">
  <cdr:relSizeAnchor xmlns:cdr="http://schemas.openxmlformats.org/drawingml/2006/chartDrawing">
    <cdr:from>
      <cdr:x>0.00184</cdr:x>
      <cdr:y>0.00462</cdr:y>
    </cdr:from>
    <cdr:to>
      <cdr:x>0.51278</cdr:x>
      <cdr:y>0.16174</cdr:y>
    </cdr:to>
    <cdr:sp macro="" textlink="">
      <cdr:nvSpPr>
        <cdr:cNvPr id="3" name="Rectangle: Rounded Corners 2">
          <a:extLst xmlns:a="http://schemas.openxmlformats.org/drawingml/2006/main">
            <a:ext uri="{FF2B5EF4-FFF2-40B4-BE49-F238E27FC236}">
              <a16:creationId xmlns:a16="http://schemas.microsoft.com/office/drawing/2014/main" id="{FA8A5EE3-80D2-90B3-66AA-06C36CE3EDF8}"/>
            </a:ext>
          </a:extLst>
        </cdr:cNvPr>
        <cdr:cNvSpPr/>
      </cdr:nvSpPr>
      <cdr:spPr>
        <a:xfrm xmlns:a="http://schemas.openxmlformats.org/drawingml/2006/main">
          <a:off x="7619" y="11906"/>
          <a:ext cx="2119313" cy="404812"/>
        </a:xfrm>
        <a:prstGeom xmlns:a="http://schemas.openxmlformats.org/drawingml/2006/main" prst="roundRect">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rtl="0"/>
          <a:r>
            <a:rPr lang="en-US" sz="1200" b="1" i="0" baseline="0">
              <a:solidFill>
                <a:schemeClr val="accent3">
                  <a:lumMod val="40000"/>
                  <a:lumOff val="60000"/>
                </a:schemeClr>
              </a:solidFill>
              <a:effectLst/>
              <a:latin typeface="Arial Black" panose="020B0A04020102020204" pitchFamily="34" charset="0"/>
              <a:ea typeface="+mn-ea"/>
              <a:cs typeface="+mn-cs"/>
            </a:rPr>
            <a:t>SALES BY WEEKDAY</a:t>
          </a:r>
          <a:endParaRPr lang="en-IN" sz="1200">
            <a:solidFill>
              <a:schemeClr val="accent3">
                <a:lumMod val="40000"/>
                <a:lumOff val="60000"/>
              </a:schemeClr>
            </a:solidFill>
            <a:effectLst/>
            <a:latin typeface="Arial Black" panose="020B0A04020102020204" pitchFamily="34" charset="0"/>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njit Yadav" refreshedDate="45875.982624999997" createdVersion="8" refreshedVersion="8" minRefreshableVersion="3" recordCount="2000" xr:uid="{9693A4DE-7A6B-45B3-AD33-8DDD95D66B9D}">
  <cacheSource type="worksheet">
    <worksheetSource name="Table1"/>
  </cacheSource>
  <cacheFields count="16">
    <cacheField name="date" numFmtId="14">
      <sharedItems containsSemiMixedTypes="0" containsNonDate="0" containsDate="1" containsString="0" minDate="2024-03-01T00:00:00" maxDate="2024-10-19T00:00:00" count="229">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2T00:00:00"/>
        <d v="2024-05-03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sharedItems>
      <fieldGroup par="15"/>
    </cacheField>
    <cacheField name="datetime" numFmtId="164">
      <sharedItems containsSemiMixedTypes="0" containsNonDate="0" containsDate="1" containsString="0" minDate="2024-03-01T10:15:51" maxDate="2024-10-18T21:52:23" count="2000">
        <d v="2024-03-01T10:15:51"/>
        <d v="2024-03-01T12:19:23"/>
        <d v="2024-03-01T12:20:18"/>
        <d v="2024-03-01T13:46:33"/>
        <d v="2024-03-01T13:48:15"/>
        <d v="2024-03-01T15:39:48"/>
        <d v="2024-03-01T16:19:03"/>
        <d v="2024-03-01T18:39:04"/>
        <d v="2024-03-01T19:22:02"/>
        <d v="2024-03-01T19:23:16"/>
        <d v="2024-03-01T19:29:17"/>
        <d v="2024-03-02T10:22:07"/>
        <d v="2024-03-02T10:30:36"/>
        <d v="2024-03-02T10:41:41"/>
        <d v="2024-03-02T11:59:45"/>
        <d v="2024-03-02T14:38:36"/>
        <d v="2024-03-02T16:37:24"/>
        <d v="2024-03-02T17:34:55"/>
        <d v="2024-03-03T10:10:44"/>
        <d v="2024-03-03T10:27:19"/>
        <d v="2024-03-03T11:33:56"/>
        <d v="2024-03-03T12:26:56"/>
        <d v="2024-03-03T13:09:36"/>
        <d v="2024-03-03T17:06:40"/>
        <d v="2024-03-03T17:08:46"/>
        <d v="2024-03-03T18:03:23"/>
        <d v="2024-03-03T18:04:28"/>
        <d v="2024-03-03T18:08:05"/>
        <d v="2024-03-04T10:03:52"/>
        <d v="2024-03-04T10:54:51"/>
        <d v="2024-03-04T11:05:16"/>
        <d v="2024-03-04T14:04:38"/>
        <d v="2024-03-05T09:59:53"/>
        <d v="2024-03-05T14:34:56"/>
        <d v="2024-03-05T17:34:06"/>
        <d v="2024-03-05T17:35:25"/>
        <d v="2024-03-05T17:36:29"/>
        <d v="2024-03-05T17:37:14"/>
        <d v="2024-03-05T17:38:09"/>
        <d v="2024-03-05T17:56:16"/>
        <d v="2024-03-05T18:01:31"/>
        <d v="2024-03-06T12:30:27"/>
        <d v="2024-03-06T13:24:08"/>
        <d v="2024-03-06T13:25:14"/>
        <d v="2024-03-06T14:52:02"/>
        <d v="2024-03-06T14:53:18"/>
        <d v="2024-03-07T10:08:59"/>
        <d v="2024-03-07T10:18:41"/>
        <d v="2024-03-07T11:03:59"/>
        <d v="2024-03-07T11:25:44"/>
        <d v="2024-03-07T15:40:23"/>
        <d v="2024-03-07T15:41:29"/>
        <d v="2024-03-08T10:34:41"/>
        <d v="2024-03-08T12:22:29"/>
        <d v="2024-03-08T13:53:02"/>
        <d v="2024-03-08T14:44:13"/>
        <d v="2024-03-08T14:45:11"/>
        <d v="2024-03-08T14:46:11"/>
        <d v="2024-03-08T18:57:51"/>
        <d v="2024-03-08T18:59:25"/>
        <d v="2024-03-09T11:49:37"/>
        <d v="2024-03-09T12:05:16"/>
        <d v="2024-03-09T12:07:38"/>
        <d v="2024-03-09T12:09:48"/>
        <d v="2024-03-09T12:13:04"/>
        <d v="2024-03-09T12:14:26"/>
        <d v="2024-03-09T13:09:22"/>
        <d v="2024-03-09T13:41:06"/>
        <d v="2024-03-09T13:53:10"/>
        <d v="2024-03-09T13:54:37"/>
        <d v="2024-03-09T14:08:02"/>
        <d v="2024-03-09T14:26:53"/>
        <d v="2024-03-09T19:17:58"/>
        <d v="2024-03-09T19:19:10"/>
        <d v="2024-03-10T07:44:19"/>
        <d v="2024-03-10T07:45:29"/>
        <d v="2024-03-10T10:06:03"/>
        <d v="2024-03-10T11:19:21"/>
        <d v="2024-03-10T17:51:03"/>
        <d v="2024-03-10T19:34:00"/>
        <d v="2024-03-10T19:35:55"/>
        <d v="2024-03-11T10:18:47"/>
        <d v="2024-03-11T11:24:15"/>
        <d v="2024-03-11T11:24:52"/>
        <d v="2024-03-11T11:26:44"/>
        <d v="2024-03-11T11:32:59"/>
        <d v="2024-03-11T16:24:26"/>
        <d v="2024-03-11T16:25:46"/>
        <d v="2024-03-11T16:50:50"/>
        <d v="2024-03-12T10:15:00"/>
        <d v="2024-03-12T10:15:35"/>
        <d v="2024-03-12T10:16:25"/>
        <d v="2024-03-12T11:20:46"/>
        <d v="2024-03-12T12:46:23"/>
        <d v="2024-03-12T12:47:26"/>
        <d v="2024-03-12T16:15:43"/>
        <d v="2024-03-13T11:06:43"/>
        <d v="2024-03-13T11:48:17"/>
        <d v="2024-03-13T12:18:06"/>
        <d v="2024-03-13T12:19:05"/>
        <d v="2024-03-13T12:34:30"/>
        <d v="2024-03-13T14:26:41"/>
        <d v="2024-03-13T15:40:22"/>
        <d v="2024-03-13T15:41:20"/>
        <d v="2024-03-13T16:47:09"/>
        <d v="2024-03-14T10:02:12"/>
        <d v="2024-03-14T10:28:33"/>
        <d v="2024-03-14T10:29:34"/>
        <d v="2024-03-14T13:27:30"/>
        <d v="2024-03-14T13:28:25"/>
        <d v="2024-03-14T13:52:00"/>
        <d v="2024-03-14T13:52:56"/>
        <d v="2024-03-14T15:20:38"/>
        <d v="2024-03-14T16:04:10"/>
        <d v="2024-03-14T16:54:38"/>
        <d v="2024-03-14T18:58:56"/>
        <d v="2024-03-14T19:00:09"/>
        <d v="2024-03-15T10:02:17"/>
        <d v="2024-03-15T10:53:02"/>
        <d v="2024-03-15T18:19:28"/>
        <d v="2024-03-16T12:06:55"/>
        <d v="2024-03-16T12:07:54"/>
        <d v="2024-03-16T15:58:18"/>
        <d v="2024-03-16T16:03:22"/>
        <d v="2024-03-16T16:04:11"/>
        <d v="2024-03-16T17:58:07"/>
        <d v="2024-03-17T10:10:21"/>
        <d v="2024-03-17T12:55:26"/>
        <d v="2024-03-18T11:18:00"/>
        <d v="2024-03-18T15:31:40"/>
        <d v="2024-03-18T15:32:38"/>
        <d v="2024-03-18T15:33:37"/>
        <d v="2024-03-19T10:20:26"/>
        <d v="2024-03-19T14:02:22"/>
        <d v="2024-03-19T14:03:20"/>
        <d v="2024-03-19T15:04:36"/>
        <d v="2024-03-19T16:53:49"/>
        <d v="2024-03-19T19:26:33"/>
        <d v="2024-03-20T11:41:16"/>
        <d v="2024-03-20T12:21:08"/>
        <d v="2024-03-20T12:30:49"/>
        <d v="2024-03-20T13:16:47"/>
        <d v="2024-03-20T16:42:38"/>
        <d v="2024-03-20T17:50:29"/>
        <d v="2024-03-21T10:18:57"/>
        <d v="2024-03-21T12:25:09"/>
        <d v="2024-03-21T12:26:17"/>
        <d v="2024-03-21T17:21:01"/>
        <d v="2024-03-21T17:22:01"/>
        <d v="2024-03-21T19:20:37"/>
        <d v="2024-03-22T10:35:54"/>
        <d v="2024-03-22T13:29:20"/>
        <d v="2024-03-22T16:15:14"/>
        <d v="2024-03-22T17:17:04"/>
        <d v="2024-03-22T17:17:59"/>
        <d v="2024-03-22T17:20:49"/>
        <d v="2024-03-23T10:44:00"/>
        <d v="2024-03-23T10:45:07"/>
        <d v="2024-03-23T13:10:08"/>
        <d v="2024-03-23T13:11:12"/>
        <d v="2024-03-23T14:44:41"/>
        <d v="2024-03-23T15:47:19"/>
        <d v="2024-03-23T15:49:34"/>
        <d v="2024-03-23T16:00:58"/>
        <d v="2024-03-24T10:03:56"/>
        <d v="2024-03-24T18:45:08"/>
        <d v="2024-03-25T10:31:47"/>
        <d v="2024-03-25T11:16:26"/>
        <d v="2024-03-25T14:27:09"/>
        <d v="2024-03-25T14:29:25"/>
        <d v="2024-03-25T18:37:31"/>
        <d v="2024-03-25T19:34:25"/>
        <d v="2024-03-26T10:35:50"/>
        <d v="2024-03-26T10:36:36"/>
        <d v="2024-03-26T10:42:30"/>
        <d v="2024-03-26T11:11:47"/>
        <d v="2024-03-26T13:35:53"/>
        <d v="2024-03-26T13:36:50"/>
        <d v="2024-03-26T13:38:00"/>
        <d v="2024-03-26T13:57:54"/>
        <d v="2024-03-26T15:48:02"/>
        <d v="2024-03-26T18:33:39"/>
        <d v="2024-03-26T18:34:55"/>
        <d v="2024-03-27T11:04:51"/>
        <d v="2024-03-27T11:05:58"/>
        <d v="2024-03-27T12:57:00"/>
        <d v="2024-03-27T13:35:20"/>
        <d v="2024-03-27T14:22:32"/>
        <d v="2024-03-27T14:23:35"/>
        <d v="2024-03-27T18:30:12"/>
        <d v="2024-03-27T19:31:12"/>
        <d v="2024-03-28T14:24:47"/>
        <d v="2024-03-28T17:24:46"/>
        <d v="2024-03-28T17:27:05"/>
        <d v="2024-03-28T17:32:45"/>
        <d v="2024-03-29T10:56:19"/>
        <d v="2024-03-29T12:34:17"/>
        <d v="2024-03-29T12:41:32"/>
        <d v="2024-03-29T13:22:45"/>
        <d v="2024-03-30T11:59:20"/>
        <d v="2024-03-30T13:49:26"/>
        <d v="2024-03-30T16:12:32"/>
        <d v="2024-03-30T16:36:41"/>
        <d v="2024-03-30T16:37:58"/>
        <d v="2024-03-31T10:40:05"/>
        <d v="2024-03-31T19:36:45"/>
        <d v="2024-04-01T10:28:48"/>
        <d v="2024-04-01T10:29:42"/>
        <d v="2024-04-01T10:30:44"/>
        <d v="2024-04-01T11:15:44"/>
        <d v="2024-04-01T17:01:43"/>
        <d v="2024-04-01T18:18:42"/>
        <d v="2024-04-01T18:45:27"/>
        <d v="2024-04-02T10:01:14"/>
        <d v="2024-04-02T16:18:34"/>
        <d v="2024-04-02T16:19:28"/>
        <d v="2024-04-02T19:59:32"/>
        <d v="2024-04-03T10:19:14"/>
        <d v="2024-04-03T10:20:08"/>
        <d v="2024-04-03T13:12:05"/>
        <d v="2024-04-03T15:36:12"/>
        <d v="2024-04-04T10:44:56"/>
        <d v="2024-04-04T11:26:38"/>
        <d v="2024-04-04T11:27:48"/>
        <d v="2024-04-04T12:23:02"/>
        <d v="2024-04-04T19:42:08"/>
        <d v="2024-04-05T10:40:43"/>
        <d v="2024-04-05T10:42:06"/>
        <d v="2024-04-05T11:06:15"/>
        <d v="2024-04-05T12:14:28"/>
        <d v="2024-04-05T14:23:40"/>
        <d v="2024-04-05T14:24:50"/>
        <d v="2024-04-05T15:30:50"/>
        <d v="2024-04-05T15:54:16"/>
        <d v="2024-04-05T15:55:31"/>
        <d v="2024-04-05T16:17:44"/>
        <d v="2024-04-05T16:18:24"/>
        <d v="2024-04-06T12:32:31"/>
        <d v="2024-04-06T14:13:19"/>
        <d v="2024-04-06T14:14:27"/>
        <d v="2024-04-06T14:49:50"/>
        <d v="2024-04-07T10:12:53"/>
        <d v="2024-04-07T12:44:32"/>
        <d v="2024-04-07T12:46:05"/>
        <d v="2024-04-07T14:16:25"/>
        <d v="2024-04-07T14:17:31"/>
        <d v="2024-04-07T18:01:17"/>
        <d v="2024-04-07T18:02:04"/>
        <d v="2024-04-08T10:58:21"/>
        <d v="2024-04-08T10:59:28"/>
        <d v="2024-04-08T11:01:20"/>
        <d v="2024-04-08T11:04:47"/>
        <d v="2024-04-08T12:54:26"/>
        <d v="2024-04-08T15:43:37"/>
        <d v="2024-04-08T16:41:38"/>
        <d v="2024-04-08T18:18:10"/>
        <d v="2024-04-08T19:22:27"/>
        <d v="2024-04-08T19:23:59"/>
        <d v="2024-04-09T10:22:27"/>
        <d v="2024-04-09T10:24:10"/>
        <d v="2024-04-09T11:42:28"/>
        <d v="2024-04-09T15:11:49"/>
        <d v="2024-04-09T17:25:24"/>
        <d v="2024-04-10T10:21:26"/>
        <d v="2024-04-10T17:55:07"/>
        <d v="2024-04-10T17:55:31"/>
        <d v="2024-04-10T18:24:59"/>
        <d v="2024-04-10T20:04:05"/>
        <d v="2024-04-11T10:41:23"/>
        <d v="2024-04-11T10:42:59"/>
        <d v="2024-04-11T16:35:23"/>
        <d v="2024-04-11T19:16:57"/>
        <d v="2024-04-11T19:18:37"/>
        <d v="2024-04-12T19:03:43"/>
        <d v="2024-04-12T19:38:23"/>
        <d v="2024-04-13T12:29:20"/>
        <d v="2024-04-13T12:43:02"/>
        <d v="2024-04-13T15:06:52"/>
        <d v="2024-04-13T15:07:56"/>
        <d v="2024-04-13T16:18:04"/>
        <d v="2024-04-13T16:19:40"/>
        <d v="2024-04-13T17:51:26"/>
        <d v="2024-04-13T17:53:19"/>
        <d v="2024-04-14T10:55:27"/>
        <d v="2024-04-14T12:24:39"/>
        <d v="2024-04-14T12:27:09"/>
        <d v="2024-04-14T12:29:07"/>
        <d v="2024-04-14T12:31:36"/>
        <d v="2024-04-14T13:21:50"/>
        <d v="2024-04-14T14:23:32"/>
        <d v="2024-04-14T14:24:27"/>
        <d v="2024-04-14T14:25:18"/>
        <d v="2024-04-14T15:46:28"/>
        <d v="2024-04-14T16:59:55"/>
        <d v="2024-04-14T17:00:45"/>
        <d v="2024-04-14T18:38:20"/>
        <d v="2024-04-15T11:45:25"/>
        <d v="2024-04-15T17:01:46"/>
        <d v="2024-04-15T17:02:50"/>
        <d v="2024-04-15T19:33:03"/>
        <d v="2024-04-15T19:41:58"/>
        <d v="2024-04-16T10:43:50"/>
        <d v="2024-04-16T10:46:26"/>
        <d v="2024-04-16T12:40:48"/>
        <d v="2024-04-16T12:52:08"/>
        <d v="2024-04-16T15:03:17"/>
        <d v="2024-04-16T17:42:04"/>
        <d v="2024-04-16T17:43:23"/>
        <d v="2024-04-16T18:09:05"/>
        <d v="2024-04-17T13:33:00"/>
        <d v="2024-04-17T13:44:00"/>
        <d v="2024-04-17T16:13:24"/>
        <d v="2024-04-17T17:01:35"/>
        <d v="2024-04-17T17:02:41"/>
        <d v="2024-04-17T18:14:03"/>
        <d v="2024-04-18T11:19:02"/>
        <d v="2024-04-18T11:20:06"/>
        <d v="2024-04-18T13:49:13"/>
        <d v="2024-04-18T13:50:17"/>
        <d v="2024-04-18T14:34:20"/>
        <d v="2024-04-18T14:35:49"/>
        <d v="2024-04-18T17:44:16"/>
        <d v="2024-04-18T18:21:06"/>
        <d v="2024-04-18T19:39:51"/>
        <d v="2024-04-18T19:40:49"/>
        <d v="2024-04-19T10:10:36"/>
        <d v="2024-04-19T13:11:48"/>
        <d v="2024-04-19T13:13:21"/>
        <d v="2024-04-19T13:58:54"/>
        <d v="2024-04-19T13:59:50"/>
        <d v="2024-04-19T18:23:19"/>
        <d v="2024-04-19T18:25:33"/>
        <d v="2024-04-20T11:24:43"/>
        <d v="2024-04-20T12:08:36"/>
        <d v="2024-04-20T12:09:43"/>
        <d v="2024-04-20T13:08:37"/>
        <d v="2024-04-20T13:09:48"/>
        <d v="2024-04-20T13:10:55"/>
        <d v="2024-04-20T14:44:18"/>
        <d v="2024-04-20T15:11:00"/>
        <d v="2024-04-20T15:22:41"/>
        <d v="2024-04-20T15:49:25"/>
        <d v="2024-04-20T17:07:58"/>
        <d v="2024-04-20T18:27:41"/>
        <d v="2024-04-20T18:28:47"/>
        <d v="2024-04-20T19:30:55"/>
        <d v="2024-04-21T11:16:46"/>
        <d v="2024-04-21T14:15:38"/>
        <d v="2024-04-21T17:09:03"/>
        <d v="2024-04-22T11:09:16"/>
        <d v="2024-04-22T11:29:27"/>
        <d v="2024-04-22T18:40:33"/>
        <d v="2024-04-22T19:39:05"/>
        <d v="2024-04-22T20:02:29"/>
        <d v="2024-04-23T14:22:36"/>
        <d v="2024-04-23T14:23:53"/>
        <d v="2024-04-23T14:24:58"/>
        <d v="2024-04-23T19:42:28"/>
        <d v="2024-04-23T19:43:26"/>
        <d v="2024-04-24T10:19:38"/>
        <d v="2024-04-24T10:21:27"/>
        <d v="2024-04-24T11:23:46"/>
        <d v="2024-04-24T11:33:26"/>
        <d v="2024-04-24T12:39:09"/>
        <d v="2024-04-24T16:39:07"/>
        <d v="2024-04-24T19:39:50"/>
        <d v="2024-04-24T19:40:54"/>
        <d v="2024-04-25T10:46:08"/>
        <d v="2024-04-25T15:18:27"/>
        <d v="2024-04-25T17:09:44"/>
        <d v="2024-04-25T17:10:49"/>
        <d v="2024-04-26T10:12:51"/>
        <d v="2024-04-26T12:01:31"/>
        <d v="2024-04-26T13:31:28"/>
        <d v="2024-04-26T15:32:35"/>
        <d v="2024-04-26T15:33:33"/>
        <d v="2024-04-26T16:23:27"/>
        <d v="2024-04-26T16:24:34"/>
        <d v="2024-04-26T19:32:07"/>
        <d v="2024-04-26T19:33:30"/>
        <d v="2024-04-27T15:27:01"/>
        <d v="2024-04-28T10:32:52"/>
        <d v="2024-04-28T12:30:10"/>
        <d v="2024-04-28T18:27:08"/>
        <d v="2024-04-28T18:28:11"/>
        <d v="2024-04-28T18:29:02"/>
        <d v="2024-04-29T11:26:32"/>
        <d v="2024-04-29T13:27:57"/>
        <d v="2024-04-29T13:28:54"/>
        <d v="2024-04-29T13:53:36"/>
        <d v="2024-04-29T13:54:24"/>
        <d v="2024-04-29T18:37:48"/>
        <d v="2024-04-29T19:12:33"/>
        <d v="2024-04-29T19:13:38"/>
        <d v="2024-04-30T10:16:41"/>
        <d v="2024-04-30T10:34:52"/>
        <d v="2024-04-30T10:35:48"/>
        <d v="2024-04-30T13:41:52"/>
        <d v="2024-04-30T13:43:00"/>
        <d v="2024-04-30T19:19:18"/>
        <d v="2024-04-30T19:30:04"/>
        <d v="2024-04-30T19:31:21"/>
        <d v="2024-05-02T10:33:56"/>
        <d v="2024-05-02T11:29:57"/>
        <d v="2024-05-02T13:49:40"/>
        <d v="2024-05-02T18:36:22"/>
        <d v="2024-05-02T18:41:11"/>
        <d v="2024-05-02T19:18:33"/>
        <d v="2024-05-02T19:19:56"/>
        <d v="2024-05-03T10:11:53"/>
        <d v="2024-05-03T14:30:01"/>
        <d v="2024-05-03T17:03:25"/>
        <d v="2024-05-06T10:05:18"/>
        <d v="2024-05-06T10:06:52"/>
        <d v="2024-05-06T10:08:06"/>
        <d v="2024-05-06T10:09:08"/>
        <d v="2024-05-06T10:39:13"/>
        <d v="2024-05-06T11:34:21"/>
        <d v="2024-05-06T13:18:11"/>
        <d v="2024-05-06T13:19:01"/>
        <d v="2024-05-06T19:18:13"/>
        <d v="2024-05-06T19:19:50"/>
        <d v="2024-05-07T10:44:56"/>
        <d v="2024-05-07T11:21:58"/>
        <d v="2024-05-07T13:23:35"/>
        <d v="2024-05-07T16:42:08"/>
        <d v="2024-05-07T16:55:39"/>
        <d v="2024-05-07T17:37:46"/>
        <d v="2024-05-07T17:38:48"/>
        <d v="2024-05-07T18:35:37"/>
        <d v="2024-05-07T19:12:13"/>
        <d v="2024-05-07T19:13:12"/>
        <d v="2024-05-08T10:07:29"/>
        <d v="2024-05-09T12:54:22"/>
        <d v="2024-05-09T13:03:59"/>
        <d v="2024-05-09T13:04:58"/>
        <d v="2024-05-09T13:06:11"/>
        <d v="2024-05-09T13:07:16"/>
        <d v="2024-05-09T16:55:15"/>
        <d v="2024-05-09T16:56:15"/>
        <d v="2024-05-09T18:01:30"/>
        <d v="2024-05-09T18:13:56"/>
        <d v="2024-05-10T10:09:22"/>
        <d v="2024-05-10T15:46:22"/>
        <d v="2024-05-10T15:47:33"/>
        <d v="2024-05-10T16:20:15"/>
        <d v="2024-05-11T11:39:53"/>
        <d v="2024-05-11T17:02:44"/>
        <d v="2024-05-11T17:20:30"/>
        <d v="2024-05-11T17:21:56"/>
        <d v="2024-05-11T17:23:57"/>
        <d v="2024-05-11T17:28:54"/>
        <d v="2024-05-11T18:35:40"/>
        <d v="2024-05-11T19:38:16"/>
        <d v="2024-05-12T10:20:43"/>
        <d v="2024-05-12T13:24:03"/>
        <d v="2024-05-12T13:27:39"/>
        <d v="2024-05-12T15:16:20"/>
        <d v="2024-05-12T15:38:02"/>
        <d v="2024-05-12T15:52:15"/>
        <d v="2024-05-12T16:04:21"/>
        <d v="2024-05-12T19:41:31"/>
        <d v="2024-05-13T11:03:53"/>
        <d v="2024-05-13T15:31:11"/>
        <d v="2024-05-13T15:31:51"/>
        <d v="2024-05-14T08:38:15"/>
        <d v="2024-05-14T08:39:25"/>
        <d v="2024-05-14T08:40:17"/>
        <d v="2024-05-14T10:19:23"/>
        <d v="2024-05-14T11:32:29"/>
        <d v="2024-05-14T11:34:13"/>
        <d v="2024-05-14T14:04:55"/>
        <d v="2024-05-14T14:06:00"/>
        <d v="2024-05-14T15:01:55"/>
        <d v="2024-05-14T16:57:57"/>
        <d v="2024-05-14T16:59:10"/>
        <d v="2024-05-14T22:51:25"/>
        <d v="2024-05-15T08:40:06"/>
        <d v="2024-05-15T11:14:19"/>
        <d v="2024-05-15T11:19:10"/>
        <d v="2024-05-15T13:34:35"/>
        <d v="2024-05-15T13:35:29"/>
        <d v="2024-05-15T13:36:27"/>
        <d v="2024-05-15T13:55:29"/>
        <d v="2024-05-15T14:38:11"/>
        <d v="2024-05-15T14:38:52"/>
        <d v="2024-05-15T14:39:44"/>
        <d v="2024-05-15T17:28:59"/>
        <d v="2024-05-15T20:20:35"/>
        <d v="2024-05-16T10:38:42"/>
        <d v="2024-05-16T10:39:49"/>
        <d v="2024-05-16T11:42:50"/>
        <d v="2024-05-16T11:44:21"/>
        <d v="2024-05-16T12:14:00"/>
        <d v="2024-05-16T15:15:16"/>
        <d v="2024-05-16T17:44:32"/>
        <d v="2024-05-16T18:12:57"/>
        <d v="2024-05-16T18:13:58"/>
        <d v="2024-05-17T09:00:48"/>
        <d v="2024-05-17T11:30:28"/>
        <d v="2024-05-17T14:58:03"/>
        <d v="2024-05-17T19:55:19"/>
        <d v="2024-05-17T19:56:47"/>
        <d v="2024-05-17T20:37:53"/>
        <d v="2024-05-17T22:34:51"/>
        <d v="2024-05-17T22:36:33"/>
        <d v="2024-05-17T22:37:43"/>
        <d v="2024-05-18T08:01:38"/>
        <d v="2024-05-18T08:02:40"/>
        <d v="2024-05-18T11:15:56"/>
        <d v="2024-05-18T16:48:29"/>
        <d v="2024-05-18T16:49:27"/>
        <d v="2024-05-18T19:58:44"/>
        <d v="2024-05-18T20:22:53"/>
        <d v="2024-05-18T22:05:27"/>
        <d v="2024-05-19T07:58:38"/>
        <d v="2024-05-19T07:59:34"/>
        <d v="2024-05-19T08:00:35"/>
        <d v="2024-05-19T09:28:50"/>
        <d v="2024-05-19T12:14:27"/>
        <d v="2024-05-19T14:43:40"/>
        <d v="2024-05-19T15:58:58"/>
        <d v="2024-05-19T18:12:36"/>
        <d v="2024-05-19T18:13:48"/>
        <d v="2024-05-19T18:16:30"/>
        <d v="2024-05-19T19:51:07"/>
        <d v="2024-05-19T21:15:42"/>
        <d v="2024-05-19T21:18:36"/>
        <d v="2024-05-20T10:05:59"/>
        <d v="2024-05-20T10:17:52"/>
        <d v="2024-05-20T10:58:48"/>
        <d v="2024-05-20T11:15:16"/>
        <d v="2024-05-20T11:16:20"/>
        <d v="2024-05-20T13:27:13"/>
        <d v="2024-05-20T13:28:10"/>
        <d v="2024-05-20T14:13:19"/>
        <d v="2024-05-20T14:14:31"/>
        <d v="2024-05-20T14:32:21"/>
        <d v="2024-05-20T17:12:51"/>
        <d v="2024-05-20T17:13:57"/>
        <d v="2024-05-20T20:36:48"/>
        <d v="2024-05-20T20:37:57"/>
        <d v="2024-05-20T20:46:52"/>
        <d v="2024-05-20T21:36:54"/>
        <d v="2024-05-20T21:37:58"/>
        <d v="2024-05-21T08:27:38"/>
        <d v="2024-05-21T09:43:51"/>
        <d v="2024-05-21T09:44:40"/>
        <d v="2024-05-21T09:46:09"/>
        <d v="2024-05-21T10:05:08"/>
        <d v="2024-05-21T16:10:20"/>
        <d v="2024-05-21T18:13:24"/>
        <d v="2024-05-21T19:11:09"/>
        <d v="2024-05-21T20:13:48"/>
        <d v="2024-05-22T09:34:42"/>
        <d v="2024-05-22T10:49:47"/>
        <d v="2024-05-22T11:18:14"/>
        <d v="2024-05-22T11:34:55"/>
        <d v="2024-05-22T12:29:51"/>
        <d v="2024-05-22T12:30:43"/>
        <d v="2024-05-22T14:00:20"/>
        <d v="2024-05-22T19:24:58"/>
        <d v="2024-05-22T19:25:59"/>
        <d v="2024-05-22T21:23:53"/>
        <d v="2024-05-22T21:24:50"/>
        <d v="2024-05-23T10:10:20"/>
        <d v="2024-05-23T12:22:07"/>
        <d v="2024-05-23T15:55:17"/>
        <d v="2024-05-23T15:56:27"/>
        <d v="2024-05-23T16:18:14"/>
        <d v="2024-05-23T16:41:00"/>
        <d v="2024-05-23T17:14:33"/>
        <d v="2024-05-23T17:15:45"/>
        <d v="2024-05-23T19:03:54"/>
        <d v="2024-05-23T19:17:28"/>
        <d v="2024-05-23T19:18:26"/>
        <d v="2024-05-23T19:42:32"/>
        <d v="2024-05-23T20:15:01"/>
        <d v="2024-05-23T20:16:24"/>
        <d v="2024-05-23T22:48:11"/>
        <d v="2024-05-23T22:55:37"/>
        <d v="2024-05-24T11:11:59"/>
        <d v="2024-05-24T11:15:08"/>
        <d v="2024-05-24T11:16:13"/>
        <d v="2024-05-24T16:07:20"/>
        <d v="2024-05-24T18:17:40"/>
        <d v="2024-05-24T18:18:37"/>
        <d v="2024-05-24T22:30:40"/>
        <d v="2024-05-25T07:40:59"/>
        <d v="2024-05-25T12:13:53"/>
        <d v="2024-05-25T12:40:24"/>
        <d v="2024-05-25T12:42:10"/>
        <d v="2024-05-25T12:43:13"/>
        <d v="2024-05-25T12:58:12"/>
        <d v="2024-05-25T16:47:10"/>
        <d v="2024-05-25T16:48:17"/>
        <d v="2024-05-26T10:20:02"/>
        <d v="2024-05-26T14:24:50"/>
        <d v="2024-05-26T14:26:05"/>
        <d v="2024-05-26T14:40:59"/>
        <d v="2024-05-26T17:19:16"/>
        <d v="2024-05-26T18:09:53"/>
        <d v="2024-05-26T18:11:02"/>
        <d v="2024-05-26T18:13:14"/>
        <d v="2024-05-26T18:39:19"/>
        <d v="2024-05-26T20:59:15"/>
        <d v="2024-05-26T21:00:06"/>
        <d v="2024-05-26T21:02:37"/>
        <d v="2024-05-26T21:03:52"/>
        <d v="2024-05-26T21:04:59"/>
        <d v="2024-05-26T21:06:03"/>
        <d v="2024-05-27T11:34:55"/>
        <d v="2024-05-27T14:05:22"/>
        <d v="2024-05-27T14:06:44"/>
        <d v="2024-05-27T15:11:34"/>
        <d v="2024-05-27T15:14:06"/>
        <d v="2024-05-27T17:50:56"/>
        <d v="2024-05-27T18:00:51"/>
        <d v="2024-05-27T19:16:27"/>
        <d v="2024-05-27T19:17:39"/>
        <d v="2024-05-27T21:29:07"/>
        <d v="2024-05-27T21:30:20"/>
        <d v="2024-05-28T08:37:09"/>
        <d v="2024-05-28T09:20:11"/>
        <d v="2024-05-28T11:48:18"/>
        <d v="2024-05-28T13:14:40"/>
        <d v="2024-05-28T14:10:54"/>
        <d v="2024-05-28T16:25:39"/>
        <d v="2024-05-28T17:21:44"/>
        <d v="2024-05-28T19:09:29"/>
        <d v="2024-05-28T19:10:31"/>
        <d v="2024-05-28T20:24:32"/>
        <d v="2024-05-28T20:50:19"/>
        <d v="2024-05-29T09:14:44"/>
        <d v="2024-05-29T10:48:47"/>
        <d v="2024-05-29T11:14:03"/>
        <d v="2024-05-29T15:10:49"/>
        <d v="2024-05-29T15:22:56"/>
        <d v="2024-05-29T15:45:13"/>
        <d v="2024-05-29T16:45:04"/>
        <d v="2024-05-29T18:24:03"/>
        <d v="2024-05-29T18:24:59"/>
        <d v="2024-05-29T20:30:42"/>
        <d v="2024-05-29T20:32:35"/>
        <d v="2024-05-30T08:29:06"/>
        <d v="2024-05-30T08:30:22"/>
        <d v="2024-05-30T08:37:05"/>
        <d v="2024-05-30T09:47:59"/>
        <d v="2024-05-30T14:56:15"/>
        <d v="2024-05-30T15:16:16"/>
        <d v="2024-05-30T15:17:39"/>
        <d v="2024-05-30T19:53:11"/>
        <d v="2024-05-30T20:31:05"/>
        <d v="2024-05-30T20:46:14"/>
        <d v="2024-05-30T20:47:22"/>
        <d v="2024-05-31T07:53:57"/>
        <d v="2024-05-31T09:21:08"/>
        <d v="2024-05-31T09:23:59"/>
        <d v="2024-05-31T10:38:08"/>
        <d v="2024-05-31T10:39:06"/>
        <d v="2024-05-31T14:50:13"/>
        <d v="2024-05-31T18:23:45"/>
        <d v="2024-05-31T18:25:03"/>
        <d v="2024-05-31T20:06:39"/>
        <d v="2024-05-31T20:33:06"/>
        <d v="2024-05-31T20:34:33"/>
        <d v="2024-05-31T22:05:47"/>
        <d v="2024-05-31T22:06:52"/>
        <d v="2024-05-31T22:07:55"/>
        <d v="2024-06-01T08:27:02"/>
        <d v="2024-06-01T09:48:25"/>
        <d v="2024-06-01T11:38:09"/>
        <d v="2024-06-01T14:28:54"/>
        <d v="2024-06-01T18:20:13"/>
        <d v="2024-06-01T18:21:15"/>
        <d v="2024-06-01T20:50:10"/>
        <d v="2024-06-01T20:51:14"/>
        <d v="2024-06-01T20:54:59"/>
        <d v="2024-06-01T20:59:10"/>
        <d v="2024-06-01T21:51:05"/>
        <d v="2024-06-02T20:03:26"/>
        <d v="2024-06-02T20:24:02"/>
        <d v="2024-06-02T20:25:07"/>
        <d v="2024-06-02T21:07:21"/>
        <d v="2024-06-02T21:30:12"/>
        <d v="2024-06-02T22:43:11"/>
        <d v="2024-06-03T10:12:04"/>
        <d v="2024-06-03T10:27:50"/>
        <d v="2024-06-03T14:31:42"/>
        <d v="2024-06-03T14:33:01"/>
        <d v="2024-06-03T14:34:07"/>
        <d v="2024-06-03T21:42:52"/>
        <d v="2024-06-03T21:43:37"/>
        <d v="2024-06-04T09:23:43"/>
        <d v="2024-06-04T10:27:14"/>
        <d v="2024-06-04T12:02:10"/>
        <d v="2024-06-04T12:05:29"/>
        <d v="2024-06-04T15:30:32"/>
        <d v="2024-06-04T17:46:37"/>
        <d v="2024-06-04T17:47:29"/>
        <d v="2024-06-04T20:13:01"/>
        <d v="2024-06-04T20:50:34"/>
        <d v="2024-06-04T21:31:59"/>
        <d v="2024-06-04T21:33:03"/>
        <d v="2024-06-04T21:34:56"/>
        <d v="2024-06-04T21:36:07"/>
        <d v="2024-06-04T21:37:15"/>
        <d v="2024-06-05T08:21:49"/>
        <d v="2024-06-05T08:23:07"/>
        <d v="2024-06-05T09:22:43"/>
        <d v="2024-06-05T10:28:51"/>
        <d v="2024-06-05T10:40:53"/>
        <d v="2024-06-05T19:43:58"/>
        <d v="2024-06-05T19:59:54"/>
        <d v="2024-06-05T20:10:48"/>
        <d v="2024-06-05T20:12:02"/>
        <d v="2024-06-06T08:52:56"/>
        <d v="2024-06-06T08:54:08"/>
        <d v="2024-06-06T10:36:10"/>
        <d v="2024-06-06T12:17:41"/>
        <d v="2024-06-06T15:11:14"/>
        <d v="2024-06-06T15:24:06"/>
        <d v="2024-06-06T21:14:05"/>
        <d v="2024-06-06T21:15:42"/>
        <d v="2024-06-06T21:18:27"/>
        <d v="2024-06-06T21:19:30"/>
        <d v="2024-06-06T21:21:04"/>
        <d v="2024-06-07T08:18:04"/>
        <d v="2024-06-07T10:35:28"/>
        <d v="2024-06-07T13:34:18"/>
        <d v="2024-06-07T16:45:42"/>
        <d v="2024-06-07T16:47:15"/>
        <d v="2024-06-08T09:04:20"/>
        <d v="2024-06-08T09:26:11"/>
        <d v="2024-06-08T20:24:54"/>
        <d v="2024-06-08T20:25:56"/>
        <d v="2024-06-09T08:15:53"/>
        <d v="2024-06-09T10:30:04"/>
        <d v="2024-06-09T10:52:06"/>
        <d v="2024-06-09T11:04:41"/>
        <d v="2024-06-09T11:07:08"/>
        <d v="2024-06-09T11:52:50"/>
        <d v="2024-06-09T12:11:24"/>
        <d v="2024-06-09T12:13:08"/>
        <d v="2024-06-09T12:14:11"/>
        <d v="2024-06-09T15:10:31"/>
        <d v="2024-06-09T16:17:28"/>
        <d v="2024-06-09T19:21:19"/>
        <d v="2024-06-09T21:05:09"/>
        <d v="2024-06-10T12:47:50"/>
        <d v="2024-06-10T12:56:48"/>
        <d v="2024-06-10T19:04:28"/>
        <d v="2024-06-10T19:05:23"/>
        <d v="2024-06-10T19:37:24"/>
        <d v="2024-06-10T19:38:20"/>
        <d v="2024-06-11T10:38:04"/>
        <d v="2024-06-11T18:48:25"/>
        <d v="2024-06-11T18:49:36"/>
        <d v="2024-06-11T21:17:03"/>
        <d v="2024-06-11T21:27:42"/>
        <d v="2024-06-11T21:28:50"/>
        <d v="2024-06-12T10:18:19"/>
        <d v="2024-06-12T11:51:44"/>
        <d v="2024-06-12T17:41:17"/>
        <d v="2024-06-12T17:47:28"/>
        <d v="2024-06-12T20:16:34"/>
        <d v="2024-06-12T20:25:34"/>
        <d v="2024-06-13T08:54:24"/>
        <d v="2024-06-13T08:57:26"/>
        <d v="2024-06-13T09:50:25"/>
        <d v="2024-06-13T09:57:12"/>
        <d v="2024-06-13T17:04:59"/>
        <d v="2024-06-13T17:27:47"/>
        <d v="2024-06-13T19:22:19"/>
        <d v="2024-06-13T20:20:52"/>
        <d v="2024-06-13T20:43:46"/>
        <d v="2024-06-13T20:45:01"/>
        <d v="2024-06-13T20:48:18"/>
        <d v="2024-06-13T21:02:28"/>
        <d v="2024-06-14T07:46:13"/>
        <d v="2024-06-14T10:30:32"/>
        <d v="2024-06-14T12:14:42"/>
        <d v="2024-06-14T18:29:53"/>
        <d v="2024-06-15T11:26:02"/>
        <d v="2024-06-15T12:21:28"/>
        <d v="2024-06-15T12:22:47"/>
        <d v="2024-06-15T12:23:52"/>
        <d v="2024-06-15T12:24:35"/>
        <d v="2024-06-15T12:25:24"/>
        <d v="2024-06-15T16:03:30"/>
        <d v="2024-06-15T18:14:05"/>
        <d v="2024-06-16T10:43:51"/>
        <d v="2024-06-16T10:58:41"/>
        <d v="2024-06-16T11:00:38"/>
        <d v="2024-06-16T11:01:41"/>
        <d v="2024-06-16T12:49:28"/>
        <d v="2024-06-16T14:00:39"/>
        <d v="2024-06-16T15:02:36"/>
        <d v="2024-06-16T15:05:10"/>
        <d v="2024-06-16T15:44:00"/>
        <d v="2024-06-16T16:47:37"/>
        <d v="2024-06-16T17:45:17"/>
        <d v="2024-06-16T17:46:17"/>
        <d v="2024-06-17T08:57:24"/>
        <d v="2024-06-17T10:12:05"/>
        <d v="2024-06-17T10:13:38"/>
        <d v="2024-06-17T10:55:52"/>
        <d v="2024-06-17T14:51:35"/>
        <d v="2024-06-17T16:50:13"/>
        <d v="2024-06-17T16:51:11"/>
        <d v="2024-06-17T16:52:36"/>
        <d v="2024-06-17T18:51:20"/>
        <d v="2024-06-17T21:16:11"/>
        <d v="2024-06-18T14:04:06"/>
        <d v="2024-06-18T14:05:12"/>
        <d v="2024-06-18T19:20:41"/>
        <d v="2024-06-18T19:21:39"/>
        <d v="2024-06-18T20:35:49"/>
        <d v="2024-06-18T21:20:50"/>
        <d v="2024-06-18T21:22:19"/>
        <d v="2024-06-19T07:47:20"/>
        <d v="2024-06-19T08:17:55"/>
        <d v="2024-06-19T10:54:00"/>
        <d v="2024-06-19T11:11:28"/>
        <d v="2024-06-19T11:12:31"/>
        <d v="2024-06-19T14:21:36"/>
        <d v="2024-06-19T18:28:43"/>
        <d v="2024-06-19T18:29:59"/>
        <d v="2024-06-19T19:31:31"/>
        <d v="2024-06-19T21:28:59"/>
        <d v="2024-06-19T21:30:03"/>
        <d v="2024-06-20T10:50:06"/>
        <d v="2024-06-20T18:59:02"/>
        <d v="2024-06-20T19:00:00"/>
        <d v="2024-06-20T21:39:10"/>
        <d v="2024-06-20T21:57:41"/>
        <d v="2024-06-20T21:59:18"/>
        <d v="2024-06-21T09:59:56"/>
        <d v="2024-06-21T10:01:40"/>
        <d v="2024-06-21T13:19:19"/>
        <d v="2024-06-21T13:20:32"/>
        <d v="2024-06-21T18:12:16"/>
        <d v="2024-06-21T19:30:27"/>
        <d v="2024-06-21T19:47:06"/>
        <d v="2024-06-21T19:48:07"/>
        <d v="2024-06-21T19:49:55"/>
        <d v="2024-06-21T19:51:00"/>
        <d v="2024-06-21T19:52:19"/>
        <d v="2024-06-21T19:55:37"/>
        <d v="2024-06-22T08:39:50"/>
        <d v="2024-06-22T09:37:49"/>
        <d v="2024-06-22T12:53:16"/>
        <d v="2024-06-22T15:37:20"/>
        <d v="2024-06-22T22:10:23"/>
        <d v="2024-06-23T18:12:01"/>
        <d v="2024-06-23T18:13:51"/>
        <d v="2024-06-23T21:06:47"/>
        <d v="2024-06-23T21:29:08"/>
        <d v="2024-06-23T21:30:36"/>
        <d v="2024-06-24T11:44:40"/>
        <d v="2024-06-24T11:49:36"/>
        <d v="2024-06-24T11:50:44"/>
        <d v="2024-06-24T15:02:29"/>
        <d v="2024-06-24T16:46:01"/>
        <d v="2024-06-24T16:47:00"/>
        <d v="2024-06-25T08:19:24"/>
        <d v="2024-06-25T10:28:26"/>
        <d v="2024-06-25T10:29:42"/>
        <d v="2024-06-25T11:34:52"/>
        <d v="2024-06-26T09:33:02"/>
        <d v="2024-06-26T16:32:29"/>
        <d v="2024-06-26T16:34:02"/>
        <d v="2024-06-26T21:21:53"/>
        <d v="2024-06-26T21:27:01"/>
        <d v="2024-06-26T21:28:15"/>
        <d v="2024-06-27T09:15:43"/>
        <d v="2024-06-27T16:11:48"/>
        <d v="2024-06-27T21:44:03"/>
        <d v="2024-06-27T21:50:32"/>
        <d v="2024-06-28T08:08:35"/>
        <d v="2024-06-28T17:51:54"/>
        <d v="2024-06-28T21:50:55"/>
        <d v="2024-06-28T21:52:02"/>
        <d v="2024-06-28T22:28:20"/>
        <d v="2024-06-29T09:47:10"/>
        <d v="2024-06-29T11:40:20"/>
        <d v="2024-06-29T11:41:27"/>
        <d v="2024-06-29T12:30:24"/>
        <d v="2024-06-29T12:31:43"/>
        <d v="2024-06-29T17:23:44"/>
        <d v="2024-06-29T17:24:52"/>
        <d v="2024-06-29T21:27:22"/>
        <d v="2024-06-30T10:28:10"/>
        <d v="2024-06-30T13:05:51"/>
        <d v="2024-06-30T16:54:42"/>
        <d v="2024-06-30T21:04:10"/>
        <d v="2024-07-01T18:07:27"/>
        <d v="2024-07-01T18:56:52"/>
        <d v="2024-07-01T18:57:54"/>
        <d v="2024-07-02T10:42:54"/>
        <d v="2024-07-02T10:45:01"/>
        <d v="2024-07-02T12:48:05"/>
        <d v="2024-07-02T14:03:13"/>
        <d v="2024-07-02T16:31:24"/>
        <d v="2024-07-02T22:02:24"/>
        <d v="2024-07-03T13:51:15"/>
        <d v="2024-07-03T16:01:17"/>
        <d v="2024-07-03T16:50:25"/>
        <d v="2024-07-03T16:53:16"/>
        <d v="2024-07-03T16:54:23"/>
        <d v="2024-07-03T16:55:31"/>
        <d v="2024-07-03T16:59:26"/>
        <d v="2024-07-03T17:59:02"/>
        <d v="2024-07-03T19:06:09"/>
        <d v="2024-07-04T10:26:24"/>
        <d v="2024-07-04T10:27:30"/>
        <d v="2024-07-05T12:20:29"/>
        <d v="2024-07-05T13:43:43"/>
        <d v="2024-07-05T13:44:44"/>
        <d v="2024-07-05T18:55:56"/>
        <d v="2024-07-05T19:55:08"/>
        <d v="2024-07-05T22:11:56"/>
        <d v="2024-07-05T22:18:03"/>
        <d v="2024-07-05T22:18:57"/>
        <d v="2024-07-05T22:20:01"/>
        <d v="2024-07-05T22:21:09"/>
        <d v="2024-07-06T10:28:07"/>
        <d v="2024-07-06T17:15:46"/>
        <d v="2024-07-06T17:17:01"/>
        <d v="2024-07-06T19:09:46"/>
        <d v="2024-07-06T19:10:40"/>
        <d v="2024-07-07T09:04:20"/>
        <d v="2024-07-07T09:14:29"/>
        <d v="2024-07-07T09:15:37"/>
        <d v="2024-07-07T09:28:49"/>
        <d v="2024-07-07T09:29:56"/>
        <d v="2024-07-07T14:56:30"/>
        <d v="2024-07-07T14:57:47"/>
        <d v="2024-07-07T17:07:50"/>
        <d v="2024-07-07T19:33:27"/>
        <d v="2024-07-07T20:01:32"/>
        <d v="2024-07-07T22:33:36"/>
        <d v="2024-07-08T07:33:08"/>
        <d v="2024-07-08T12:02:50"/>
        <d v="2024-07-08T14:40:24"/>
        <d v="2024-07-08T19:30:35"/>
        <d v="2024-07-08T22:14:46"/>
        <d v="2024-07-09T10:26:52"/>
        <d v="2024-07-09T10:40:29"/>
        <d v="2024-07-09T11:21:36"/>
        <d v="2024-07-09T11:22:50"/>
        <d v="2024-07-09T16:43:00"/>
        <d v="2024-07-10T11:10:42"/>
        <d v="2024-07-10T12:28:54"/>
        <d v="2024-07-10T22:13:10"/>
        <d v="2024-07-11T11:27:28"/>
        <d v="2024-07-11T16:48:19"/>
        <d v="2024-07-11T22:22:14"/>
        <d v="2024-07-11T22:30:59"/>
        <d v="2024-07-12T08:03:17"/>
        <d v="2024-07-12T11:48:33"/>
        <d v="2024-07-12T22:33:26"/>
        <d v="2024-07-12T22:34:14"/>
        <d v="2024-07-12T22:35:30"/>
        <d v="2024-07-13T10:38:10"/>
        <d v="2024-07-13T11:41:38"/>
        <d v="2024-07-14T10:54:24"/>
        <d v="2024-07-14T10:55:31"/>
        <d v="2024-07-14T10:56:30"/>
        <d v="2024-07-14T10:57:54"/>
        <d v="2024-07-14T11:02:12"/>
        <d v="2024-07-14T22:31:30"/>
        <d v="2024-07-15T07:33:06"/>
        <d v="2024-07-16T12:23:37"/>
        <d v="2024-07-16T19:29:25"/>
        <d v="2024-07-17T13:05:00"/>
        <d v="2024-07-18T11:10:13"/>
        <d v="2024-07-18T11:11:23"/>
        <d v="2024-07-18T11:33:00"/>
        <d v="2024-07-18T11:34:48"/>
        <d v="2024-07-18T11:35:52"/>
        <d v="2024-07-18T13:23:34"/>
        <d v="2024-07-18T18:18:23"/>
        <d v="2024-07-18T19:30:51"/>
        <d v="2024-07-18T21:19:42"/>
        <d v="2024-07-18T21:22:00"/>
        <d v="2024-07-18T21:46:19"/>
        <d v="2024-07-19T11:03:02"/>
        <d v="2024-07-19T11:16:21"/>
        <d v="2024-07-19T12:58:38"/>
        <d v="2024-07-19T12:59:55"/>
        <d v="2024-07-19T14:09:21"/>
        <d v="2024-07-19T14:11:22"/>
        <d v="2024-07-19T16:36:19"/>
        <d v="2024-07-19T16:37:36"/>
        <d v="2024-07-20T08:05:44"/>
        <d v="2024-07-20T08:06:49"/>
        <d v="2024-07-20T08:07:51"/>
        <d v="2024-07-20T09:00:54"/>
        <d v="2024-07-20T09:02:28"/>
        <d v="2024-07-20T10:39:21"/>
        <d v="2024-07-20T15:15:09"/>
        <d v="2024-07-21T10:30:56"/>
        <d v="2024-07-21T11:39:29"/>
        <d v="2024-07-21T13:34:31"/>
        <d v="2024-07-21T13:42:31"/>
        <d v="2024-07-22T08:13:23"/>
        <d v="2024-07-22T08:40:50"/>
        <d v="2024-07-22T10:15:37"/>
        <d v="2024-07-22T16:44:38"/>
        <d v="2024-07-23T08:12:56"/>
        <d v="2024-07-23T08:40:19"/>
        <d v="2024-07-23T08:44:54"/>
        <d v="2024-07-23T08:49:25"/>
        <d v="2024-07-23T08:51:10"/>
        <d v="2024-07-23T09:01:46"/>
        <d v="2024-07-23T10:03:36"/>
        <d v="2024-07-23T15:20:05"/>
        <d v="2024-07-23T15:21:01"/>
        <d v="2024-07-23T21:01:41"/>
        <d v="2024-07-23T21:23:14"/>
        <d v="2024-07-23T21:24:23"/>
        <d v="2024-07-24T09:16:10"/>
        <d v="2024-07-24T09:38:55"/>
        <d v="2024-07-24T09:54:37"/>
        <d v="2024-07-24T11:43:53"/>
        <d v="2024-07-24T13:55:14"/>
        <d v="2024-07-24T14:45:50"/>
        <d v="2024-07-24T15:18:31"/>
        <d v="2024-07-24T19:15:06"/>
        <d v="2024-07-24T19:17:00"/>
        <d v="2024-07-24T21:17:37"/>
        <d v="2024-07-24T21:18:41"/>
        <d v="2024-07-24T21:25:17"/>
        <d v="2024-07-25T07:54:48"/>
        <d v="2024-07-25T08:49:18"/>
        <d v="2024-07-25T10:29:45"/>
        <d v="2024-07-25T11:26:05"/>
        <d v="2024-07-25T15:25:07"/>
        <d v="2024-07-25T19:21:01"/>
        <d v="2024-07-25T21:06:01"/>
        <d v="2024-07-25T21:06:50"/>
        <d v="2024-07-25T22:38:51"/>
        <d v="2024-07-25T22:39:47"/>
        <d v="2024-07-26T08:33:01"/>
        <d v="2024-07-26T09:19:37"/>
        <d v="2024-07-26T09:20:34"/>
        <d v="2024-07-26T09:33:12"/>
        <d v="2024-07-26T09:34:17"/>
        <d v="2024-07-26T09:59:08"/>
        <d v="2024-07-26T10:00:03"/>
        <d v="2024-07-26T11:47:14"/>
        <d v="2024-07-26T12:07:02"/>
        <d v="2024-07-26T12:28:08"/>
        <d v="2024-07-26T12:29:18"/>
        <d v="2024-07-26T13:09:56"/>
        <d v="2024-07-26T17:23:29"/>
        <d v="2024-07-26T17:58:29"/>
        <d v="2024-07-26T21:15:10"/>
        <d v="2024-07-26T22:49:52"/>
        <d v="2024-07-27T09:09:16"/>
        <d v="2024-07-27T11:55:31"/>
        <d v="2024-07-27T12:25:10"/>
        <d v="2024-07-27T12:26:13"/>
        <d v="2024-07-27T12:33:23"/>
        <d v="2024-07-27T14:28:42"/>
        <d v="2024-07-27T14:51:53"/>
        <d v="2024-07-27T17:02:33"/>
        <d v="2024-07-27T17:03:39"/>
        <d v="2024-07-27T17:09:00"/>
        <d v="2024-07-27T17:10:08"/>
        <d v="2024-07-27T20:55:20"/>
        <d v="2024-07-27T22:56:24"/>
        <d v="2024-07-28T11:07:26"/>
        <d v="2024-07-28T14:17:54"/>
        <d v="2024-07-28T14:18:52"/>
        <d v="2024-07-29T08:12:06"/>
        <d v="2024-07-29T09:04:48"/>
        <d v="2024-07-29T09:15:46"/>
        <d v="2024-07-29T09:19:44"/>
        <d v="2024-07-29T09:51:25"/>
        <d v="2024-07-29T09:58:30"/>
        <d v="2024-07-29T10:43:44"/>
        <d v="2024-07-29T10:44:56"/>
        <d v="2024-07-29T19:06:31"/>
        <d v="2024-07-29T19:30:16"/>
        <d v="2024-07-29T21:57:34"/>
        <d v="2024-07-30T07:41:11"/>
        <d v="2024-07-30T08:05:07"/>
        <d v="2024-07-30T08:20:51"/>
        <d v="2024-07-30T09:13:43"/>
        <d v="2024-07-30T10:17:11"/>
        <d v="2024-07-30T10:19:34"/>
        <d v="2024-07-30T10:23:20"/>
        <d v="2024-07-30T11:12:07"/>
        <d v="2024-07-30T11:13:16"/>
        <d v="2024-07-30T11:14:42"/>
        <d v="2024-07-30T11:16:02"/>
        <d v="2024-07-30T11:30:35"/>
        <d v="2024-07-30T11:31:41"/>
        <d v="2024-07-30T12:08:08"/>
        <d v="2024-07-30T15:16:10"/>
        <d v="2024-07-30T16:08:53"/>
        <d v="2024-07-30T16:09:44"/>
        <d v="2024-07-30T20:24:20"/>
        <d v="2024-07-30T20:53:52"/>
        <d v="2024-07-30T20:54:46"/>
        <d v="2024-07-30T20:57:02"/>
        <d v="2024-07-30T21:33:19"/>
        <d v="2024-07-30T22:15:21"/>
        <d v="2024-07-30T22:16:19"/>
        <d v="2024-07-31T07:59:52"/>
        <d v="2024-07-31T08:37:42"/>
        <d v="2024-07-31T08:38:38"/>
        <d v="2024-07-31T09:54:45"/>
        <d v="2024-07-31T09:55:45"/>
        <d v="2024-07-31T09:58:16"/>
        <d v="2024-07-31T13:11:43"/>
        <d v="2024-07-31T13:14:00"/>
        <d v="2024-07-31T13:24:49"/>
        <d v="2024-07-31T17:48:07"/>
        <d v="2024-07-31T18:04:15"/>
        <d v="2024-07-31T19:22:39"/>
        <d v="2024-07-31T19:28:45"/>
        <d v="2024-07-31T20:46:42"/>
        <d v="2024-07-31T20:50:07"/>
        <d v="2024-07-31T20:51:10"/>
        <d v="2024-07-31T20:52:15"/>
        <d v="2024-07-31T20:53:35"/>
        <d v="2024-07-31T20:59:25"/>
        <d v="2024-07-31T21:26:26"/>
        <d v="2024-07-31T21:54:12"/>
        <d v="2024-07-31T21:55:17"/>
        <d v="2024-08-01T07:31:00"/>
        <d v="2024-08-01T09:25:20"/>
        <d v="2024-08-01T11:04:14"/>
        <d v="2024-08-01T11:22:46"/>
        <d v="2024-08-01T13:22:47"/>
        <d v="2024-08-01T13:23:37"/>
        <d v="2024-08-01T13:49:07"/>
        <d v="2024-08-01T15:43:44"/>
        <d v="2024-08-01T16:24:01"/>
        <d v="2024-08-01T16:26:07"/>
        <d v="2024-08-01T17:23:35"/>
        <d v="2024-08-01T20:41:28"/>
        <d v="2024-08-02T09:01:54"/>
        <d v="2024-08-02T09:35:03"/>
        <d v="2024-08-02T11:09:19"/>
        <d v="2024-08-02T18:08:35"/>
        <d v="2024-08-02T21:23:04"/>
        <d v="2024-08-03T08:53:47"/>
        <d v="2024-08-03T09:37:19"/>
        <d v="2024-08-03T09:38:41"/>
        <d v="2024-08-03T10:12:26"/>
        <d v="2024-08-03T11:20:27"/>
        <d v="2024-08-03T11:21:22"/>
        <d v="2024-08-03T11:56:37"/>
        <d v="2024-08-03T11:57:31"/>
        <d v="2024-08-03T12:03:36"/>
        <d v="2024-08-03T16:54:00"/>
        <d v="2024-08-03T18:38:42"/>
        <d v="2024-08-03T21:30:49"/>
        <d v="2024-08-03T21:33:06"/>
        <d v="2024-08-04T08:18:37"/>
        <d v="2024-08-04T10:37:51"/>
        <d v="2024-08-04T11:50:55"/>
        <d v="2024-08-04T11:52:33"/>
        <d v="2024-08-04T15:33:52"/>
        <d v="2024-08-04T15:35:06"/>
        <d v="2024-08-05T08:50:06"/>
        <d v="2024-08-05T09:19:19"/>
        <d v="2024-08-05T11:20:47"/>
        <d v="2024-08-05T13:45:22"/>
        <d v="2024-08-05T16:05:58"/>
        <d v="2024-08-05T16:07:19"/>
        <d v="2024-08-05T17:44:25"/>
        <d v="2024-08-05T17:45:32"/>
        <d v="2024-08-05T19:20:03"/>
        <d v="2024-08-05T19:34:51"/>
        <d v="2024-08-05T20:49:31"/>
        <d v="2024-08-05T20:50:22"/>
        <d v="2024-08-05T22:43:48"/>
        <d v="2024-08-06T10:21:03"/>
        <d v="2024-08-06T10:32:32"/>
        <d v="2024-08-06T17:40:49"/>
        <d v="2024-08-06T17:42:53"/>
        <d v="2024-08-06T17:44:05"/>
        <d v="2024-08-06T19:04:05"/>
        <d v="2024-08-06T19:05:23"/>
        <d v="2024-08-06T20:04:27"/>
        <d v="2024-08-07T08:55:48"/>
        <d v="2024-08-07T12:12:27"/>
        <d v="2024-08-07T12:13:41"/>
        <d v="2024-08-07T13:11:16"/>
        <d v="2024-08-07T16:19:02"/>
        <d v="2024-08-07T19:36:23"/>
        <d v="2024-08-07T20:40:09"/>
        <d v="2024-08-07T21:18:12"/>
        <d v="2024-08-07T22:28:57"/>
        <d v="2024-08-07T22:32:16"/>
        <d v="2024-08-08T08:46:36"/>
        <d v="2024-08-08T08:47:29"/>
        <d v="2024-08-08T12:27:05"/>
        <d v="2024-08-08T12:43:20"/>
        <d v="2024-08-08T12:44:15"/>
        <d v="2024-08-08T16:57:53"/>
        <d v="2024-08-08T17:17:52"/>
        <d v="2024-08-08T21:25:59"/>
        <d v="2024-08-09T07:35:22"/>
        <d v="2024-08-09T09:53:35"/>
        <d v="2024-08-09T10:13:08"/>
        <d v="2024-08-09T10:26:47"/>
        <d v="2024-08-09T11:28:09"/>
        <d v="2024-08-09T11:29:49"/>
        <d v="2024-08-09T18:56:28"/>
        <d v="2024-08-09T19:03:07"/>
        <d v="2024-08-10T08:36:45"/>
        <d v="2024-08-10T08:37:57"/>
        <d v="2024-08-10T08:45:09"/>
        <d v="2024-08-10T11:52:34"/>
        <d v="2024-08-10T11:54:24"/>
        <d v="2024-08-10T12:15:11"/>
        <d v="2024-08-10T12:33:12"/>
        <d v="2024-08-10T16:06:12"/>
        <d v="2024-08-10T21:16:49"/>
        <d v="2024-08-10T21:17:41"/>
        <d v="2024-08-10T21:37:42"/>
        <d v="2024-08-11T09:52:37"/>
        <d v="2024-08-11T09:53:44"/>
        <d v="2024-08-11T10:17:24"/>
        <d v="2024-08-11T11:56:41"/>
        <d v="2024-08-11T11:57:41"/>
        <d v="2024-08-11T12:20:20"/>
        <d v="2024-08-11T15:53:52"/>
        <d v="2024-08-11T15:55:15"/>
        <d v="2024-08-11T15:56:28"/>
        <d v="2024-08-11T16:27:35"/>
        <d v="2024-08-11T16:28:38"/>
        <d v="2024-08-11T21:30:33"/>
        <d v="2024-08-11T21:41:09"/>
        <d v="2024-08-11T21:43:10"/>
        <d v="2024-08-11T22:39:30"/>
        <d v="2024-08-12T08:26:19"/>
        <d v="2024-08-12T11:15:05"/>
        <d v="2024-08-12T11:19:30"/>
        <d v="2024-08-12T11:20:24"/>
        <d v="2024-08-12T11:44:28"/>
        <d v="2024-08-12T14:04:03"/>
        <d v="2024-08-12T14:05:07"/>
        <d v="2024-08-12T15:33:33"/>
        <d v="2024-08-12T18:05:05"/>
        <d v="2024-08-12T21:25:49"/>
        <d v="2024-08-12T21:37:38"/>
        <d v="2024-08-12T22:58:20"/>
        <d v="2024-08-12T22:59:19"/>
        <d v="2024-08-13T08:44:30"/>
        <d v="2024-08-13T09:14:22"/>
        <d v="2024-08-13T09:45:56"/>
        <d v="2024-08-13T10:42:09"/>
        <d v="2024-08-13T11:59:48"/>
        <d v="2024-08-13T13:01:41"/>
        <d v="2024-08-13T14:45:40"/>
        <d v="2024-08-13T15:47:57"/>
        <d v="2024-08-13T15:55:30"/>
        <d v="2024-08-13T20:29:35"/>
        <d v="2024-08-13T20:30:37"/>
        <d v="2024-08-13T20:44:23"/>
        <d v="2024-08-13T21:00:45"/>
        <d v="2024-08-14T07:35:48"/>
        <d v="2024-08-14T07:36:56"/>
        <d v="2024-08-14T10:09:29"/>
        <d v="2024-08-14T11:39:08"/>
        <d v="2024-08-14T12:49:17"/>
        <d v="2024-08-14T12:51:05"/>
        <d v="2024-08-14T15:21:27"/>
        <d v="2024-08-14T17:24:23"/>
        <d v="2024-08-14T18:10:04"/>
        <d v="2024-08-14T18:59:18"/>
        <d v="2024-08-14T19:34:52"/>
        <d v="2024-08-14T19:35:49"/>
        <d v="2024-08-14T21:41:33"/>
        <d v="2024-08-15T09:36:11"/>
        <d v="2024-08-15T09:37:02"/>
        <d v="2024-08-15T09:38:05"/>
        <d v="2024-08-15T09:38:50"/>
        <d v="2024-08-15T12:38:38"/>
        <d v="2024-08-15T13:48:14"/>
        <d v="2024-08-15T14:17:48"/>
        <d v="2024-08-15T14:18:51"/>
        <d v="2024-08-15T17:53:52"/>
        <d v="2024-08-15T19:10:58"/>
        <d v="2024-08-15T19:11:54"/>
        <d v="2024-08-15T19:41:30"/>
        <d v="2024-08-15T19:42:38"/>
        <d v="2024-08-15T20:40:42"/>
        <d v="2024-08-15T21:35:20"/>
        <d v="2024-08-15T21:36:11"/>
        <d v="2024-08-16T12:29:17"/>
        <d v="2024-08-16T12:54:17"/>
        <d v="2024-08-16T13:36:13"/>
        <d v="2024-08-16T15:18:52"/>
        <d v="2024-08-16T15:19:39"/>
        <d v="2024-08-17T09:16:53"/>
        <d v="2024-08-17T09:18:09"/>
        <d v="2024-08-17T10:53:41"/>
        <d v="2024-08-17T11:58:42"/>
        <d v="2024-08-17T11:59:28"/>
        <d v="2024-08-17T13:18:40"/>
        <d v="2024-08-17T16:31:55"/>
        <d v="2024-08-17T16:33:49"/>
        <d v="2024-08-17T18:48:59"/>
        <d v="2024-08-17T21:18:57"/>
        <d v="2024-08-17T22:42:39"/>
        <d v="2024-08-18T08:09:43"/>
        <d v="2024-08-18T08:32:06"/>
        <d v="2024-08-18T08:41:06"/>
        <d v="2024-08-18T08:56:01"/>
        <d v="2024-08-18T12:31:41"/>
        <d v="2024-08-18T14:30:22"/>
        <d v="2024-08-18T18:24:11"/>
        <d v="2024-08-18T18:26:04"/>
        <d v="2024-08-18T18:27:18"/>
        <d v="2024-08-18T18:28:13"/>
        <d v="2024-08-19T15:09:49"/>
        <d v="2024-08-19T15:10:51"/>
        <d v="2024-08-19T21:21:12"/>
        <d v="2024-08-19T21:31:57"/>
        <d v="2024-08-20T08:27:16"/>
        <d v="2024-08-20T08:29:15"/>
        <d v="2024-08-20T08:49:47"/>
        <d v="2024-08-20T08:50:36"/>
        <d v="2024-08-20T09:14:55"/>
        <d v="2024-08-20T11:09:56"/>
        <d v="2024-08-20T11:11:39"/>
        <d v="2024-08-20T11:12:31"/>
        <d v="2024-08-20T11:42:20"/>
        <d v="2024-08-20T20:42:41"/>
        <d v="2024-08-20T20:44:15"/>
        <d v="2024-08-20T20:45:12"/>
        <d v="2024-08-20T20:46:04"/>
        <d v="2024-08-21T07:59:13"/>
        <d v="2024-08-21T08:40:27"/>
        <d v="2024-08-21T10:13:32"/>
        <d v="2024-08-21T10:38:45"/>
        <d v="2024-08-21T11:51:41"/>
        <d v="2024-08-21T13:17:11"/>
        <d v="2024-08-21T19:42:04"/>
        <d v="2024-08-22T09:22:26"/>
        <d v="2024-08-22T10:09:23"/>
        <d v="2024-08-22T10:47:59"/>
        <d v="2024-08-22T14:16:12"/>
        <d v="2024-08-22T14:26:58"/>
        <d v="2024-08-22T15:07:07"/>
        <d v="2024-08-22T15:27:27"/>
        <d v="2024-08-23T07:43:16"/>
        <d v="2024-08-23T08:21:48"/>
        <d v="2024-08-23T08:22:57"/>
        <d v="2024-08-23T08:33:39"/>
        <d v="2024-08-23T08:34:35"/>
        <d v="2024-08-23T09:14:52"/>
        <d v="2024-08-23T10:10:59"/>
        <d v="2024-08-23T10:11:55"/>
        <d v="2024-08-23T10:39:12"/>
        <d v="2024-08-23T11:12:59"/>
        <d v="2024-08-23T13:24:55"/>
        <d v="2024-08-23T15:28:53"/>
        <d v="2024-08-23T19:48:03"/>
        <d v="2024-08-24T08:13:42"/>
        <d v="2024-08-24T08:14:48"/>
        <d v="2024-08-24T08:44:12"/>
        <d v="2024-08-24T10:18:09"/>
        <d v="2024-08-24T10:18:52"/>
        <d v="2024-08-24T10:19:49"/>
        <d v="2024-08-25T08:14:37"/>
        <d v="2024-08-25T08:26:28"/>
        <d v="2024-08-25T08:27:36"/>
        <d v="2024-08-25T09:24:22"/>
        <d v="2024-08-25T12:41:43"/>
        <d v="2024-08-25T14:53:03"/>
        <d v="2024-08-26T08:11:47"/>
        <d v="2024-08-26T08:16:10"/>
        <d v="2024-08-26T08:17:23"/>
        <d v="2024-08-26T09:21:37"/>
        <d v="2024-08-26T10:37:44"/>
        <d v="2024-08-26T10:38:49"/>
        <d v="2024-08-26T12:45:13"/>
        <d v="2024-08-26T12:46:24"/>
        <d v="2024-08-26T18:53:28"/>
        <d v="2024-08-26T18:54:31"/>
        <d v="2024-08-26T22:55:40"/>
        <d v="2024-08-27T10:04:05"/>
        <d v="2024-08-28T12:08:19"/>
        <d v="2024-08-28T12:10:04"/>
        <d v="2024-08-28T12:35:07"/>
        <d v="2024-08-28T13:48:35"/>
        <d v="2024-08-29T07:29:30"/>
        <d v="2024-08-30T17:13:30"/>
        <d v="2024-08-30T17:14:33"/>
        <d v="2024-08-30T17:15:35"/>
        <d v="2024-08-31T09:08:32"/>
        <d v="2024-08-31T10:02:08"/>
        <d v="2024-08-31T10:22:27"/>
        <d v="2024-08-31T11:29:55"/>
        <d v="2024-08-31T11:33:40"/>
        <d v="2024-08-31T11:34:33"/>
        <d v="2024-09-01T09:34:15"/>
        <d v="2024-09-01T12:11:25"/>
        <d v="2024-09-01T12:30:09"/>
        <d v="2024-09-01T12:32:22"/>
        <d v="2024-09-01T12:50:17"/>
        <d v="2024-09-01T13:57:34"/>
        <d v="2024-09-01T14:44:04"/>
        <d v="2024-09-01T17:20:46"/>
        <d v="2024-09-01T17:23:14"/>
        <d v="2024-09-01T17:24:50"/>
        <d v="2024-09-02T08:24:40"/>
        <d v="2024-09-02T08:50:18"/>
        <d v="2024-09-02T08:51:33"/>
        <d v="2024-09-02T14:58:47"/>
        <d v="2024-09-02T20:09:44"/>
        <d v="2024-09-02T20:11:18"/>
        <d v="2024-09-02T20:52:32"/>
        <d v="2024-09-02T20:53:29"/>
        <d v="2024-09-03T08:22:15"/>
        <d v="2024-09-03T08:28:12"/>
        <d v="2024-09-03T08:41:12"/>
        <d v="2024-09-03T09:03:12"/>
        <d v="2024-09-03T09:04:12"/>
        <d v="2024-09-03T09:12:48"/>
        <d v="2024-09-03T09:13:34"/>
        <d v="2024-09-03T09:17:02"/>
        <d v="2024-09-03T09:20:17"/>
        <d v="2024-09-03T09:37:52"/>
        <d v="2024-09-03T09:38:56"/>
        <d v="2024-09-03T12:56:53"/>
        <d v="2024-09-03T14:14:52"/>
        <d v="2024-09-03T14:16:17"/>
        <d v="2024-09-03T18:48:35"/>
        <d v="2024-09-03T19:11:12"/>
        <d v="2024-09-03T19:17:14"/>
        <d v="2024-09-04T11:11:22"/>
        <d v="2024-09-04T11:33:37"/>
        <d v="2024-09-04T11:48:04"/>
        <d v="2024-09-04T11:55:34"/>
        <d v="2024-09-04T12:53:31"/>
        <d v="2024-09-04T13:03:51"/>
        <d v="2024-09-04T13:05:16"/>
        <d v="2024-09-04T18:03:47"/>
        <d v="2024-09-04T19:41:42"/>
        <d v="2024-09-04T21:19:36"/>
        <d v="2024-09-05T09:31:17"/>
        <d v="2024-09-05T10:28:56"/>
        <d v="2024-09-05T11:06:31"/>
        <d v="2024-09-05T14:00:28"/>
        <d v="2024-09-05T15:25:12"/>
        <d v="2024-09-05T16:38:50"/>
        <d v="2024-09-05T16:40:00"/>
        <d v="2024-09-05T17:04:29"/>
        <d v="2024-09-05T17:05:32"/>
        <d v="2024-09-05T20:30:15"/>
        <d v="2024-09-05T20:54:24"/>
        <d v="2024-09-05T20:55:31"/>
        <d v="2024-09-05T21:26:29"/>
        <d v="2024-09-05T21:27:30"/>
        <d v="2024-09-06T08:25:34"/>
        <d v="2024-09-06T08:34:47"/>
        <d v="2024-09-06T08:54:42"/>
        <d v="2024-09-06T09:50:40"/>
        <d v="2024-09-06T09:51:52"/>
        <d v="2024-09-06T10:30:06"/>
        <d v="2024-09-06T11:23:25"/>
        <d v="2024-09-06T11:24:29"/>
        <d v="2024-09-06T20:00:12"/>
        <d v="2024-09-06T21:09:31"/>
        <d v="2024-09-07T08:48:57"/>
        <d v="2024-09-07T09:52:03"/>
        <d v="2024-09-07T09:53:04"/>
        <d v="2024-09-07T09:54:42"/>
        <d v="2024-09-07T09:57:48"/>
        <d v="2024-09-07T09:59:02"/>
        <d v="2024-09-07T10:00:20"/>
        <d v="2024-09-07T10:22:45"/>
        <d v="2024-09-07T10:37:52"/>
        <d v="2024-09-07T10:40:13"/>
        <d v="2024-09-07T10:53:32"/>
        <d v="2024-09-07T11:18:57"/>
        <d v="2024-09-07T11:20:00"/>
        <d v="2024-09-07T11:20:57"/>
        <d v="2024-09-07T15:55:09"/>
        <d v="2024-09-07T16:20:01"/>
        <d v="2024-09-07T16:20:59"/>
        <d v="2024-09-07T19:35:05"/>
        <d v="2024-09-07T19:36:05"/>
        <d v="2024-09-07T19:37:16"/>
        <d v="2024-09-07T20:13:52"/>
        <d v="2024-09-07T20:14:59"/>
        <d v="2024-09-08T08:15:41"/>
        <d v="2024-09-08T09:18:17"/>
        <d v="2024-09-08T09:19:12"/>
        <d v="2024-09-08T10:05:56"/>
        <d v="2024-09-08T12:43:28"/>
        <d v="2024-09-08T20:13:33"/>
        <d v="2024-09-09T07:51:14"/>
        <d v="2024-09-09T07:53:52"/>
        <d v="2024-09-09T07:55:22"/>
        <d v="2024-09-09T07:56:38"/>
        <d v="2024-09-09T09:49:51"/>
        <d v="2024-09-09T09:50:52"/>
        <d v="2024-09-09T09:59:11"/>
        <d v="2024-09-09T11:11:36"/>
        <d v="2024-09-09T11:12:51"/>
        <d v="2024-09-09T11:29:49"/>
        <d v="2024-09-09T12:07:00"/>
        <d v="2024-09-09T15:12:14"/>
        <d v="2024-09-09T15:13:25"/>
        <d v="2024-09-09T17:24:10"/>
        <d v="2024-09-09T18:13:46"/>
        <d v="2024-09-09T20:07:36"/>
        <d v="2024-09-09T20:13:44"/>
        <d v="2024-09-10T08:12:02"/>
        <d v="2024-09-10T09:32:47"/>
        <d v="2024-09-10T15:21:54"/>
        <d v="2024-09-10T15:23:06"/>
        <d v="2024-09-10T18:43:42"/>
        <d v="2024-09-10T18:45:23"/>
        <d v="2024-09-10T19:02:43"/>
        <d v="2024-09-10T19:03:53"/>
        <d v="2024-09-10T21:29:35"/>
        <d v="2024-09-10T21:30:27"/>
        <d v="2024-09-11T08:47:22"/>
        <d v="2024-09-11T09:28:47"/>
        <d v="2024-09-11T10:52:09"/>
        <d v="2024-09-11T19:53:13"/>
        <d v="2024-09-11T20:13:15"/>
        <d v="2024-09-11T20:14:19"/>
        <d v="2024-09-11T20:15:19"/>
        <d v="2024-09-11T21:01:34"/>
        <d v="2024-09-12T10:57:26"/>
        <d v="2024-09-12T10:58:20"/>
        <d v="2024-09-12T11:27:36"/>
        <d v="2024-09-12T12:08:22"/>
        <d v="2024-09-12T12:31:07"/>
        <d v="2024-09-12T12:32:23"/>
        <d v="2024-09-12T12:37:20"/>
        <d v="2024-09-12T12:38:10"/>
        <d v="2024-09-12T17:01:25"/>
        <d v="2024-09-12T21:09:10"/>
        <d v="2024-09-12T21:10:21"/>
        <d v="2024-09-12T21:13:17"/>
        <d v="2024-09-13T07:56:54"/>
        <d v="2024-09-13T08:41:03"/>
        <d v="2024-09-13T08:54:16"/>
        <d v="2024-09-13T09:51:19"/>
        <d v="2024-09-13T15:38:19"/>
        <d v="2024-09-13T15:50:54"/>
        <d v="2024-09-14T16:29:19"/>
        <d v="2024-09-14T16:30:17"/>
        <d v="2024-09-15T08:42:41"/>
        <d v="2024-09-15T09:49:39"/>
        <d v="2024-09-15T13:49:37"/>
        <d v="2024-09-15T14:36:19"/>
        <d v="2024-09-15T14:37:21"/>
        <d v="2024-09-15T14:53:19"/>
        <d v="2024-09-16T13:32:23"/>
        <d v="2024-09-16T13:33:37"/>
        <d v="2024-09-16T15:23:19"/>
        <d v="2024-09-16T17:16:06"/>
        <d v="2024-09-16T17:18:03"/>
        <d v="2024-09-16T18:54:45"/>
        <d v="2024-09-16T18:56:05"/>
        <d v="2024-09-16T21:10:19"/>
        <d v="2024-09-16T21:11:32"/>
        <d v="2024-09-16T21:37:47"/>
        <d v="2024-09-16T21:38:49"/>
        <d v="2024-09-17T07:54:58"/>
        <d v="2024-09-17T08:09:01"/>
        <d v="2024-09-17T08:37:38"/>
        <d v="2024-09-17T08:42:31"/>
        <d v="2024-09-17T09:10:04"/>
        <d v="2024-09-17T09:11:08"/>
        <d v="2024-09-17T09:34:57"/>
        <d v="2024-09-17T12:38:34"/>
        <d v="2024-09-17T12:39:34"/>
        <d v="2024-09-17T12:44:15"/>
        <d v="2024-09-17T13:54:23"/>
        <d v="2024-09-17T13:55:31"/>
        <d v="2024-09-17T16:29:37"/>
        <d v="2024-09-17T16:31:01"/>
        <d v="2024-09-17T18:54:24"/>
        <d v="2024-09-17T19:00:46"/>
        <d v="2024-09-17T19:03:53"/>
        <d v="2024-09-17T19:12:48"/>
        <d v="2024-09-17T19:14:00"/>
        <d v="2024-09-17T19:15:00"/>
        <d v="2024-09-17T19:31:57"/>
        <d v="2024-09-17T22:19:36"/>
        <d v="2024-09-17T22:20:19"/>
        <d v="2024-09-18T14:29:49"/>
        <d v="2024-09-18T17:34:20"/>
        <d v="2024-09-18T21:15:39"/>
        <d v="2024-09-18T21:18:22"/>
        <d v="2024-09-19T08:17:19"/>
        <d v="2024-09-19T08:30:29"/>
        <d v="2024-09-19T10:01:31"/>
        <d v="2024-09-19T12:59:34"/>
        <d v="2024-09-19T13:00:34"/>
        <d v="2024-09-19T13:45:42"/>
        <d v="2024-09-20T08:34:57"/>
        <d v="2024-09-20T09:46:15"/>
        <d v="2024-09-20T13:39:55"/>
        <d v="2024-09-20T16:03:30"/>
        <d v="2024-09-20T20:39:23"/>
        <d v="2024-09-20T21:31:37"/>
        <d v="2024-09-20T21:32:43"/>
        <d v="2024-09-21T11:01:15"/>
        <d v="2024-09-21T11:02:14"/>
        <d v="2024-09-21T11:37:47"/>
        <d v="2024-09-21T11:38:45"/>
        <d v="2024-09-21T15:10:09"/>
        <d v="2024-09-21T15:36:14"/>
        <d v="2024-09-21T18:16:29"/>
        <d v="2024-09-21T18:17:31"/>
        <d v="2024-09-21T20:29:43"/>
        <d v="2024-09-21T20:30:39"/>
        <d v="2024-09-21T20:33:58"/>
        <d v="2024-09-21T20:35:30"/>
        <d v="2024-09-21T22:18:46"/>
        <d v="2024-09-21T22:19:50"/>
        <d v="2024-09-21T22:20:48"/>
        <d v="2024-09-22T08:32:54"/>
        <d v="2024-09-22T10:12:10"/>
        <d v="2024-09-22T10:13:09"/>
        <d v="2024-09-22T11:06:26"/>
        <d v="2024-09-22T11:07:36"/>
        <d v="2024-09-22T11:52:00"/>
        <d v="2024-09-22T11:55:13"/>
        <d v="2024-09-22T12:07:21"/>
        <d v="2024-09-22T13:28:15"/>
        <d v="2024-09-22T13:29:36"/>
        <d v="2024-09-22T13:33:35"/>
        <d v="2024-09-22T15:34:10"/>
        <d v="2024-09-22T15:35:24"/>
        <d v="2024-09-22T16:25:03"/>
        <d v="2024-09-22T20:19:10"/>
        <d v="2024-09-22T20:20:36"/>
        <d v="2024-09-22T20:46:26"/>
        <d v="2024-09-22T20:47:35"/>
        <d v="2024-09-22T21:07:05"/>
        <d v="2024-09-22T21:08:15"/>
        <d v="2024-09-22T21:54:04"/>
        <d v="2024-09-22T21:54:54"/>
        <d v="2024-09-22T22:37:02"/>
        <d v="2024-09-22T22:37:58"/>
        <d v="2024-09-23T09:03:37"/>
        <d v="2024-09-23T10:04:17"/>
        <d v="2024-09-23T12:11:04"/>
        <d v="2024-09-23T14:08:52"/>
        <d v="2024-09-23T17:27:48"/>
        <d v="2024-09-23T18:48:30"/>
        <d v="2024-09-23T19:47:22"/>
        <d v="2024-09-23T20:09:46"/>
        <d v="2024-09-23T22:13:31"/>
        <d v="2024-09-23T22:15:15"/>
        <d v="2024-09-24T08:33:33"/>
        <d v="2024-09-24T12:23:57"/>
        <d v="2024-09-24T12:24:55"/>
        <d v="2024-09-24T12:46:44"/>
        <d v="2024-09-24T12:47:49"/>
        <d v="2024-09-24T14:11:39"/>
        <d v="2024-09-24T14:31:29"/>
        <d v="2024-09-24T15:37:24"/>
        <d v="2024-09-24T16:38:48"/>
        <d v="2024-09-24T18:43:03"/>
        <d v="2024-09-24T18:43:54"/>
        <d v="2024-09-24T20:15:50"/>
        <d v="2024-09-24T21:05:14"/>
        <d v="2024-09-24T21:06:32"/>
        <d v="2024-09-24T21:07:35"/>
        <d v="2024-09-25T07:51:21"/>
        <d v="2024-09-25T11:35:33"/>
        <d v="2024-09-25T11:51:15"/>
        <d v="2024-09-25T11:52:53"/>
        <d v="2024-09-25T13:54:51"/>
        <d v="2024-09-25T13:55:59"/>
        <d v="2024-09-25T17:36:37"/>
        <d v="2024-09-25T17:37:32"/>
        <d v="2024-09-25T21:34:41"/>
        <d v="2024-09-25T22:18:52"/>
        <d v="2024-09-26T08:43:35"/>
        <d v="2024-09-26T10:37:06"/>
        <d v="2024-09-26T10:55:52"/>
        <d v="2024-09-26T11:34:49"/>
        <d v="2024-09-26T12:48:01"/>
        <d v="2024-09-26T18:21:56"/>
        <d v="2024-09-26T22:45:15"/>
        <d v="2024-09-26T22:46:18"/>
        <d v="2024-09-26T22:47:25"/>
        <d v="2024-09-27T09:29:46"/>
        <d v="2024-09-27T09:33:44"/>
        <d v="2024-09-27T09:41:05"/>
        <d v="2024-09-27T10:46:57"/>
        <d v="2024-09-27T11:35:00"/>
        <d v="2024-09-27T13:20:31"/>
        <d v="2024-09-27T13:25:05"/>
        <d v="2024-09-27T13:28:33"/>
        <d v="2024-09-27T13:33:52"/>
        <d v="2024-09-27T18:07:44"/>
        <d v="2024-09-27T18:08:58"/>
        <d v="2024-09-27T18:37:46"/>
        <d v="2024-09-27T18:40:54"/>
        <d v="2024-09-27T20:18:13"/>
        <d v="2024-09-27T20:19:14"/>
        <d v="2024-09-27T20:58:15"/>
        <d v="2024-09-28T08:06:45"/>
        <d v="2024-09-28T09:31:15"/>
        <d v="2024-09-28T14:25:47"/>
        <d v="2024-09-28T16:57:20"/>
        <d v="2024-09-28T17:26:17"/>
        <d v="2024-09-28T20:34:31"/>
        <d v="2024-09-28T20:38:37"/>
        <d v="2024-09-28T22:16:37"/>
        <d v="2024-09-28T22:17:30"/>
        <d v="2024-09-28T22:18:16"/>
        <d v="2024-09-28T22:19:13"/>
        <d v="2024-09-29T10:48:45"/>
        <d v="2024-09-29T10:50:05"/>
        <d v="2024-09-29T10:51:03"/>
        <d v="2024-09-29T10:52:23"/>
        <d v="2024-09-29T10:53:42"/>
        <d v="2024-09-29T12:35:43"/>
        <d v="2024-09-29T12:50:58"/>
        <d v="2024-09-29T12:54:15"/>
        <d v="2024-09-29T12:55:22"/>
        <d v="2024-09-29T18:02:27"/>
        <d v="2024-09-29T22:31:03"/>
        <d v="2024-09-30T08:08:48"/>
        <d v="2024-09-30T08:58:55"/>
        <d v="2024-09-30T09:00:05"/>
        <d v="2024-09-30T10:01:09"/>
        <d v="2024-09-30T10:05:18"/>
        <d v="2024-09-30T11:32:55"/>
        <d v="2024-09-30T16:45:44"/>
        <d v="2024-09-30T19:32:18"/>
        <d v="2024-09-30T19:53:14"/>
        <d v="2024-09-30T19:54:18"/>
        <d v="2024-09-30T19:59:19"/>
        <d v="2024-09-30T20:00:42"/>
        <d v="2024-09-30T20:01:42"/>
        <d v="2024-09-30T21:41:08"/>
        <d v="2024-10-01T07:47:08"/>
        <d v="2024-10-01T09:48:31"/>
        <d v="2024-10-01T10:02:27"/>
        <d v="2024-10-01T10:03:47"/>
        <d v="2024-10-01T11:55:32"/>
        <d v="2024-10-01T12:12:48"/>
        <d v="2024-10-01T12:14:23"/>
        <d v="2024-10-01T14:17:35"/>
        <d v="2024-10-01T14:18:53"/>
        <d v="2024-10-01T16:08:39"/>
        <d v="2024-10-01T16:41:54"/>
        <d v="2024-10-01T18:08:27"/>
        <d v="2024-10-01T18:23:11"/>
        <d v="2024-10-01T18:24:14"/>
        <d v="2024-10-01T20:03:22"/>
        <d v="2024-10-02T07:57:19"/>
        <d v="2024-10-02T08:42:45"/>
        <d v="2024-10-02T09:19:17"/>
        <d v="2024-10-02T10:22:02"/>
        <d v="2024-10-02T10:23:55"/>
        <d v="2024-10-02T11:28:54"/>
        <d v="2024-10-02T15:13:42"/>
        <d v="2024-10-02T18:31:07"/>
        <d v="2024-10-02T22:18:55"/>
        <d v="2024-10-02T22:19:41"/>
        <d v="2024-10-02T22:20:24"/>
        <d v="2024-10-03T13:47:36"/>
        <d v="2024-10-03T15:12:05"/>
        <d v="2024-10-03T20:12:58"/>
        <d v="2024-10-03T20:14:05"/>
        <d v="2024-10-03T21:21:06"/>
        <d v="2024-10-03T21:21:47"/>
        <d v="2024-10-03T21:29:03"/>
        <d v="2024-10-03T21:31:00"/>
        <d v="2024-10-04T08:44:01"/>
        <d v="2024-10-04T08:45:39"/>
        <d v="2024-10-04T09:30:22"/>
        <d v="2024-10-04T09:31:27"/>
        <d v="2024-10-04T09:53:59"/>
        <d v="2024-10-04T09:55:05"/>
        <d v="2024-10-04T17:35:15"/>
        <d v="2024-10-04T17:42:22"/>
        <d v="2024-10-04T17:44:36"/>
        <d v="2024-10-05T09:00:47"/>
        <d v="2024-10-05T09:01:43"/>
        <d v="2024-10-05T09:35:45"/>
        <d v="2024-10-05T13:12:13"/>
        <d v="2024-10-05T20:08:38"/>
        <d v="2024-10-05T20:09:34"/>
        <d v="2024-10-06T08:22:57"/>
        <d v="2024-10-06T10:05:44"/>
        <d v="2024-10-06T10:06:47"/>
        <d v="2024-10-06T11:55:29"/>
        <d v="2024-10-06T12:09:04"/>
        <d v="2024-10-06T12:10:17"/>
        <d v="2024-10-06T12:11:43"/>
        <d v="2024-10-06T13:46:04"/>
        <d v="2024-10-06T13:47:02"/>
        <d v="2024-10-06T13:50:00"/>
        <d v="2024-10-06T13:51:04"/>
        <d v="2024-10-06T13:51:56"/>
        <d v="2024-10-06T16:31:34"/>
        <d v="2024-10-06T16:35:46"/>
        <d v="2024-10-06T18:17:45"/>
        <d v="2024-10-06T18:35:16"/>
        <d v="2024-10-06T21:09:13"/>
        <d v="2024-10-06T21:10:00"/>
        <d v="2024-10-06T21:10:45"/>
        <d v="2024-10-06T21:16:49"/>
        <d v="2024-10-07T08:33:36"/>
        <d v="2024-10-07T08:49:36"/>
        <d v="2024-10-07T08:50:42"/>
        <d v="2024-10-07T09:05:28"/>
        <d v="2024-10-07T09:09:58"/>
        <d v="2024-10-07T12:17:57"/>
        <d v="2024-10-07T14:31:45"/>
        <d v="2024-10-07T14:32:39"/>
        <d v="2024-10-07T17:48:55"/>
        <d v="2024-10-07T21:14:42"/>
        <d v="2024-10-07T21:15:20"/>
        <d v="2024-10-07T21:40:49"/>
        <d v="2024-10-08T08:11:51"/>
        <d v="2024-10-08T09:05:14"/>
        <d v="2024-10-08T10:22:31"/>
        <d v="2024-10-08T10:27:09"/>
        <d v="2024-10-08T11:30:10"/>
        <d v="2024-10-08T12:48:05"/>
        <d v="2024-10-08T12:49:05"/>
        <d v="2024-10-08T13:04:01"/>
        <d v="2024-10-08T13:04:59"/>
        <d v="2024-10-08T14:42:52"/>
        <d v="2024-10-08T15:13:41"/>
        <d v="2024-10-08T15:19:52"/>
        <d v="2024-10-08T15:50:43"/>
        <d v="2024-10-08T20:40:40"/>
        <d v="2024-10-08T20:41:33"/>
        <d v="2024-10-08T20:51:09"/>
        <d v="2024-10-08T21:24:32"/>
        <d v="2024-10-08T21:25:32"/>
        <d v="2024-10-09T07:54:43"/>
        <d v="2024-10-09T08:25:58"/>
        <d v="2024-10-09T09:43:21"/>
        <d v="2024-10-09T09:59:40"/>
        <d v="2024-10-09T10:37:57"/>
        <d v="2024-10-09T11:18:02"/>
        <d v="2024-10-09T13:03:09"/>
        <d v="2024-10-09T13:52:35"/>
        <d v="2024-10-09T17:26:44"/>
        <d v="2024-10-09T17:27:49"/>
        <d v="2024-10-09T17:50:00"/>
        <d v="2024-10-09T20:49:12"/>
        <d v="2024-10-10T08:48:07"/>
        <d v="2024-10-10T09:23:20"/>
        <d v="2024-10-10T09:51:44"/>
        <d v="2024-10-10T10:05:09"/>
        <d v="2024-10-10T10:42:43"/>
        <d v="2024-10-10T10:43:30"/>
        <d v="2024-10-10T10:55:33"/>
        <d v="2024-10-10T11:04:19"/>
        <d v="2024-10-10T15:05:43"/>
        <d v="2024-10-10T17:40:44"/>
        <d v="2024-10-10T18:18:33"/>
        <d v="2024-10-10T18:56:31"/>
        <d v="2024-10-10T18:57:35"/>
        <d v="2024-10-10T22:33:17"/>
        <d v="2024-10-10T22:34:00"/>
        <d v="2024-10-11T07:54:52"/>
        <d v="2024-10-11T08:00:51"/>
        <d v="2024-10-11T08:12:20"/>
        <d v="2024-10-11T08:28:19"/>
        <d v="2024-10-11T08:29:22"/>
        <d v="2024-10-11T08:55:44"/>
        <d v="2024-10-11T08:56:59"/>
        <d v="2024-10-11T08:58:09"/>
        <d v="2024-10-11T09:31:42"/>
        <d v="2024-10-11T09:38:47"/>
        <d v="2024-10-11T10:00:40"/>
        <d v="2024-10-11T10:01:55"/>
        <d v="2024-10-11T10:30:36"/>
        <d v="2024-10-11T13:05:01"/>
        <d v="2024-10-11T13:29:02"/>
        <d v="2024-10-11T13:30:09"/>
        <d v="2024-10-11T14:33:41"/>
        <d v="2024-10-11T14:35:29"/>
        <d v="2024-10-11T14:50:09"/>
        <d v="2024-10-11T17:12:07"/>
        <d v="2024-10-11T17:13:22"/>
        <d v="2024-10-11T17:26:11"/>
        <d v="2024-10-11T21:48:38"/>
        <d v="2024-10-11T21:53:54"/>
        <d v="2024-10-11T22:36:28"/>
        <d v="2024-10-11T22:37:27"/>
        <d v="2024-10-12T08:28:16"/>
        <d v="2024-10-12T10:31:39"/>
        <d v="2024-10-12T10:32:56"/>
        <d v="2024-10-12T11:52:15"/>
        <d v="2024-10-12T11:53:41"/>
        <d v="2024-10-12T13:18:47"/>
        <d v="2024-10-12T20:10:54"/>
        <d v="2024-10-13T09:54:55"/>
        <d v="2024-10-13T12:20:47"/>
        <d v="2024-10-13T13:32:30"/>
        <d v="2024-10-13T13:33:29"/>
        <d v="2024-10-13T13:34:26"/>
        <d v="2024-10-13T17:53:21"/>
        <d v="2024-10-13T17:54:22"/>
        <d v="2024-10-13T18:22:59"/>
        <d v="2024-10-13T20:43:05"/>
        <d v="2024-10-14T08:26:55"/>
        <d v="2024-10-14T09:49:55"/>
        <d v="2024-10-14T10:27:51"/>
        <d v="2024-10-14T10:38:07"/>
        <d v="2024-10-14T10:39:14"/>
        <d v="2024-10-14T11:23:51"/>
        <d v="2024-10-14T11:25:37"/>
        <d v="2024-10-14T11:26:45"/>
        <d v="2024-10-14T14:36:07"/>
        <d v="2024-10-14T14:49:51"/>
        <d v="2024-10-14T16:37:47"/>
        <d v="2024-10-14T18:19:19"/>
        <d v="2024-10-14T18:20:21"/>
        <d v="2024-10-14T22:08:54"/>
        <d v="2024-10-14T22:10:24"/>
        <d v="2024-10-14T22:21:54"/>
        <d v="2024-10-15T08:14:29"/>
        <d v="2024-10-15T08:34:18"/>
        <d v="2024-10-15T11:13:22"/>
        <d v="2024-10-15T11:15:21"/>
        <d v="2024-10-15T11:16:27"/>
        <d v="2024-10-15T13:00:43"/>
        <d v="2024-10-15T13:15:45"/>
        <d v="2024-10-15T15:32:11"/>
        <d v="2024-10-15T15:54:17"/>
        <d v="2024-10-15T15:55:19"/>
        <d v="2024-10-15T17:04:11"/>
        <d v="2024-10-15T19:22:21"/>
        <d v="2024-10-15T19:23:17"/>
        <d v="2024-10-15T20:11:15"/>
        <d v="2024-10-15T20:12:29"/>
        <d v="2024-10-15T21:18:08"/>
        <d v="2024-10-15T21:35:20"/>
        <d v="2024-10-15T22:15:20"/>
        <d v="2024-10-16T08:21:26"/>
        <d v="2024-10-16T08:36:24"/>
        <d v="2024-10-16T09:25:51"/>
        <d v="2024-10-16T10:15:48"/>
        <d v="2024-10-16T10:16:54"/>
        <d v="2024-10-16T10:45:25"/>
        <d v="2024-10-16T11:49:45"/>
        <d v="2024-10-16T12:29:44"/>
        <d v="2024-10-16T13:20:10"/>
        <d v="2024-10-16T16:45:30"/>
        <d v="2024-10-16T17:43:21"/>
        <d v="2024-10-16T19:37:42"/>
        <d v="2024-10-16T19:38:37"/>
        <d v="2024-10-16T21:20:29"/>
        <d v="2024-10-17T07:47:01"/>
        <d v="2024-10-17T07:58:07"/>
        <d v="2024-10-17T09:24:27"/>
        <d v="2024-10-17T10:26:38"/>
        <d v="2024-10-17T10:44:54"/>
        <d v="2024-10-17T11:59:27"/>
        <d v="2024-10-17T13:57:25"/>
        <d v="2024-10-17T14:34:43"/>
        <d v="2024-10-17T16:37:13"/>
        <d v="2024-10-17T16:38:18"/>
        <d v="2024-10-17T16:39:10"/>
        <d v="2024-10-17T16:48:36"/>
        <d v="2024-10-17T16:49:33"/>
        <d v="2024-10-17T17:08:28"/>
        <d v="2024-10-17T17:09:30"/>
        <d v="2024-10-17T19:43:12"/>
        <d v="2024-10-17T20:11:36"/>
        <d v="2024-10-17T21:46:13"/>
        <d v="2024-10-17T21:47:20"/>
        <d v="2024-10-17T21:48:32"/>
        <d v="2024-10-17T21:49:55"/>
        <d v="2024-10-18T08:41:59"/>
        <d v="2024-10-18T08:42:59"/>
        <d v="2024-10-18T09:32:42"/>
        <d v="2024-10-18T09:34:08"/>
        <d v="2024-10-18T09:55:20"/>
        <d v="2024-10-18T11:54:59"/>
        <d v="2024-10-18T14:51:04"/>
        <d v="2024-10-18T14:52:15"/>
        <d v="2024-10-18T15:39:20"/>
        <d v="2024-10-18T16:09:58"/>
        <d v="2024-10-18T17:45:39"/>
        <d v="2024-10-18T21:14:40"/>
        <d v="2024-10-18T21:15:23"/>
        <d v="2024-10-18T21:52:23"/>
      </sharedItems>
      <fieldGroup par="13"/>
    </cacheField>
    <cacheField name="hour_of_day" numFmtId="0">
      <sharedItems containsSemiMixedTypes="0" containsString="0" containsNumber="1" containsInteger="1" minValue="7" maxValue="22" count="16">
        <n v="10"/>
        <n v="12"/>
        <n v="13"/>
        <n v="15"/>
        <n v="16"/>
        <n v="18"/>
        <n v="19"/>
        <n v="11"/>
        <n v="14"/>
        <n v="17"/>
        <n v="9"/>
        <n v="7"/>
        <n v="20"/>
        <n v="8"/>
        <n v="22"/>
        <n v="21"/>
      </sharedItems>
    </cacheField>
    <cacheField name="cash_type" numFmtId="0">
      <sharedItems count="2">
        <s v="card"/>
        <s v="cash"/>
      </sharedItems>
    </cacheField>
    <cacheField name="card" numFmtId="0">
      <sharedItems containsBlank="1" count="785">
        <s v="ANON-0000-0000-0001"/>
        <s v="ANON-0000-0000-0002"/>
        <s v="ANON-0000-0000-0003"/>
        <s v="ANON-0000-0000-0004"/>
        <s v="ANON-0000-0000-0005"/>
        <s v="ANON-0000-0000-0006"/>
        <s v="ANON-0000-0000-0007"/>
        <s v="ANON-0000-0000-0008"/>
        <s v="ANON-0000-0000-0009"/>
        <s v="ANON-0000-0000-0010"/>
        <m/>
        <s v="ANON-0000-0000-0011"/>
        <s v="ANON-0000-0000-0012"/>
        <s v="ANON-0000-0000-0013"/>
        <s v="ANON-0000-0000-0014"/>
        <s v="ANON-0000-0000-0015"/>
        <s v="ANON-0000-0000-0016"/>
        <s v="ANON-0000-0000-0017"/>
        <s v="ANON-0000-0000-0018"/>
        <s v="ANON-0000-0000-0019"/>
        <s v="ANON-0000-0000-0020"/>
        <s v="ANON-0000-0000-0021"/>
        <s v="ANON-0000-0000-0022"/>
        <s v="ANON-0000-0000-0023"/>
        <s v="ANON-0000-0000-0024"/>
        <s v="ANON-0000-0000-0025"/>
        <s v="ANON-0000-0000-0026"/>
        <s v="ANON-0000-0000-0027"/>
        <s v="ANON-0000-0000-0028"/>
        <s v="ANON-0000-0000-0029"/>
        <s v="ANON-0000-0000-0030"/>
        <s v="ANON-0000-0000-0031"/>
        <s v="ANON-0000-0000-0032"/>
        <s v="ANON-0000-0000-0033"/>
        <s v="ANON-0000-0000-0034"/>
        <s v="ANON-0000-0000-0035"/>
        <s v="ANON-0000-0000-0036"/>
        <s v="ANON-0000-0000-0037"/>
        <s v="ANON-0000-0000-0038"/>
        <s v="ANON-0000-0000-0039"/>
        <s v="ANON-0000-0000-0040"/>
        <s v="ANON-0000-0000-0041"/>
        <s v="ANON-0000-0000-0042"/>
        <s v="ANON-0000-0000-0043"/>
        <s v="ANON-0000-0000-0044"/>
        <s v="ANON-0000-0000-0045"/>
        <s v="ANON-0000-0000-0046"/>
        <s v="ANON-0000-0000-0047"/>
        <s v="ANON-0000-0000-0048"/>
        <s v="ANON-0000-0000-0049"/>
        <s v="ANON-0000-0000-0050"/>
        <s v="ANON-0000-0000-0051"/>
        <s v="ANON-0000-0000-0052"/>
        <s v="ANON-0000-0000-0053"/>
        <s v="ANON-0000-0000-0054"/>
        <s v="ANON-0000-0000-0055"/>
        <s v="ANON-0000-0000-0056"/>
        <s v="ANON-0000-0000-0057"/>
        <s v="ANON-0000-0000-0058"/>
        <s v="ANON-0000-0000-0059"/>
        <s v="ANON-0000-0000-0060"/>
        <s v="ANON-0000-0000-0061"/>
        <s v="ANON-0000-0000-0062"/>
        <s v="ANON-0000-0000-0063"/>
        <s v="ANON-0000-0000-0064"/>
        <s v="ANON-0000-0000-0065"/>
        <s v="ANON-0000-0000-0066"/>
        <s v="ANON-0000-0000-0067"/>
        <s v="ANON-0000-0000-0068"/>
        <s v="ANON-0000-0000-0069"/>
        <s v="ANON-0000-0000-0070"/>
        <s v="ANON-0000-0000-0071"/>
        <s v="ANON-0000-0000-0072"/>
        <s v="ANON-0000-0000-0073"/>
        <s v="ANON-0000-0000-0074"/>
        <s v="ANON-0000-0000-0075"/>
        <s v="ANON-0000-0000-0076"/>
        <s v="ANON-0000-0000-0077"/>
        <s v="ANON-0000-0000-0078"/>
        <s v="ANON-0000-0000-0079"/>
        <s v="ANON-0000-0000-0080"/>
        <s v="ANON-0000-0000-0081"/>
        <s v="ANON-0000-0000-0082"/>
        <s v="ANON-0000-0000-0083"/>
        <s v="ANON-0000-0000-0084"/>
        <s v="ANON-0000-0000-0085"/>
        <s v="ANON-0000-0000-0086"/>
        <s v="ANON-0000-0000-0087"/>
        <s v="ANON-0000-0000-0088"/>
        <s v="ANON-0000-0000-0089"/>
        <s v="ANON-0000-0000-0090"/>
        <s v="ANON-0000-0000-0091"/>
        <s v="ANON-0000-0000-0092"/>
        <s v="ANON-0000-0000-0093"/>
        <s v="ANON-0000-0000-0094"/>
        <s v="ANON-0000-0000-0095"/>
        <s v="ANON-0000-0000-0096"/>
        <s v="ANON-0000-0000-0097"/>
        <s v="ANON-0000-0000-0098"/>
        <s v="ANON-0000-0000-0099"/>
        <s v="ANON-0000-0000-0100"/>
        <s v="ANON-0000-0000-0101"/>
        <s v="ANON-0000-0000-0102"/>
        <s v="ANON-0000-0000-0103"/>
        <s v="ANON-0000-0000-0104"/>
        <s v="ANON-0000-0000-0105"/>
        <s v="ANON-0000-0000-0106"/>
        <s v="ANON-0000-0000-0107"/>
        <s v="ANON-0000-0000-0108"/>
        <s v="ANON-0000-0000-0109"/>
        <s v="ANON-0000-0000-0110"/>
        <s v="ANON-0000-0000-0111"/>
        <s v="ANON-0000-0000-0112"/>
        <s v="ANON-0000-0000-0113"/>
        <s v="ANON-0000-0000-0114"/>
        <s v="ANON-0000-0000-0115"/>
        <s v="ANON-0000-0000-0116"/>
        <s v="ANON-0000-0000-0117"/>
        <s v="ANON-0000-0000-0118"/>
        <s v="ANON-0000-0000-0119"/>
        <s v="ANON-0000-0000-0120"/>
        <s v="ANON-0000-0000-0121"/>
        <s v="ANON-0000-0000-0122"/>
        <s v="ANON-0000-0000-0123"/>
        <s v="ANON-0000-0000-0124"/>
        <s v="ANON-0000-0000-0125"/>
        <s v="ANON-0000-0000-0126"/>
        <s v="ANON-0000-0000-0127"/>
        <s v="ANON-0000-0000-0128"/>
        <s v="ANON-0000-0000-0129"/>
        <s v="ANON-0000-0000-0130"/>
        <s v="ANON-0000-0000-0131"/>
        <s v="ANON-0000-0000-0132"/>
        <s v="ANON-0000-0000-0133"/>
        <s v="ANON-0000-0000-0134"/>
        <s v="ANON-0000-0000-0135"/>
        <s v="ANON-0000-0000-0136"/>
        <s v="ANON-0000-0000-0137"/>
        <s v="ANON-0000-0000-0138"/>
        <s v="ANON-0000-0000-0139"/>
        <s v="ANON-0000-0000-0140"/>
        <s v="ANON-0000-0000-0141"/>
        <s v="ANON-0000-0000-0142"/>
        <s v="ANON-0000-0000-0143"/>
        <s v="ANON-0000-0000-0144"/>
        <s v="ANON-0000-0000-0145"/>
        <s v="ANON-0000-0000-0146"/>
        <s v="ANON-0000-0000-0147"/>
        <s v="ANON-0000-0000-0148"/>
        <s v="ANON-0000-0000-0149"/>
        <s v="ANON-0000-0000-0150"/>
        <s v="ANON-0000-0000-0151"/>
        <s v="ANON-0000-0000-0152"/>
        <s v="ANON-0000-0000-0153"/>
        <s v="ANON-0000-0000-0154"/>
        <s v="ANON-0000-0000-0155"/>
        <s v="ANON-0000-0000-0156"/>
        <s v="ANON-0000-0000-0157"/>
        <s v="ANON-0000-0000-0158"/>
        <s v="ANON-0000-0000-0159"/>
        <s v="ANON-0000-0000-0160"/>
        <s v="ANON-0000-0000-0161"/>
        <s v="ANON-0000-0000-0162"/>
        <s v="ANON-0000-0000-0163"/>
        <s v="ANON-0000-0000-0164"/>
        <s v="ANON-0000-0000-0165"/>
        <s v="ANON-0000-0000-0166"/>
        <s v="ANON-0000-0000-0167"/>
        <s v="ANON-0000-0000-0168"/>
        <s v="ANON-0000-0000-0169"/>
        <s v="ANON-0000-0000-0170"/>
        <s v="ANON-0000-0000-0171"/>
        <s v="ANON-0000-0000-0172"/>
        <s v="ANON-0000-0000-0173"/>
        <s v="ANON-0000-0000-0174"/>
        <s v="ANON-0000-0000-0175"/>
        <s v="ANON-0000-0000-0176"/>
        <s v="ANON-0000-0000-0177"/>
        <s v="ANON-0000-0000-0178"/>
        <s v="ANON-0000-0000-0179"/>
        <s v="ANON-0000-0000-0180"/>
        <s v="ANON-0000-0000-0181"/>
        <s v="ANON-0000-0000-0182"/>
        <s v="ANON-0000-0000-0183"/>
        <s v="ANON-0000-0000-0184"/>
        <s v="ANON-0000-0000-0185"/>
        <s v="ANON-0000-0000-0186"/>
        <s v="ANON-0000-0000-0187"/>
        <s v="ANON-0000-0000-0188"/>
        <s v="ANON-0000-0000-0189"/>
        <s v="ANON-0000-0000-0190"/>
        <s v="ANON-0000-0000-0191"/>
        <s v="ANON-0000-0000-0192"/>
        <s v="ANON-0000-0000-0193"/>
        <s v="ANON-0000-0000-0194"/>
        <s v="ANON-0000-0000-0195"/>
        <s v="ANON-0000-0000-0196"/>
        <s v="ANON-0000-0000-0197"/>
        <s v="ANON-0000-0000-0198"/>
        <s v="ANON-0000-0000-0199"/>
        <s v="ANON-0000-0000-0200"/>
        <s v="ANON-0000-0000-0201"/>
        <s v="ANON-0000-0000-0202"/>
        <s v="ANON-0000-0000-0203"/>
        <s v="ANON-0000-0000-0204"/>
        <s v="ANON-0000-0000-0205"/>
        <s v="ANON-0000-0000-0206"/>
        <s v="ANON-0000-0000-0207"/>
        <s v="ANON-0000-0000-0208"/>
        <s v="ANON-0000-0000-0209"/>
        <s v="ANON-0000-0000-0210"/>
        <s v="ANON-0000-0000-0211"/>
        <s v="ANON-0000-0000-0212"/>
        <s v="ANON-0000-0000-0213"/>
        <s v="ANON-0000-0000-0214"/>
        <s v="ANON-0000-0000-0215"/>
        <s v="ANON-0000-0000-0216"/>
        <s v="ANON-0000-0000-0217"/>
        <s v="ANON-0000-0000-0218"/>
        <s v="ANON-0000-0000-0219"/>
        <s v="ANON-0000-0000-0220"/>
        <s v="ANON-0000-0000-0221"/>
        <s v="ANON-0000-0000-0222"/>
        <s v="ANON-0000-0000-0223"/>
        <s v="ANON-0000-0000-0224"/>
        <s v="ANON-0000-0000-0225"/>
        <s v="ANON-0000-0000-0226"/>
        <s v="ANON-0000-0000-0227"/>
        <s v="ANON-0000-0000-0228"/>
        <s v="ANON-0000-0000-0229"/>
        <s v="ANON-0000-0000-0230"/>
        <s v="ANON-0000-0000-0231"/>
        <s v="ANON-0000-0000-0232"/>
        <s v="ANON-0000-0000-0233"/>
        <s v="ANON-0000-0000-0234"/>
        <s v="ANON-0000-0000-0235"/>
        <s v="ANON-0000-0000-0236"/>
        <s v="ANON-0000-0000-0237"/>
        <s v="ANON-0000-0000-0238"/>
        <s v="ANON-0000-0000-0239"/>
        <s v="ANON-0000-0000-0240"/>
        <s v="ANON-0000-0000-0241"/>
        <s v="ANON-0000-0000-0242"/>
        <s v="ANON-0000-0000-0243"/>
        <s v="ANON-0000-0000-0244"/>
        <s v="ANON-0000-0000-0245"/>
        <s v="ANON-0000-0000-0246"/>
        <s v="ANON-0000-0000-0247"/>
        <s v="ANON-0000-0000-0248"/>
        <s v="ANON-0000-0000-0249"/>
        <s v="ANON-0000-0000-0250"/>
        <s v="ANON-0000-0000-0251"/>
        <s v="ANON-0000-0000-0252"/>
        <s v="ANON-0000-0000-0253"/>
        <s v="ANON-0000-0000-0254"/>
        <s v="ANON-0000-0000-0255"/>
        <s v="ANON-0000-0000-0256"/>
        <s v="ANON-0000-0000-0257"/>
        <s v="ANON-0000-0000-0258"/>
        <s v="ANON-0000-0000-0259"/>
        <s v="ANON-0000-0000-0260"/>
        <s v="ANON-0000-0000-0261"/>
        <s v="ANON-0000-0000-0262"/>
        <s v="ANON-0000-0000-0263"/>
        <s v="ANON-0000-0000-0264"/>
        <s v="ANON-0000-0000-0265"/>
        <s v="ANON-0000-0000-0266"/>
        <s v="ANON-0000-0000-0267"/>
        <s v="ANON-0000-0000-0268"/>
        <s v="ANON-0000-0000-0269"/>
        <s v="ANON-0000-0000-0270"/>
        <s v="ANON-0000-0000-0271"/>
        <s v="ANON-0000-0000-0272"/>
        <s v="ANON-0000-0000-0273"/>
        <s v="ANON-0000-0000-0274"/>
        <s v="ANON-0000-0000-0275"/>
        <s v="ANON-0000-0000-0276"/>
        <s v="ANON-0000-0000-0277"/>
        <s v="ANON-0000-0000-0278"/>
        <s v="ANON-0000-0000-0279"/>
        <s v="ANON-0000-0000-0280"/>
        <s v="ANON-0000-0000-0281"/>
        <s v="ANON-0000-0000-0282"/>
        <s v="ANON-0000-0000-0283"/>
        <s v="ANON-0000-0000-0284"/>
        <s v="ANON-0000-0000-0285"/>
        <s v="ANON-0000-0000-0286"/>
        <s v="ANON-0000-0000-0287"/>
        <s v="ANON-0000-0000-0288"/>
        <s v="ANON-0000-0000-0289"/>
        <s v="ANON-0000-0000-0290"/>
        <s v="ANON-0000-0000-0291"/>
        <s v="ANON-0000-0000-0292"/>
        <s v="ANON-0000-0000-0293"/>
        <s v="ANON-0000-0000-0294"/>
        <s v="ANON-0000-0000-0295"/>
        <s v="ANON-0000-0000-0296"/>
        <s v="ANON-0000-0000-0297"/>
        <s v="ANON-0000-0000-0298"/>
        <s v="ANON-0000-0000-0299"/>
        <s v="ANON-0000-0000-0300"/>
        <s v="ANON-0000-0000-0301"/>
        <s v="ANON-0000-0000-0302"/>
        <s v="ANON-0000-0000-0303"/>
        <s v="ANON-0000-0000-0304"/>
        <s v="ANON-0000-0000-0305"/>
        <s v="ANON-0000-0000-0306"/>
        <s v="ANON-0000-0000-0307"/>
        <s v="ANON-0000-0000-0308"/>
        <s v="ANON-0000-0000-0309"/>
        <s v="ANON-0000-0000-0310"/>
        <s v="ANON-0000-0000-0311"/>
        <s v="ANON-0000-0000-0312"/>
        <s v="ANON-0000-0000-0313"/>
        <s v="ANON-0000-0000-0314"/>
        <s v="ANON-0000-0000-0315"/>
        <s v="ANON-0000-0000-0316"/>
        <s v="ANON-0000-0000-0317"/>
        <s v="ANON-0000-0000-0318"/>
        <s v="ANON-0000-0000-0319"/>
        <s v="ANON-0000-0000-0320"/>
        <s v="ANON-0000-0000-0321"/>
        <s v="ANON-0000-0000-0322"/>
        <s v="ANON-0000-0000-0323"/>
        <s v="ANON-0000-0000-0324"/>
        <s v="ANON-0000-0000-0325"/>
        <s v="ANON-0000-0000-0326"/>
        <s v="ANON-0000-0000-0327"/>
        <s v="ANON-0000-0000-0328"/>
        <s v="ANON-0000-0000-0329"/>
        <s v="ANON-0000-0000-0330"/>
        <s v="ANON-0000-0000-0331"/>
        <s v="ANON-0000-0000-0332"/>
        <s v="ANON-0000-0000-0333"/>
        <s v="ANON-0000-0000-0334"/>
        <s v="ANON-0000-0000-0335"/>
        <s v="ANON-0000-0000-0336"/>
        <s v="ANON-0000-0000-0337"/>
        <s v="ANON-0000-0000-0338"/>
        <s v="ANON-0000-0000-0339"/>
        <s v="ANON-0000-0000-0340"/>
        <s v="ANON-0000-0000-0341"/>
        <s v="ANON-0000-0000-0342"/>
        <s v="ANON-0000-0000-0343"/>
        <s v="ANON-0000-0000-0344"/>
        <s v="ANON-0000-0000-0345"/>
        <s v="ANON-0000-0000-0346"/>
        <s v="ANON-0000-0000-0347"/>
        <s v="ANON-0000-0000-0348"/>
        <s v="ANON-0000-0000-0349"/>
        <s v="ANON-0000-0000-0350"/>
        <s v="ANON-0000-0000-0351"/>
        <s v="ANON-0000-0000-0352"/>
        <s v="ANON-0000-0000-0353"/>
        <s v="ANON-0000-0000-0354"/>
        <s v="ANON-0000-0000-0355"/>
        <s v="ANON-0000-0000-0356"/>
        <s v="ANON-0000-0000-0357"/>
        <s v="ANON-0000-0000-0358"/>
        <s v="ANON-0000-0000-0359"/>
        <s v="ANON-0000-0000-0360"/>
        <s v="ANON-0000-0000-0361"/>
        <s v="ANON-0000-0000-0362"/>
        <s v="ANON-0000-0000-0363"/>
        <s v="ANON-0000-0000-0364"/>
        <s v="ANON-0000-0000-0365"/>
        <s v="ANON-0000-0000-0366"/>
        <s v="ANON-0000-0000-0367"/>
        <s v="ANON-0000-0000-0368"/>
        <s v="ANON-0000-0000-0369"/>
        <s v="ANON-0000-0000-0370"/>
        <s v="ANON-0000-0000-0371"/>
        <s v="ANON-0000-0000-0372"/>
        <s v="ANON-0000-0000-0373"/>
        <s v="ANON-0000-0000-0374"/>
        <s v="ANON-0000-0000-0375"/>
        <s v="ANON-0000-0000-0376"/>
        <s v="ANON-0000-0000-0377"/>
        <s v="ANON-0000-0000-0378"/>
        <s v="ANON-0000-0000-0379"/>
        <s v="ANON-0000-0000-0380"/>
        <s v="ANON-0000-0000-0381"/>
        <s v="ANON-0000-0000-0382"/>
        <s v="ANON-0000-0000-0383"/>
        <s v="ANON-0000-0000-0384"/>
        <s v="ANON-0000-0000-0385"/>
        <s v="ANON-0000-0000-0386"/>
        <s v="ANON-0000-0000-0387"/>
        <s v="ANON-0000-0000-0388"/>
        <s v="ANON-0000-0000-0389"/>
        <s v="ANON-0000-0000-0390"/>
        <s v="ANON-0000-0000-0391"/>
        <s v="ANON-0000-0000-0392"/>
        <s v="ANON-0000-0000-0393"/>
        <s v="ANON-0000-0000-0394"/>
        <s v="ANON-0000-0000-0395"/>
        <s v="ANON-0000-0000-0396"/>
        <s v="ANON-0000-0000-0397"/>
        <s v="ANON-0000-0000-0398"/>
        <s v="ANON-0000-0000-0399"/>
        <s v="ANON-0000-0000-0400"/>
        <s v="ANON-0000-0000-0401"/>
        <s v="ANON-0000-0000-0402"/>
        <s v="ANON-0000-0000-0403"/>
        <s v="ANON-0000-0000-0404"/>
        <s v="ANON-0000-0000-0405"/>
        <s v="ANON-0000-0000-0406"/>
        <s v="ANON-0000-0000-0407"/>
        <s v="ANON-0000-0000-0408"/>
        <s v="ANON-0000-0000-0409"/>
        <s v="ANON-0000-0000-0410"/>
        <s v="ANON-0000-0000-0411"/>
        <s v="ANON-0000-0000-0412"/>
        <s v="ANON-0000-0000-0413"/>
        <s v="ANON-0000-0000-0414"/>
        <s v="ANON-0000-0000-0415"/>
        <s v="ANON-0000-0000-0416"/>
        <s v="ANON-0000-0000-0417"/>
        <s v="ANON-0000-0000-0418"/>
        <s v="ANON-0000-0000-0419"/>
        <s v="ANON-0000-0000-0420"/>
        <s v="ANON-0000-0000-0421"/>
        <s v="ANON-0000-0000-0422"/>
        <s v="ANON-0000-0000-0423"/>
        <s v="ANON-0000-0000-0424"/>
        <s v="ANON-0000-0000-0425"/>
        <s v="ANON-0000-0000-0426"/>
        <s v="ANON-0000-0000-0427"/>
        <s v="ANON-0000-0000-0428"/>
        <s v="ANON-0000-0000-0429"/>
        <s v="ANON-0000-0000-0430"/>
        <s v="ANON-0000-0000-0431"/>
        <s v="ANON-0000-0000-0432"/>
        <s v="ANON-0000-0000-0433"/>
        <s v="ANON-0000-0000-0434"/>
        <s v="ANON-0000-0000-0435"/>
        <s v="ANON-0000-0000-0436"/>
        <s v="ANON-0000-0000-0437"/>
        <s v="ANON-0000-0000-0438"/>
        <s v="ANON-0000-0000-0439"/>
        <s v="ANON-0000-0000-0440"/>
        <s v="ANON-0000-0000-0441"/>
        <s v="ANON-0000-0000-0442"/>
        <s v="ANON-0000-0000-0443"/>
        <s v="ANON-0000-0000-0444"/>
        <s v="ANON-0000-0000-0445"/>
        <s v="ANON-0000-0000-0446"/>
        <s v="ANON-0000-0000-0447"/>
        <s v="ANON-0000-0000-0448"/>
        <s v="ANON-0000-0000-0449"/>
        <s v="ANON-0000-0000-0450"/>
        <s v="ANON-0000-0000-0451"/>
        <s v="ANON-0000-0000-0452"/>
        <s v="ANON-0000-0000-0453"/>
        <s v="ANON-0000-0000-0454"/>
        <s v="ANON-0000-0000-0455"/>
        <s v="ANON-0000-0000-0456"/>
        <s v="ANON-0000-0000-0457"/>
        <s v="ANON-0000-0000-0458"/>
        <s v="ANON-0000-0000-0459"/>
        <s v="ANON-0000-0000-0460"/>
        <s v="ANON-0000-0000-0461"/>
        <s v="ANON-0000-0000-0462"/>
        <s v="ANON-0000-0000-0463"/>
        <s v="ANON-0000-0000-0464"/>
        <s v="ANON-0000-0000-0465"/>
        <s v="ANON-0000-0000-0466"/>
        <s v="ANON-0000-0000-0467"/>
        <s v="ANON-0000-0000-0468"/>
        <s v="ANON-0000-0000-0469"/>
        <s v="ANON-0000-0000-0470"/>
        <s v="ANON-0000-0000-0471"/>
        <s v="ANON-0000-0000-0472"/>
        <s v="ANON-0000-0000-0473"/>
        <s v="ANON-0000-0000-0474"/>
        <s v="ANON-0000-0000-0475"/>
        <s v="ANON-0000-0000-0476"/>
        <s v="ANON-0000-0000-0477"/>
        <s v="ANON-0000-0000-0478"/>
        <s v="ANON-0000-0000-0479"/>
        <s v="ANON-0000-0000-0480"/>
        <s v="ANON-0000-0000-0481"/>
        <s v="ANON-0000-0000-0482"/>
        <s v="ANON-0000-0000-0483"/>
        <s v="ANON-0000-0000-0484"/>
        <s v="ANON-0000-0000-0485"/>
        <s v="ANON-0000-0000-0486"/>
        <s v="ANON-0000-0000-0487"/>
        <s v="ANON-0000-0000-0488"/>
        <s v="ANON-0000-0000-0489"/>
        <s v="ANON-0000-0000-0490"/>
        <s v="ANON-0000-0000-0491"/>
        <s v="ANON-0000-0000-0492"/>
        <s v="ANON-0000-0000-0493"/>
        <s v="ANON-0000-0000-0494"/>
        <s v="ANON-0000-0000-0495"/>
        <s v="ANON-0000-0000-0496"/>
        <s v="ANON-0000-0000-0497"/>
        <s v="ANON-0000-0000-0498"/>
        <s v="ANON-0000-0000-0499"/>
        <s v="ANON-0000-0000-0500"/>
        <s v="ANON-0000-0000-0501"/>
        <s v="ANON-0000-0000-0502"/>
        <s v="ANON-0000-0000-0503"/>
        <s v="ANON-0000-0000-0504"/>
        <s v="ANON-0000-0000-0505"/>
        <s v="ANON-0000-0000-0506"/>
        <s v="ANON-0000-0000-0507"/>
        <s v="ANON-0000-0000-0508"/>
        <s v="ANON-0000-0000-0509"/>
        <s v="ANON-0000-0000-0510"/>
        <s v="ANON-0000-0000-0511"/>
        <s v="ANON-0000-0000-0512"/>
        <s v="ANON-0000-0000-0513"/>
        <s v="ANON-0000-0000-0514"/>
        <s v="ANON-0000-0000-0515"/>
        <s v="ANON-0000-0000-0516"/>
        <s v="ANON-0000-0000-0517"/>
        <s v="ANON-0000-0000-0518"/>
        <s v="ANON-0000-0000-0519"/>
        <s v="ANON-0000-0000-0520"/>
        <s v="ANON-0000-0000-0521"/>
        <s v="ANON-0000-0000-0522"/>
        <s v="ANON-0000-0000-0523"/>
        <s v="ANON-0000-0000-0524"/>
        <s v="ANON-0000-0000-0525"/>
        <s v="ANON-0000-0000-0526"/>
        <s v="ANON-0000-0000-0527"/>
        <s v="ANON-0000-0000-0528"/>
        <s v="ANON-0000-0000-0529"/>
        <s v="ANON-0000-0000-0530"/>
        <s v="ANON-0000-0000-0531"/>
        <s v="ANON-0000-0000-0532"/>
        <s v="ANON-0000-0000-0533"/>
        <s v="ANON-0000-0000-0534"/>
        <s v="ANON-0000-0000-0535"/>
        <s v="ANON-0000-0000-0536"/>
        <s v="ANON-0000-0000-0537"/>
        <s v="ANON-0000-0000-0538"/>
        <s v="ANON-0000-0000-0539"/>
        <s v="ANON-0000-0000-0540"/>
        <s v="ANON-0000-0000-0541"/>
        <s v="ANON-0000-0000-0542"/>
        <s v="ANON-0000-0000-0543"/>
        <s v="ANON-0000-0000-0544"/>
        <s v="ANON-0000-0000-0545"/>
        <s v="ANON-0000-0000-0546"/>
        <s v="ANON-0000-0000-0547"/>
        <s v="ANON-0000-0000-0548"/>
        <s v="ANON-0000-0000-0549"/>
        <s v="ANON-0000-0000-0550"/>
        <s v="ANON-0000-0000-0551"/>
        <s v="ANON-0000-0000-0552"/>
        <s v="ANON-0000-0000-0553"/>
        <s v="ANON-0000-0000-0554"/>
        <s v="ANON-0000-0000-0555"/>
        <s v="ANON-0000-0000-0556"/>
        <s v="ANON-0000-0000-0557"/>
        <s v="ANON-0000-0000-0558"/>
        <s v="ANON-0000-0000-0559"/>
        <s v="ANON-0000-0000-0560"/>
        <s v="ANON-0000-0000-0561"/>
        <s v="ANON-0000-0000-0562"/>
        <s v="ANON-0000-0000-0563"/>
        <s v="ANON-0000-0000-0564"/>
        <s v="ANON-0000-0000-0565"/>
        <s v="ANON-0000-0000-0566"/>
        <s v="ANON-0000-0000-0567"/>
        <s v="ANON-0000-0000-0568"/>
        <s v="ANON-0000-0000-0569"/>
        <s v="ANON-0000-0000-0570"/>
        <s v="ANON-0000-0000-0571"/>
        <s v="ANON-0000-0000-0572"/>
        <s v="ANON-0000-0000-0573"/>
        <s v="ANON-0000-0000-0574"/>
        <s v="ANON-0000-0000-0575"/>
        <s v="ANON-0000-0000-0576"/>
        <s v="ANON-0000-0000-0577"/>
        <s v="ANON-0000-0000-0578"/>
        <s v="ANON-0000-0000-0579"/>
        <s v="ANON-0000-0000-0580"/>
        <s v="ANON-0000-0000-0581"/>
        <s v="ANON-0000-0000-0582"/>
        <s v="ANON-0000-0000-0583"/>
        <s v="ANON-0000-0000-0584"/>
        <s v="ANON-0000-0000-0585"/>
        <s v="ANON-0000-0000-0586"/>
        <s v="ANON-0000-0000-0587"/>
        <s v="ANON-0000-0000-0588"/>
        <s v="ANON-0000-0000-0589"/>
        <s v="ANON-0000-0000-0590"/>
        <s v="ANON-0000-0000-0591"/>
        <s v="ANON-0000-0000-0592"/>
        <s v="ANON-0000-0000-0593"/>
        <s v="ANON-0000-0000-0594"/>
        <s v="ANON-0000-0000-0595"/>
        <s v="ANON-0000-0000-0596"/>
        <s v="ANON-0000-0000-0597"/>
        <s v="ANON-0000-0000-0598"/>
        <s v="ANON-0000-0000-0599"/>
        <s v="ANON-0000-0000-0600"/>
        <s v="ANON-0000-0000-0601"/>
        <s v="ANON-0000-0000-0602"/>
        <s v="ANON-0000-0000-0603"/>
        <s v="ANON-0000-0000-0604"/>
        <s v="ANON-0000-0000-0605"/>
        <s v="ANON-0000-0000-0606"/>
        <s v="ANON-0000-0000-0607"/>
        <s v="ANON-0000-0000-0608"/>
        <s v="ANON-0000-0000-0609"/>
        <s v="ANON-0000-0000-0610"/>
        <s v="ANON-0000-0000-0611"/>
        <s v="ANON-0000-0000-0612"/>
        <s v="ANON-0000-0000-0613"/>
        <s v="ANON-0000-0000-0614"/>
        <s v="ANON-0000-0000-0615"/>
        <s v="ANON-0000-0000-0616"/>
        <s v="ANON-0000-0000-0617"/>
        <s v="ANON-0000-0000-0618"/>
        <s v="ANON-0000-0000-0619"/>
        <s v="ANON-0000-0000-0620"/>
        <s v="ANON-0000-0000-0621"/>
        <s v="ANON-0000-0000-0622"/>
        <s v="ANON-0000-0000-0623"/>
        <s v="ANON-0000-0000-0624"/>
        <s v="ANON-0000-0000-0625"/>
        <s v="ANON-0000-0000-0626"/>
        <s v="ANON-0000-0000-0627"/>
        <s v="ANON-0000-0000-0628"/>
        <s v="ANON-0000-0000-0629"/>
        <s v="ANON-0000-0000-0630"/>
        <s v="ANON-0000-0000-0631"/>
        <s v="ANON-0000-0000-0632"/>
        <s v="ANON-0000-0000-0633"/>
        <s v="ANON-0000-0000-0634"/>
        <s v="ANON-0000-0000-0635"/>
        <s v="ANON-0000-0000-0636"/>
        <s v="ANON-0000-0000-0637"/>
        <s v="ANON-0000-0000-0638"/>
        <s v="ANON-0000-0000-0639"/>
        <s v="ANON-0000-0000-0640"/>
        <s v="ANON-0000-0000-0641"/>
        <s v="ANON-0000-0000-0642"/>
        <s v="ANON-0000-0000-0643"/>
        <s v="ANON-0000-0000-0644"/>
        <s v="ANON-0000-0000-0645"/>
        <s v="ANON-0000-0000-0646"/>
        <s v="ANON-0000-0000-0647"/>
        <s v="ANON-0000-0000-0648"/>
        <s v="ANON-0000-0000-0649"/>
        <s v="ANON-0000-0000-0650"/>
        <s v="ANON-0000-0000-0651"/>
        <s v="ANON-0000-0000-0652"/>
        <s v="ANON-0000-0000-0653"/>
        <s v="ANON-0000-0000-0654"/>
        <s v="ANON-0000-0000-0655"/>
        <s v="ANON-0000-0000-0656"/>
        <s v="ANON-0000-0000-0657"/>
        <s v="ANON-0000-0000-0658"/>
        <s v="ANON-0000-0000-0659"/>
        <s v="ANON-0000-0000-0660"/>
        <s v="ANON-0000-0000-0661"/>
        <s v="ANON-0000-0000-0662"/>
        <s v="ANON-0000-0000-0663"/>
        <s v="ANON-0000-0000-0664"/>
        <s v="ANON-0000-0000-0665"/>
        <s v="ANON-0000-0000-0666"/>
        <s v="ANON-0000-0000-0667"/>
        <s v="ANON-0000-0000-0668"/>
        <s v="ANON-0000-0000-0669"/>
        <s v="ANON-0000-0000-0670"/>
        <s v="ANON-0000-0000-0671"/>
        <s v="ANON-0000-0000-0672"/>
        <s v="ANON-0000-0000-0673"/>
        <s v="ANON-0000-0000-0674"/>
        <s v="ANON-0000-0000-0675"/>
        <s v="ANON-0000-0000-0676"/>
        <s v="ANON-0000-0000-0677"/>
        <s v="ANON-0000-0000-0678"/>
        <s v="ANON-0000-0000-0679"/>
        <s v="ANON-0000-0000-0680"/>
        <s v="ANON-0000-0000-0681"/>
        <s v="ANON-0000-0000-0682"/>
        <s v="ANON-0000-0000-0683"/>
        <s v="ANON-0000-0000-0684"/>
        <s v="ANON-0000-0000-0685"/>
        <s v="ANON-0000-0000-0686"/>
        <s v="ANON-0000-0000-0687"/>
        <s v="ANON-0000-0000-0688"/>
        <s v="ANON-0000-0000-0689"/>
        <s v="ANON-0000-0000-0690"/>
        <s v="ANON-0000-0000-0691"/>
        <s v="ANON-0000-0000-0692"/>
        <s v="ANON-0000-0000-0693"/>
        <s v="ANON-0000-0000-0694"/>
        <s v="ANON-0000-0000-0695"/>
        <s v="ANON-0000-0000-0696"/>
        <s v="ANON-0000-0000-0697"/>
        <s v="ANON-0000-0000-0698"/>
        <s v="ANON-0000-0000-0699"/>
        <s v="ANON-0000-0000-0700"/>
        <s v="ANON-0000-0000-0701"/>
        <s v="ANON-0000-0000-0702"/>
        <s v="ANON-0000-0000-0703"/>
        <s v="ANON-0000-0000-0704"/>
        <s v="ANON-0000-0000-0705"/>
        <s v="ANON-0000-0000-0706"/>
        <s v="ANON-0000-0000-0707"/>
        <s v="ANON-0000-0000-0708"/>
        <s v="ANON-0000-0000-0709"/>
        <s v="ANON-0000-0000-0710"/>
        <s v="ANON-0000-0000-0711"/>
        <s v="ANON-0000-0000-0712"/>
        <s v="ANON-0000-0000-0713"/>
        <s v="ANON-0000-0000-0714"/>
        <s v="ANON-0000-0000-0715"/>
        <s v="ANON-0000-0000-0716"/>
        <s v="ANON-0000-0000-0717"/>
        <s v="ANON-0000-0000-0718"/>
        <s v="ANON-0000-0000-0719"/>
        <s v="ANON-0000-0000-0720"/>
        <s v="ANON-0000-0000-0721"/>
        <s v="ANON-0000-0000-0722"/>
        <s v="ANON-0000-0000-0723"/>
        <s v="ANON-0000-0000-0724"/>
        <s v="ANON-0000-0000-0725"/>
        <s v="ANON-0000-0000-0726"/>
        <s v="ANON-0000-0000-0727"/>
        <s v="ANON-0000-0000-0728"/>
        <s v="ANON-0000-0000-0729"/>
        <s v="ANON-0000-0000-0730"/>
        <s v="ANON-0000-0000-0731"/>
        <s v="ANON-0000-0000-0732"/>
        <s v="ANON-0000-0000-0733"/>
        <s v="ANON-0000-0000-0734"/>
        <s v="ANON-0000-0000-0735"/>
        <s v="ANON-0000-0000-0736"/>
        <s v="ANON-0000-0000-0737"/>
        <s v="ANON-0000-0000-0738"/>
        <s v="ANON-0000-0000-0739"/>
        <s v="ANON-0000-0000-0740"/>
        <s v="ANON-0000-0000-0741"/>
        <s v="ANON-0000-0000-0742"/>
        <s v="ANON-0000-0000-0743"/>
        <s v="ANON-0000-0000-0744"/>
        <s v="ANON-0000-0000-0745"/>
        <s v="ANON-0000-0000-0746"/>
        <s v="ANON-0000-0000-0747"/>
        <s v="ANON-0000-0000-0748"/>
        <s v="ANON-0000-0000-0749"/>
        <s v="ANON-0000-0000-0750"/>
        <s v="ANON-0000-0000-0751"/>
        <s v="ANON-0000-0000-0752"/>
        <s v="ANON-0000-0000-0753"/>
        <s v="ANON-0000-0000-0754"/>
        <s v="ANON-0000-0000-0755"/>
        <s v="ANON-0000-0000-0756"/>
        <s v="ANON-0000-0000-0757"/>
        <s v="ANON-0000-0000-0758"/>
        <s v="ANON-0000-0000-0759"/>
        <s v="ANON-0000-0000-0760"/>
        <s v="ANON-0000-0000-0761"/>
        <s v="ANON-0000-0000-0762"/>
        <s v="ANON-0000-0000-0763"/>
        <s v="ANON-0000-0000-0764"/>
        <s v="ANON-0000-0000-0765"/>
        <s v="ANON-0000-0000-0766"/>
        <s v="ANON-0000-0000-0767"/>
        <s v="ANON-0000-0000-0768"/>
        <s v="ANON-0000-0000-0769"/>
        <s v="ANON-0000-0000-0770"/>
        <s v="ANON-0000-0000-0771"/>
        <s v="ANON-0000-0000-0772"/>
        <s v="ANON-0000-0000-0773"/>
        <s v="ANON-0000-0000-0774"/>
        <s v="ANON-0000-0000-0775"/>
        <s v="ANON-0000-0000-0776"/>
        <s v="ANON-0000-0000-0777"/>
        <s v="ANON-0000-0000-0778"/>
        <s v="ANON-0000-0000-0779"/>
        <s v="ANON-0000-0000-0780"/>
        <s v="ANON-0000-0000-0781"/>
        <s v="ANON-0000-0000-0782"/>
        <s v="ANON-0000-0000-0783"/>
        <s v="ANON-0000-0000-0784"/>
      </sharedItems>
    </cacheField>
    <cacheField name="money" numFmtId="165">
      <sharedItems containsSemiMixedTypes="0" containsString="0" containsNumber="1" minValue="18.12" maxValue="40" count="20">
        <n v="38.700000000000003"/>
        <n v="28.9"/>
        <n v="33.799999999999997"/>
        <n v="40"/>
        <n v="24"/>
        <n v="35"/>
        <n v="30"/>
        <n v="25"/>
        <n v="32.82"/>
        <n v="39"/>
        <n v="37.72"/>
        <n v="27.92"/>
        <n v="29"/>
        <n v="34"/>
        <n v="23.02"/>
        <n v="18.12"/>
        <n v="35.76"/>
        <n v="30.86"/>
        <n v="25.96"/>
        <n v="21.06"/>
      </sharedItems>
    </cacheField>
    <cacheField name="coffee_name" numFmtId="0">
      <sharedItems count="8">
        <s v="Latte"/>
        <s v="Hot Chocolate"/>
        <s v="Americano"/>
        <s v="Americano with Milk"/>
        <s v="Cocoa"/>
        <s v="Cortado"/>
        <s v="Espresso"/>
        <s v="Cappuccino"/>
      </sharedItems>
    </cacheField>
    <cacheField name="Time_of_Day" numFmtId="0">
      <sharedItems count="3">
        <s v="Morning"/>
        <s v="Afternoon"/>
        <s v="Night"/>
      </sharedItems>
    </cacheField>
    <cacheField name="Weekday" numFmtId="0">
      <sharedItems count="7">
        <s v="Fri"/>
        <s v="Sat"/>
        <s v="Sun"/>
        <s v="Mon"/>
        <s v="Tue"/>
        <s v="Wed"/>
        <s v="Thu"/>
      </sharedItems>
    </cacheField>
    <cacheField name="Month_name" numFmtId="0">
      <sharedItems count="8">
        <s v="Mar"/>
        <s v="Apr"/>
        <s v="May"/>
        <s v="Jun"/>
        <s v="Jul"/>
        <s v="Aug"/>
        <s v="Sep"/>
        <s v="Oct"/>
      </sharedItems>
    </cacheField>
    <cacheField name="Weekdaysort" numFmtId="0">
      <sharedItems containsSemiMixedTypes="0" containsString="0" containsNumber="1" containsInteger="1" minValue="1" maxValue="7"/>
    </cacheField>
    <cacheField name="Monthsort" numFmtId="0">
      <sharedItems containsSemiMixedTypes="0" containsString="0" containsNumber="1" containsInteger="1" minValue="3" maxValue="10" count="8">
        <n v="3"/>
        <n v="4"/>
        <n v="5"/>
        <n v="6"/>
        <n v="7"/>
        <n v="8"/>
        <n v="9"/>
        <n v="10"/>
      </sharedItems>
    </cacheField>
    <cacheField name="Days (datetime)" numFmtId="0" databaseField="0">
      <fieldGroup base="1">
        <rangePr groupBy="days" startDate="2024-03-01T10:15:51" endDate="2024-10-18T21:52:23"/>
        <groupItems count="368">
          <s v="&lt;01-03-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8-10-2024"/>
        </groupItems>
      </fieldGroup>
    </cacheField>
    <cacheField name="Months (datetime)" numFmtId="0" databaseField="0">
      <fieldGroup base="1">
        <rangePr groupBy="months" startDate="2024-03-01T10:15:51" endDate="2024-10-18T21:52:23"/>
        <groupItems count="14">
          <s v="&lt;01-03-2024"/>
          <s v="Jan"/>
          <s v="Feb"/>
          <s v="Mar"/>
          <s v="Apr"/>
          <s v="May"/>
          <s v="Jun"/>
          <s v="Jul"/>
          <s v="Aug"/>
          <s v="Sep"/>
          <s v="Oct"/>
          <s v="Nov"/>
          <s v="Dec"/>
          <s v="&gt;18-10-2024"/>
        </groupItems>
      </fieldGroup>
    </cacheField>
    <cacheField name="Days (date)" numFmtId="0" databaseField="0">
      <fieldGroup base="0">
        <rangePr groupBy="days" startDate="2024-03-01T00:00:00" endDate="2024-10-19T00:00:00"/>
        <groupItems count="368">
          <s v="&lt;01-03-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9-10-2024"/>
        </groupItems>
      </fieldGroup>
    </cacheField>
    <cacheField name="Months (date)" numFmtId="0" databaseField="0">
      <fieldGroup base="0">
        <rangePr groupBy="months" startDate="2024-03-01T00:00:00" endDate="2024-10-19T00:00:00"/>
        <groupItems count="14">
          <s v="&lt;01-03-2024"/>
          <s v="Jan"/>
          <s v="Feb"/>
          <s v="Mar"/>
          <s v="Apr"/>
          <s v="May"/>
          <s v="Jun"/>
          <s v="Jul"/>
          <s v="Aug"/>
          <s v="Sep"/>
          <s v="Oct"/>
          <s v="Nov"/>
          <s v="Dec"/>
          <s v="&gt;19-10-2024"/>
        </groupItems>
      </fieldGroup>
    </cacheField>
  </cacheFields>
  <extLst>
    <ext xmlns:x14="http://schemas.microsoft.com/office/spreadsheetml/2009/9/main" uri="{725AE2AE-9491-48be-B2B4-4EB974FC3084}">
      <x14:pivotCacheDefinition pivotCacheId="6207681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x v="0"/>
    <x v="0"/>
    <x v="0"/>
    <x v="0"/>
    <x v="0"/>
    <x v="0"/>
    <x v="0"/>
    <x v="0"/>
    <x v="0"/>
    <x v="0"/>
    <n v="5"/>
    <x v="0"/>
  </r>
  <r>
    <x v="0"/>
    <x v="1"/>
    <x v="1"/>
    <x v="0"/>
    <x v="1"/>
    <x v="0"/>
    <x v="1"/>
    <x v="1"/>
    <x v="0"/>
    <x v="0"/>
    <n v="5"/>
    <x v="0"/>
  </r>
  <r>
    <x v="0"/>
    <x v="2"/>
    <x v="1"/>
    <x v="0"/>
    <x v="1"/>
    <x v="0"/>
    <x v="1"/>
    <x v="1"/>
    <x v="0"/>
    <x v="0"/>
    <n v="5"/>
    <x v="0"/>
  </r>
  <r>
    <x v="0"/>
    <x v="3"/>
    <x v="2"/>
    <x v="0"/>
    <x v="2"/>
    <x v="1"/>
    <x v="2"/>
    <x v="1"/>
    <x v="0"/>
    <x v="0"/>
    <n v="5"/>
    <x v="0"/>
  </r>
  <r>
    <x v="0"/>
    <x v="4"/>
    <x v="2"/>
    <x v="0"/>
    <x v="3"/>
    <x v="0"/>
    <x v="0"/>
    <x v="1"/>
    <x v="0"/>
    <x v="0"/>
    <n v="5"/>
    <x v="0"/>
  </r>
  <r>
    <x v="0"/>
    <x v="5"/>
    <x v="3"/>
    <x v="0"/>
    <x v="4"/>
    <x v="2"/>
    <x v="3"/>
    <x v="1"/>
    <x v="0"/>
    <x v="0"/>
    <n v="5"/>
    <x v="0"/>
  </r>
  <r>
    <x v="0"/>
    <x v="6"/>
    <x v="4"/>
    <x v="0"/>
    <x v="5"/>
    <x v="0"/>
    <x v="1"/>
    <x v="1"/>
    <x v="0"/>
    <x v="0"/>
    <n v="5"/>
    <x v="0"/>
  </r>
  <r>
    <x v="0"/>
    <x v="7"/>
    <x v="5"/>
    <x v="0"/>
    <x v="6"/>
    <x v="2"/>
    <x v="3"/>
    <x v="2"/>
    <x v="0"/>
    <x v="0"/>
    <n v="5"/>
    <x v="0"/>
  </r>
  <r>
    <x v="0"/>
    <x v="8"/>
    <x v="6"/>
    <x v="0"/>
    <x v="7"/>
    <x v="0"/>
    <x v="4"/>
    <x v="2"/>
    <x v="0"/>
    <x v="0"/>
    <n v="5"/>
    <x v="0"/>
  </r>
  <r>
    <x v="0"/>
    <x v="9"/>
    <x v="6"/>
    <x v="0"/>
    <x v="7"/>
    <x v="2"/>
    <x v="3"/>
    <x v="2"/>
    <x v="0"/>
    <x v="0"/>
    <n v="5"/>
    <x v="0"/>
  </r>
  <r>
    <x v="0"/>
    <x v="10"/>
    <x v="6"/>
    <x v="0"/>
    <x v="8"/>
    <x v="2"/>
    <x v="3"/>
    <x v="2"/>
    <x v="0"/>
    <x v="0"/>
    <n v="5"/>
    <x v="0"/>
  </r>
  <r>
    <x v="1"/>
    <x v="11"/>
    <x v="0"/>
    <x v="0"/>
    <x v="9"/>
    <x v="1"/>
    <x v="2"/>
    <x v="0"/>
    <x v="1"/>
    <x v="0"/>
    <n v="6"/>
    <x v="0"/>
  </r>
  <r>
    <x v="1"/>
    <x v="12"/>
    <x v="0"/>
    <x v="1"/>
    <x v="10"/>
    <x v="3"/>
    <x v="0"/>
    <x v="0"/>
    <x v="1"/>
    <x v="0"/>
    <n v="6"/>
    <x v="0"/>
  </r>
  <r>
    <x v="1"/>
    <x v="13"/>
    <x v="0"/>
    <x v="0"/>
    <x v="11"/>
    <x v="2"/>
    <x v="3"/>
    <x v="0"/>
    <x v="1"/>
    <x v="0"/>
    <n v="6"/>
    <x v="0"/>
  </r>
  <r>
    <x v="1"/>
    <x v="14"/>
    <x v="7"/>
    <x v="0"/>
    <x v="12"/>
    <x v="2"/>
    <x v="3"/>
    <x v="0"/>
    <x v="1"/>
    <x v="0"/>
    <n v="6"/>
    <x v="0"/>
  </r>
  <r>
    <x v="1"/>
    <x v="15"/>
    <x v="8"/>
    <x v="0"/>
    <x v="13"/>
    <x v="1"/>
    <x v="2"/>
    <x v="1"/>
    <x v="1"/>
    <x v="0"/>
    <n v="6"/>
    <x v="0"/>
  </r>
  <r>
    <x v="1"/>
    <x v="16"/>
    <x v="4"/>
    <x v="0"/>
    <x v="14"/>
    <x v="2"/>
    <x v="3"/>
    <x v="1"/>
    <x v="1"/>
    <x v="0"/>
    <n v="6"/>
    <x v="0"/>
  </r>
  <r>
    <x v="1"/>
    <x v="17"/>
    <x v="9"/>
    <x v="0"/>
    <x v="3"/>
    <x v="1"/>
    <x v="2"/>
    <x v="2"/>
    <x v="1"/>
    <x v="0"/>
    <n v="6"/>
    <x v="0"/>
  </r>
  <r>
    <x v="2"/>
    <x v="18"/>
    <x v="0"/>
    <x v="1"/>
    <x v="10"/>
    <x v="3"/>
    <x v="0"/>
    <x v="0"/>
    <x v="2"/>
    <x v="0"/>
    <n v="7"/>
    <x v="0"/>
  </r>
  <r>
    <x v="2"/>
    <x v="19"/>
    <x v="0"/>
    <x v="0"/>
    <x v="15"/>
    <x v="0"/>
    <x v="0"/>
    <x v="0"/>
    <x v="2"/>
    <x v="0"/>
    <n v="7"/>
    <x v="0"/>
  </r>
  <r>
    <x v="2"/>
    <x v="20"/>
    <x v="7"/>
    <x v="0"/>
    <x v="16"/>
    <x v="1"/>
    <x v="5"/>
    <x v="0"/>
    <x v="2"/>
    <x v="0"/>
    <n v="7"/>
    <x v="0"/>
  </r>
  <r>
    <x v="2"/>
    <x v="21"/>
    <x v="1"/>
    <x v="0"/>
    <x v="12"/>
    <x v="1"/>
    <x v="2"/>
    <x v="1"/>
    <x v="2"/>
    <x v="0"/>
    <n v="7"/>
    <x v="0"/>
  </r>
  <r>
    <x v="2"/>
    <x v="22"/>
    <x v="2"/>
    <x v="0"/>
    <x v="17"/>
    <x v="0"/>
    <x v="1"/>
    <x v="1"/>
    <x v="2"/>
    <x v="0"/>
    <n v="7"/>
    <x v="0"/>
  </r>
  <r>
    <x v="2"/>
    <x v="23"/>
    <x v="9"/>
    <x v="0"/>
    <x v="18"/>
    <x v="0"/>
    <x v="4"/>
    <x v="2"/>
    <x v="2"/>
    <x v="0"/>
    <n v="7"/>
    <x v="0"/>
  </r>
  <r>
    <x v="2"/>
    <x v="24"/>
    <x v="9"/>
    <x v="0"/>
    <x v="19"/>
    <x v="1"/>
    <x v="5"/>
    <x v="2"/>
    <x v="2"/>
    <x v="0"/>
    <n v="7"/>
    <x v="0"/>
  </r>
  <r>
    <x v="2"/>
    <x v="25"/>
    <x v="5"/>
    <x v="0"/>
    <x v="20"/>
    <x v="2"/>
    <x v="3"/>
    <x v="2"/>
    <x v="2"/>
    <x v="0"/>
    <n v="7"/>
    <x v="0"/>
  </r>
  <r>
    <x v="2"/>
    <x v="26"/>
    <x v="5"/>
    <x v="0"/>
    <x v="20"/>
    <x v="2"/>
    <x v="3"/>
    <x v="2"/>
    <x v="2"/>
    <x v="0"/>
    <n v="7"/>
    <x v="0"/>
  </r>
  <r>
    <x v="2"/>
    <x v="27"/>
    <x v="5"/>
    <x v="0"/>
    <x v="20"/>
    <x v="0"/>
    <x v="1"/>
    <x v="2"/>
    <x v="2"/>
    <x v="0"/>
    <n v="7"/>
    <x v="0"/>
  </r>
  <r>
    <x v="3"/>
    <x v="28"/>
    <x v="0"/>
    <x v="0"/>
    <x v="0"/>
    <x v="0"/>
    <x v="0"/>
    <x v="0"/>
    <x v="3"/>
    <x v="0"/>
    <n v="1"/>
    <x v="0"/>
  </r>
  <r>
    <x v="3"/>
    <x v="29"/>
    <x v="0"/>
    <x v="0"/>
    <x v="21"/>
    <x v="0"/>
    <x v="0"/>
    <x v="0"/>
    <x v="3"/>
    <x v="0"/>
    <n v="1"/>
    <x v="0"/>
  </r>
  <r>
    <x v="3"/>
    <x v="30"/>
    <x v="7"/>
    <x v="0"/>
    <x v="12"/>
    <x v="2"/>
    <x v="3"/>
    <x v="0"/>
    <x v="3"/>
    <x v="0"/>
    <n v="1"/>
    <x v="0"/>
  </r>
  <r>
    <x v="3"/>
    <x v="31"/>
    <x v="8"/>
    <x v="0"/>
    <x v="22"/>
    <x v="4"/>
    <x v="6"/>
    <x v="1"/>
    <x v="3"/>
    <x v="0"/>
    <n v="1"/>
    <x v="0"/>
  </r>
  <r>
    <x v="4"/>
    <x v="32"/>
    <x v="10"/>
    <x v="0"/>
    <x v="0"/>
    <x v="0"/>
    <x v="0"/>
    <x v="0"/>
    <x v="4"/>
    <x v="0"/>
    <n v="2"/>
    <x v="0"/>
  </r>
  <r>
    <x v="4"/>
    <x v="33"/>
    <x v="8"/>
    <x v="0"/>
    <x v="23"/>
    <x v="0"/>
    <x v="0"/>
    <x v="1"/>
    <x v="4"/>
    <x v="0"/>
    <n v="2"/>
    <x v="0"/>
  </r>
  <r>
    <x v="4"/>
    <x v="34"/>
    <x v="9"/>
    <x v="0"/>
    <x v="24"/>
    <x v="0"/>
    <x v="0"/>
    <x v="2"/>
    <x v="4"/>
    <x v="0"/>
    <n v="2"/>
    <x v="0"/>
  </r>
  <r>
    <x v="4"/>
    <x v="35"/>
    <x v="9"/>
    <x v="0"/>
    <x v="25"/>
    <x v="0"/>
    <x v="1"/>
    <x v="2"/>
    <x v="4"/>
    <x v="0"/>
    <n v="2"/>
    <x v="0"/>
  </r>
  <r>
    <x v="4"/>
    <x v="36"/>
    <x v="9"/>
    <x v="0"/>
    <x v="26"/>
    <x v="0"/>
    <x v="4"/>
    <x v="2"/>
    <x v="4"/>
    <x v="0"/>
    <n v="2"/>
    <x v="0"/>
  </r>
  <r>
    <x v="4"/>
    <x v="37"/>
    <x v="9"/>
    <x v="0"/>
    <x v="27"/>
    <x v="0"/>
    <x v="1"/>
    <x v="2"/>
    <x v="4"/>
    <x v="0"/>
    <n v="2"/>
    <x v="0"/>
  </r>
  <r>
    <x v="4"/>
    <x v="38"/>
    <x v="9"/>
    <x v="0"/>
    <x v="8"/>
    <x v="0"/>
    <x v="1"/>
    <x v="2"/>
    <x v="4"/>
    <x v="0"/>
    <n v="2"/>
    <x v="0"/>
  </r>
  <r>
    <x v="4"/>
    <x v="39"/>
    <x v="9"/>
    <x v="0"/>
    <x v="28"/>
    <x v="1"/>
    <x v="5"/>
    <x v="2"/>
    <x v="4"/>
    <x v="0"/>
    <n v="2"/>
    <x v="0"/>
  </r>
  <r>
    <x v="4"/>
    <x v="40"/>
    <x v="5"/>
    <x v="0"/>
    <x v="28"/>
    <x v="0"/>
    <x v="1"/>
    <x v="2"/>
    <x v="4"/>
    <x v="0"/>
    <n v="2"/>
    <x v="0"/>
  </r>
  <r>
    <x v="5"/>
    <x v="41"/>
    <x v="1"/>
    <x v="1"/>
    <x v="10"/>
    <x v="5"/>
    <x v="3"/>
    <x v="1"/>
    <x v="5"/>
    <x v="0"/>
    <n v="3"/>
    <x v="0"/>
  </r>
  <r>
    <x v="5"/>
    <x v="42"/>
    <x v="2"/>
    <x v="0"/>
    <x v="12"/>
    <x v="1"/>
    <x v="2"/>
    <x v="1"/>
    <x v="5"/>
    <x v="0"/>
    <n v="3"/>
    <x v="0"/>
  </r>
  <r>
    <x v="5"/>
    <x v="43"/>
    <x v="2"/>
    <x v="0"/>
    <x v="12"/>
    <x v="1"/>
    <x v="5"/>
    <x v="1"/>
    <x v="5"/>
    <x v="0"/>
    <n v="3"/>
    <x v="0"/>
  </r>
  <r>
    <x v="5"/>
    <x v="44"/>
    <x v="8"/>
    <x v="0"/>
    <x v="29"/>
    <x v="0"/>
    <x v="7"/>
    <x v="1"/>
    <x v="5"/>
    <x v="0"/>
    <n v="3"/>
    <x v="0"/>
  </r>
  <r>
    <x v="5"/>
    <x v="45"/>
    <x v="8"/>
    <x v="0"/>
    <x v="29"/>
    <x v="0"/>
    <x v="7"/>
    <x v="1"/>
    <x v="5"/>
    <x v="0"/>
    <n v="3"/>
    <x v="0"/>
  </r>
  <r>
    <x v="6"/>
    <x v="46"/>
    <x v="0"/>
    <x v="1"/>
    <x v="10"/>
    <x v="3"/>
    <x v="0"/>
    <x v="0"/>
    <x v="6"/>
    <x v="0"/>
    <n v="4"/>
    <x v="0"/>
  </r>
  <r>
    <x v="6"/>
    <x v="47"/>
    <x v="0"/>
    <x v="0"/>
    <x v="30"/>
    <x v="0"/>
    <x v="1"/>
    <x v="0"/>
    <x v="6"/>
    <x v="0"/>
    <n v="4"/>
    <x v="0"/>
  </r>
  <r>
    <x v="6"/>
    <x v="48"/>
    <x v="7"/>
    <x v="0"/>
    <x v="31"/>
    <x v="0"/>
    <x v="0"/>
    <x v="0"/>
    <x v="6"/>
    <x v="0"/>
    <n v="4"/>
    <x v="0"/>
  </r>
  <r>
    <x v="6"/>
    <x v="49"/>
    <x v="7"/>
    <x v="1"/>
    <x v="10"/>
    <x v="3"/>
    <x v="0"/>
    <x v="0"/>
    <x v="6"/>
    <x v="0"/>
    <n v="4"/>
    <x v="0"/>
  </r>
  <r>
    <x v="6"/>
    <x v="50"/>
    <x v="3"/>
    <x v="0"/>
    <x v="32"/>
    <x v="1"/>
    <x v="2"/>
    <x v="1"/>
    <x v="6"/>
    <x v="0"/>
    <n v="4"/>
    <x v="0"/>
  </r>
  <r>
    <x v="6"/>
    <x v="51"/>
    <x v="3"/>
    <x v="0"/>
    <x v="33"/>
    <x v="2"/>
    <x v="3"/>
    <x v="1"/>
    <x v="6"/>
    <x v="0"/>
    <n v="4"/>
    <x v="0"/>
  </r>
  <r>
    <x v="7"/>
    <x v="52"/>
    <x v="0"/>
    <x v="0"/>
    <x v="12"/>
    <x v="1"/>
    <x v="5"/>
    <x v="0"/>
    <x v="0"/>
    <x v="0"/>
    <n v="5"/>
    <x v="0"/>
  </r>
  <r>
    <x v="7"/>
    <x v="53"/>
    <x v="1"/>
    <x v="0"/>
    <x v="34"/>
    <x v="0"/>
    <x v="7"/>
    <x v="1"/>
    <x v="0"/>
    <x v="0"/>
    <n v="5"/>
    <x v="0"/>
  </r>
  <r>
    <x v="7"/>
    <x v="54"/>
    <x v="2"/>
    <x v="0"/>
    <x v="35"/>
    <x v="1"/>
    <x v="2"/>
    <x v="1"/>
    <x v="0"/>
    <x v="0"/>
    <n v="5"/>
    <x v="0"/>
  </r>
  <r>
    <x v="7"/>
    <x v="55"/>
    <x v="8"/>
    <x v="0"/>
    <x v="12"/>
    <x v="1"/>
    <x v="2"/>
    <x v="1"/>
    <x v="0"/>
    <x v="0"/>
    <n v="5"/>
    <x v="0"/>
  </r>
  <r>
    <x v="7"/>
    <x v="56"/>
    <x v="8"/>
    <x v="0"/>
    <x v="33"/>
    <x v="1"/>
    <x v="2"/>
    <x v="1"/>
    <x v="0"/>
    <x v="0"/>
    <n v="5"/>
    <x v="0"/>
  </r>
  <r>
    <x v="7"/>
    <x v="57"/>
    <x v="8"/>
    <x v="0"/>
    <x v="12"/>
    <x v="2"/>
    <x v="3"/>
    <x v="1"/>
    <x v="0"/>
    <x v="0"/>
    <n v="5"/>
    <x v="0"/>
  </r>
  <r>
    <x v="7"/>
    <x v="58"/>
    <x v="5"/>
    <x v="0"/>
    <x v="36"/>
    <x v="0"/>
    <x v="0"/>
    <x v="2"/>
    <x v="0"/>
    <x v="0"/>
    <n v="5"/>
    <x v="0"/>
  </r>
  <r>
    <x v="7"/>
    <x v="59"/>
    <x v="5"/>
    <x v="0"/>
    <x v="37"/>
    <x v="0"/>
    <x v="0"/>
    <x v="2"/>
    <x v="0"/>
    <x v="0"/>
    <n v="5"/>
    <x v="0"/>
  </r>
  <r>
    <x v="8"/>
    <x v="60"/>
    <x v="7"/>
    <x v="1"/>
    <x v="10"/>
    <x v="3"/>
    <x v="1"/>
    <x v="0"/>
    <x v="1"/>
    <x v="0"/>
    <n v="6"/>
    <x v="0"/>
  </r>
  <r>
    <x v="8"/>
    <x v="61"/>
    <x v="1"/>
    <x v="0"/>
    <x v="38"/>
    <x v="4"/>
    <x v="6"/>
    <x v="1"/>
    <x v="1"/>
    <x v="0"/>
    <n v="6"/>
    <x v="0"/>
  </r>
  <r>
    <x v="8"/>
    <x v="62"/>
    <x v="1"/>
    <x v="0"/>
    <x v="39"/>
    <x v="1"/>
    <x v="2"/>
    <x v="1"/>
    <x v="1"/>
    <x v="0"/>
    <n v="6"/>
    <x v="0"/>
  </r>
  <r>
    <x v="8"/>
    <x v="63"/>
    <x v="1"/>
    <x v="0"/>
    <x v="12"/>
    <x v="0"/>
    <x v="7"/>
    <x v="1"/>
    <x v="1"/>
    <x v="0"/>
    <n v="6"/>
    <x v="0"/>
  </r>
  <r>
    <x v="8"/>
    <x v="64"/>
    <x v="1"/>
    <x v="0"/>
    <x v="40"/>
    <x v="1"/>
    <x v="2"/>
    <x v="1"/>
    <x v="1"/>
    <x v="0"/>
    <n v="6"/>
    <x v="0"/>
  </r>
  <r>
    <x v="8"/>
    <x v="65"/>
    <x v="1"/>
    <x v="0"/>
    <x v="40"/>
    <x v="1"/>
    <x v="2"/>
    <x v="1"/>
    <x v="1"/>
    <x v="0"/>
    <n v="6"/>
    <x v="0"/>
  </r>
  <r>
    <x v="8"/>
    <x v="66"/>
    <x v="2"/>
    <x v="0"/>
    <x v="41"/>
    <x v="0"/>
    <x v="0"/>
    <x v="1"/>
    <x v="1"/>
    <x v="0"/>
    <n v="6"/>
    <x v="0"/>
  </r>
  <r>
    <x v="8"/>
    <x v="67"/>
    <x v="2"/>
    <x v="0"/>
    <x v="42"/>
    <x v="2"/>
    <x v="3"/>
    <x v="1"/>
    <x v="1"/>
    <x v="0"/>
    <n v="6"/>
    <x v="0"/>
  </r>
  <r>
    <x v="8"/>
    <x v="68"/>
    <x v="2"/>
    <x v="0"/>
    <x v="43"/>
    <x v="1"/>
    <x v="5"/>
    <x v="1"/>
    <x v="1"/>
    <x v="0"/>
    <n v="6"/>
    <x v="0"/>
  </r>
  <r>
    <x v="8"/>
    <x v="69"/>
    <x v="2"/>
    <x v="0"/>
    <x v="43"/>
    <x v="0"/>
    <x v="7"/>
    <x v="1"/>
    <x v="1"/>
    <x v="0"/>
    <n v="6"/>
    <x v="0"/>
  </r>
  <r>
    <x v="8"/>
    <x v="70"/>
    <x v="8"/>
    <x v="0"/>
    <x v="8"/>
    <x v="2"/>
    <x v="3"/>
    <x v="1"/>
    <x v="1"/>
    <x v="0"/>
    <n v="6"/>
    <x v="0"/>
  </r>
  <r>
    <x v="8"/>
    <x v="71"/>
    <x v="8"/>
    <x v="0"/>
    <x v="44"/>
    <x v="0"/>
    <x v="1"/>
    <x v="1"/>
    <x v="1"/>
    <x v="0"/>
    <n v="6"/>
    <x v="0"/>
  </r>
  <r>
    <x v="8"/>
    <x v="72"/>
    <x v="6"/>
    <x v="0"/>
    <x v="8"/>
    <x v="0"/>
    <x v="7"/>
    <x v="2"/>
    <x v="1"/>
    <x v="0"/>
    <n v="6"/>
    <x v="0"/>
  </r>
  <r>
    <x v="8"/>
    <x v="73"/>
    <x v="6"/>
    <x v="0"/>
    <x v="8"/>
    <x v="0"/>
    <x v="1"/>
    <x v="2"/>
    <x v="1"/>
    <x v="0"/>
    <n v="6"/>
    <x v="0"/>
  </r>
  <r>
    <x v="9"/>
    <x v="74"/>
    <x v="11"/>
    <x v="1"/>
    <x v="10"/>
    <x v="6"/>
    <x v="2"/>
    <x v="0"/>
    <x v="2"/>
    <x v="0"/>
    <n v="7"/>
    <x v="0"/>
  </r>
  <r>
    <x v="9"/>
    <x v="75"/>
    <x v="11"/>
    <x v="1"/>
    <x v="10"/>
    <x v="5"/>
    <x v="3"/>
    <x v="0"/>
    <x v="2"/>
    <x v="0"/>
    <n v="7"/>
    <x v="0"/>
  </r>
  <r>
    <x v="9"/>
    <x v="76"/>
    <x v="0"/>
    <x v="1"/>
    <x v="10"/>
    <x v="3"/>
    <x v="0"/>
    <x v="0"/>
    <x v="2"/>
    <x v="0"/>
    <n v="7"/>
    <x v="0"/>
  </r>
  <r>
    <x v="9"/>
    <x v="77"/>
    <x v="7"/>
    <x v="0"/>
    <x v="45"/>
    <x v="4"/>
    <x v="6"/>
    <x v="0"/>
    <x v="2"/>
    <x v="0"/>
    <n v="7"/>
    <x v="0"/>
  </r>
  <r>
    <x v="9"/>
    <x v="78"/>
    <x v="9"/>
    <x v="1"/>
    <x v="10"/>
    <x v="5"/>
    <x v="3"/>
    <x v="2"/>
    <x v="2"/>
    <x v="0"/>
    <n v="7"/>
    <x v="0"/>
  </r>
  <r>
    <x v="9"/>
    <x v="79"/>
    <x v="6"/>
    <x v="0"/>
    <x v="46"/>
    <x v="0"/>
    <x v="0"/>
    <x v="2"/>
    <x v="2"/>
    <x v="0"/>
    <n v="7"/>
    <x v="0"/>
  </r>
  <r>
    <x v="9"/>
    <x v="80"/>
    <x v="6"/>
    <x v="0"/>
    <x v="46"/>
    <x v="1"/>
    <x v="5"/>
    <x v="2"/>
    <x v="2"/>
    <x v="0"/>
    <n v="7"/>
    <x v="0"/>
  </r>
  <r>
    <x v="10"/>
    <x v="81"/>
    <x v="0"/>
    <x v="1"/>
    <x v="10"/>
    <x v="3"/>
    <x v="0"/>
    <x v="0"/>
    <x v="3"/>
    <x v="0"/>
    <n v="1"/>
    <x v="0"/>
  </r>
  <r>
    <x v="10"/>
    <x v="82"/>
    <x v="7"/>
    <x v="1"/>
    <x v="10"/>
    <x v="3"/>
    <x v="7"/>
    <x v="0"/>
    <x v="3"/>
    <x v="0"/>
    <n v="1"/>
    <x v="0"/>
  </r>
  <r>
    <x v="10"/>
    <x v="83"/>
    <x v="7"/>
    <x v="1"/>
    <x v="10"/>
    <x v="6"/>
    <x v="5"/>
    <x v="0"/>
    <x v="3"/>
    <x v="0"/>
    <n v="1"/>
    <x v="0"/>
  </r>
  <r>
    <x v="10"/>
    <x v="84"/>
    <x v="7"/>
    <x v="1"/>
    <x v="10"/>
    <x v="6"/>
    <x v="2"/>
    <x v="0"/>
    <x v="3"/>
    <x v="0"/>
    <n v="1"/>
    <x v="0"/>
  </r>
  <r>
    <x v="10"/>
    <x v="85"/>
    <x v="7"/>
    <x v="0"/>
    <x v="35"/>
    <x v="0"/>
    <x v="7"/>
    <x v="0"/>
    <x v="3"/>
    <x v="0"/>
    <n v="1"/>
    <x v="0"/>
  </r>
  <r>
    <x v="10"/>
    <x v="86"/>
    <x v="4"/>
    <x v="0"/>
    <x v="47"/>
    <x v="1"/>
    <x v="2"/>
    <x v="1"/>
    <x v="3"/>
    <x v="0"/>
    <n v="1"/>
    <x v="0"/>
  </r>
  <r>
    <x v="10"/>
    <x v="87"/>
    <x v="4"/>
    <x v="0"/>
    <x v="47"/>
    <x v="0"/>
    <x v="0"/>
    <x v="1"/>
    <x v="3"/>
    <x v="0"/>
    <n v="1"/>
    <x v="0"/>
  </r>
  <r>
    <x v="10"/>
    <x v="88"/>
    <x v="4"/>
    <x v="0"/>
    <x v="48"/>
    <x v="1"/>
    <x v="5"/>
    <x v="1"/>
    <x v="3"/>
    <x v="0"/>
    <n v="1"/>
    <x v="0"/>
  </r>
  <r>
    <x v="11"/>
    <x v="89"/>
    <x v="0"/>
    <x v="1"/>
    <x v="10"/>
    <x v="3"/>
    <x v="0"/>
    <x v="0"/>
    <x v="4"/>
    <x v="0"/>
    <n v="2"/>
    <x v="0"/>
  </r>
  <r>
    <x v="11"/>
    <x v="90"/>
    <x v="0"/>
    <x v="0"/>
    <x v="33"/>
    <x v="1"/>
    <x v="2"/>
    <x v="0"/>
    <x v="4"/>
    <x v="0"/>
    <n v="2"/>
    <x v="0"/>
  </r>
  <r>
    <x v="11"/>
    <x v="91"/>
    <x v="0"/>
    <x v="0"/>
    <x v="33"/>
    <x v="1"/>
    <x v="5"/>
    <x v="0"/>
    <x v="4"/>
    <x v="0"/>
    <n v="2"/>
    <x v="0"/>
  </r>
  <r>
    <x v="11"/>
    <x v="92"/>
    <x v="7"/>
    <x v="0"/>
    <x v="49"/>
    <x v="0"/>
    <x v="1"/>
    <x v="0"/>
    <x v="4"/>
    <x v="0"/>
    <n v="2"/>
    <x v="0"/>
  </r>
  <r>
    <x v="11"/>
    <x v="93"/>
    <x v="1"/>
    <x v="0"/>
    <x v="3"/>
    <x v="2"/>
    <x v="3"/>
    <x v="1"/>
    <x v="4"/>
    <x v="0"/>
    <n v="2"/>
    <x v="0"/>
  </r>
  <r>
    <x v="11"/>
    <x v="94"/>
    <x v="1"/>
    <x v="0"/>
    <x v="3"/>
    <x v="1"/>
    <x v="2"/>
    <x v="1"/>
    <x v="4"/>
    <x v="0"/>
    <n v="2"/>
    <x v="0"/>
  </r>
  <r>
    <x v="11"/>
    <x v="95"/>
    <x v="4"/>
    <x v="0"/>
    <x v="50"/>
    <x v="1"/>
    <x v="2"/>
    <x v="1"/>
    <x v="4"/>
    <x v="0"/>
    <n v="2"/>
    <x v="0"/>
  </r>
  <r>
    <x v="12"/>
    <x v="96"/>
    <x v="7"/>
    <x v="0"/>
    <x v="48"/>
    <x v="0"/>
    <x v="1"/>
    <x v="0"/>
    <x v="5"/>
    <x v="0"/>
    <n v="3"/>
    <x v="0"/>
  </r>
  <r>
    <x v="12"/>
    <x v="97"/>
    <x v="7"/>
    <x v="0"/>
    <x v="3"/>
    <x v="1"/>
    <x v="2"/>
    <x v="0"/>
    <x v="5"/>
    <x v="0"/>
    <n v="3"/>
    <x v="0"/>
  </r>
  <r>
    <x v="12"/>
    <x v="98"/>
    <x v="1"/>
    <x v="0"/>
    <x v="51"/>
    <x v="1"/>
    <x v="2"/>
    <x v="1"/>
    <x v="5"/>
    <x v="0"/>
    <n v="3"/>
    <x v="0"/>
  </r>
  <r>
    <x v="12"/>
    <x v="99"/>
    <x v="1"/>
    <x v="0"/>
    <x v="51"/>
    <x v="1"/>
    <x v="2"/>
    <x v="1"/>
    <x v="5"/>
    <x v="0"/>
    <n v="3"/>
    <x v="0"/>
  </r>
  <r>
    <x v="12"/>
    <x v="100"/>
    <x v="1"/>
    <x v="1"/>
    <x v="10"/>
    <x v="7"/>
    <x v="6"/>
    <x v="1"/>
    <x v="5"/>
    <x v="0"/>
    <n v="3"/>
    <x v="0"/>
  </r>
  <r>
    <x v="12"/>
    <x v="101"/>
    <x v="8"/>
    <x v="0"/>
    <x v="52"/>
    <x v="2"/>
    <x v="3"/>
    <x v="1"/>
    <x v="5"/>
    <x v="0"/>
    <n v="3"/>
    <x v="0"/>
  </r>
  <r>
    <x v="12"/>
    <x v="102"/>
    <x v="3"/>
    <x v="0"/>
    <x v="53"/>
    <x v="4"/>
    <x v="6"/>
    <x v="1"/>
    <x v="5"/>
    <x v="0"/>
    <n v="3"/>
    <x v="0"/>
  </r>
  <r>
    <x v="12"/>
    <x v="103"/>
    <x v="3"/>
    <x v="0"/>
    <x v="53"/>
    <x v="4"/>
    <x v="6"/>
    <x v="1"/>
    <x v="5"/>
    <x v="0"/>
    <n v="3"/>
    <x v="0"/>
  </r>
  <r>
    <x v="12"/>
    <x v="104"/>
    <x v="4"/>
    <x v="0"/>
    <x v="54"/>
    <x v="4"/>
    <x v="6"/>
    <x v="1"/>
    <x v="5"/>
    <x v="0"/>
    <n v="3"/>
    <x v="0"/>
  </r>
  <r>
    <x v="13"/>
    <x v="105"/>
    <x v="0"/>
    <x v="1"/>
    <x v="10"/>
    <x v="3"/>
    <x v="0"/>
    <x v="0"/>
    <x v="6"/>
    <x v="0"/>
    <n v="4"/>
    <x v="0"/>
  </r>
  <r>
    <x v="13"/>
    <x v="106"/>
    <x v="0"/>
    <x v="0"/>
    <x v="55"/>
    <x v="0"/>
    <x v="0"/>
    <x v="0"/>
    <x v="6"/>
    <x v="0"/>
    <n v="4"/>
    <x v="0"/>
  </r>
  <r>
    <x v="13"/>
    <x v="107"/>
    <x v="0"/>
    <x v="0"/>
    <x v="55"/>
    <x v="0"/>
    <x v="1"/>
    <x v="0"/>
    <x v="6"/>
    <x v="0"/>
    <n v="4"/>
    <x v="0"/>
  </r>
  <r>
    <x v="13"/>
    <x v="108"/>
    <x v="2"/>
    <x v="0"/>
    <x v="12"/>
    <x v="1"/>
    <x v="5"/>
    <x v="1"/>
    <x v="6"/>
    <x v="0"/>
    <n v="4"/>
    <x v="0"/>
  </r>
  <r>
    <x v="13"/>
    <x v="109"/>
    <x v="2"/>
    <x v="0"/>
    <x v="12"/>
    <x v="1"/>
    <x v="2"/>
    <x v="1"/>
    <x v="6"/>
    <x v="0"/>
    <n v="4"/>
    <x v="0"/>
  </r>
  <r>
    <x v="13"/>
    <x v="110"/>
    <x v="2"/>
    <x v="0"/>
    <x v="56"/>
    <x v="2"/>
    <x v="3"/>
    <x v="1"/>
    <x v="6"/>
    <x v="0"/>
    <n v="4"/>
    <x v="0"/>
  </r>
  <r>
    <x v="13"/>
    <x v="111"/>
    <x v="2"/>
    <x v="0"/>
    <x v="57"/>
    <x v="4"/>
    <x v="6"/>
    <x v="1"/>
    <x v="6"/>
    <x v="0"/>
    <n v="4"/>
    <x v="0"/>
  </r>
  <r>
    <x v="13"/>
    <x v="112"/>
    <x v="3"/>
    <x v="0"/>
    <x v="58"/>
    <x v="0"/>
    <x v="0"/>
    <x v="1"/>
    <x v="6"/>
    <x v="0"/>
    <n v="4"/>
    <x v="0"/>
  </r>
  <r>
    <x v="13"/>
    <x v="113"/>
    <x v="4"/>
    <x v="0"/>
    <x v="59"/>
    <x v="2"/>
    <x v="3"/>
    <x v="1"/>
    <x v="6"/>
    <x v="0"/>
    <n v="4"/>
    <x v="0"/>
  </r>
  <r>
    <x v="13"/>
    <x v="114"/>
    <x v="4"/>
    <x v="0"/>
    <x v="50"/>
    <x v="4"/>
    <x v="6"/>
    <x v="1"/>
    <x v="6"/>
    <x v="0"/>
    <n v="4"/>
    <x v="0"/>
  </r>
  <r>
    <x v="13"/>
    <x v="115"/>
    <x v="5"/>
    <x v="0"/>
    <x v="19"/>
    <x v="0"/>
    <x v="1"/>
    <x v="2"/>
    <x v="6"/>
    <x v="0"/>
    <n v="4"/>
    <x v="0"/>
  </r>
  <r>
    <x v="13"/>
    <x v="116"/>
    <x v="6"/>
    <x v="0"/>
    <x v="12"/>
    <x v="1"/>
    <x v="5"/>
    <x v="2"/>
    <x v="6"/>
    <x v="0"/>
    <n v="4"/>
    <x v="0"/>
  </r>
  <r>
    <x v="14"/>
    <x v="117"/>
    <x v="0"/>
    <x v="1"/>
    <x v="10"/>
    <x v="3"/>
    <x v="0"/>
    <x v="0"/>
    <x v="0"/>
    <x v="0"/>
    <n v="5"/>
    <x v="0"/>
  </r>
  <r>
    <x v="14"/>
    <x v="118"/>
    <x v="0"/>
    <x v="0"/>
    <x v="60"/>
    <x v="0"/>
    <x v="1"/>
    <x v="0"/>
    <x v="0"/>
    <x v="0"/>
    <n v="5"/>
    <x v="0"/>
  </r>
  <r>
    <x v="14"/>
    <x v="119"/>
    <x v="5"/>
    <x v="0"/>
    <x v="12"/>
    <x v="1"/>
    <x v="2"/>
    <x v="2"/>
    <x v="0"/>
    <x v="0"/>
    <n v="5"/>
    <x v="0"/>
  </r>
  <r>
    <x v="15"/>
    <x v="120"/>
    <x v="1"/>
    <x v="0"/>
    <x v="61"/>
    <x v="2"/>
    <x v="3"/>
    <x v="1"/>
    <x v="1"/>
    <x v="0"/>
    <n v="6"/>
    <x v="0"/>
  </r>
  <r>
    <x v="15"/>
    <x v="121"/>
    <x v="1"/>
    <x v="0"/>
    <x v="61"/>
    <x v="1"/>
    <x v="2"/>
    <x v="1"/>
    <x v="1"/>
    <x v="0"/>
    <n v="6"/>
    <x v="0"/>
  </r>
  <r>
    <x v="15"/>
    <x v="122"/>
    <x v="3"/>
    <x v="0"/>
    <x v="8"/>
    <x v="1"/>
    <x v="5"/>
    <x v="1"/>
    <x v="1"/>
    <x v="0"/>
    <n v="6"/>
    <x v="0"/>
  </r>
  <r>
    <x v="15"/>
    <x v="123"/>
    <x v="4"/>
    <x v="0"/>
    <x v="8"/>
    <x v="1"/>
    <x v="5"/>
    <x v="1"/>
    <x v="1"/>
    <x v="0"/>
    <n v="6"/>
    <x v="0"/>
  </r>
  <r>
    <x v="15"/>
    <x v="124"/>
    <x v="4"/>
    <x v="0"/>
    <x v="12"/>
    <x v="1"/>
    <x v="5"/>
    <x v="1"/>
    <x v="1"/>
    <x v="0"/>
    <n v="6"/>
    <x v="0"/>
  </r>
  <r>
    <x v="15"/>
    <x v="125"/>
    <x v="9"/>
    <x v="0"/>
    <x v="62"/>
    <x v="2"/>
    <x v="3"/>
    <x v="2"/>
    <x v="1"/>
    <x v="0"/>
    <n v="6"/>
    <x v="0"/>
  </r>
  <r>
    <x v="16"/>
    <x v="126"/>
    <x v="0"/>
    <x v="1"/>
    <x v="10"/>
    <x v="3"/>
    <x v="0"/>
    <x v="0"/>
    <x v="2"/>
    <x v="0"/>
    <n v="7"/>
    <x v="0"/>
  </r>
  <r>
    <x v="16"/>
    <x v="127"/>
    <x v="1"/>
    <x v="0"/>
    <x v="63"/>
    <x v="1"/>
    <x v="5"/>
    <x v="1"/>
    <x v="2"/>
    <x v="0"/>
    <n v="7"/>
    <x v="0"/>
  </r>
  <r>
    <x v="17"/>
    <x v="128"/>
    <x v="7"/>
    <x v="0"/>
    <x v="64"/>
    <x v="1"/>
    <x v="5"/>
    <x v="0"/>
    <x v="3"/>
    <x v="0"/>
    <n v="1"/>
    <x v="0"/>
  </r>
  <r>
    <x v="17"/>
    <x v="129"/>
    <x v="3"/>
    <x v="0"/>
    <x v="2"/>
    <x v="1"/>
    <x v="2"/>
    <x v="1"/>
    <x v="3"/>
    <x v="0"/>
    <n v="1"/>
    <x v="0"/>
  </r>
  <r>
    <x v="17"/>
    <x v="130"/>
    <x v="3"/>
    <x v="0"/>
    <x v="2"/>
    <x v="1"/>
    <x v="2"/>
    <x v="1"/>
    <x v="3"/>
    <x v="0"/>
    <n v="1"/>
    <x v="0"/>
  </r>
  <r>
    <x v="17"/>
    <x v="131"/>
    <x v="3"/>
    <x v="0"/>
    <x v="2"/>
    <x v="1"/>
    <x v="2"/>
    <x v="1"/>
    <x v="3"/>
    <x v="0"/>
    <n v="1"/>
    <x v="0"/>
  </r>
  <r>
    <x v="18"/>
    <x v="132"/>
    <x v="0"/>
    <x v="1"/>
    <x v="10"/>
    <x v="6"/>
    <x v="5"/>
    <x v="0"/>
    <x v="4"/>
    <x v="0"/>
    <n v="2"/>
    <x v="0"/>
  </r>
  <r>
    <x v="18"/>
    <x v="133"/>
    <x v="8"/>
    <x v="0"/>
    <x v="65"/>
    <x v="0"/>
    <x v="0"/>
    <x v="1"/>
    <x v="4"/>
    <x v="0"/>
    <n v="2"/>
    <x v="0"/>
  </r>
  <r>
    <x v="18"/>
    <x v="134"/>
    <x v="8"/>
    <x v="0"/>
    <x v="65"/>
    <x v="0"/>
    <x v="0"/>
    <x v="1"/>
    <x v="4"/>
    <x v="0"/>
    <n v="2"/>
    <x v="0"/>
  </r>
  <r>
    <x v="18"/>
    <x v="135"/>
    <x v="3"/>
    <x v="0"/>
    <x v="49"/>
    <x v="0"/>
    <x v="1"/>
    <x v="1"/>
    <x v="4"/>
    <x v="0"/>
    <n v="2"/>
    <x v="0"/>
  </r>
  <r>
    <x v="18"/>
    <x v="136"/>
    <x v="4"/>
    <x v="0"/>
    <x v="66"/>
    <x v="2"/>
    <x v="3"/>
    <x v="1"/>
    <x v="4"/>
    <x v="0"/>
    <n v="2"/>
    <x v="0"/>
  </r>
  <r>
    <x v="18"/>
    <x v="137"/>
    <x v="6"/>
    <x v="1"/>
    <x v="10"/>
    <x v="3"/>
    <x v="1"/>
    <x v="2"/>
    <x v="4"/>
    <x v="0"/>
    <n v="2"/>
    <x v="0"/>
  </r>
  <r>
    <x v="19"/>
    <x v="138"/>
    <x v="7"/>
    <x v="0"/>
    <x v="12"/>
    <x v="1"/>
    <x v="5"/>
    <x v="0"/>
    <x v="5"/>
    <x v="0"/>
    <n v="3"/>
    <x v="0"/>
  </r>
  <r>
    <x v="19"/>
    <x v="139"/>
    <x v="1"/>
    <x v="1"/>
    <x v="10"/>
    <x v="3"/>
    <x v="0"/>
    <x v="1"/>
    <x v="5"/>
    <x v="0"/>
    <n v="3"/>
    <x v="0"/>
  </r>
  <r>
    <x v="19"/>
    <x v="140"/>
    <x v="1"/>
    <x v="0"/>
    <x v="49"/>
    <x v="1"/>
    <x v="5"/>
    <x v="1"/>
    <x v="5"/>
    <x v="0"/>
    <n v="3"/>
    <x v="0"/>
  </r>
  <r>
    <x v="19"/>
    <x v="141"/>
    <x v="2"/>
    <x v="0"/>
    <x v="67"/>
    <x v="0"/>
    <x v="7"/>
    <x v="1"/>
    <x v="5"/>
    <x v="0"/>
    <n v="3"/>
    <x v="0"/>
  </r>
  <r>
    <x v="19"/>
    <x v="142"/>
    <x v="4"/>
    <x v="0"/>
    <x v="50"/>
    <x v="0"/>
    <x v="4"/>
    <x v="1"/>
    <x v="5"/>
    <x v="0"/>
    <n v="3"/>
    <x v="0"/>
  </r>
  <r>
    <x v="19"/>
    <x v="143"/>
    <x v="9"/>
    <x v="0"/>
    <x v="68"/>
    <x v="0"/>
    <x v="0"/>
    <x v="2"/>
    <x v="5"/>
    <x v="0"/>
    <n v="3"/>
    <x v="0"/>
  </r>
  <r>
    <x v="20"/>
    <x v="144"/>
    <x v="0"/>
    <x v="1"/>
    <x v="10"/>
    <x v="3"/>
    <x v="7"/>
    <x v="0"/>
    <x v="6"/>
    <x v="0"/>
    <n v="4"/>
    <x v="0"/>
  </r>
  <r>
    <x v="20"/>
    <x v="145"/>
    <x v="1"/>
    <x v="0"/>
    <x v="12"/>
    <x v="1"/>
    <x v="5"/>
    <x v="1"/>
    <x v="6"/>
    <x v="0"/>
    <n v="4"/>
    <x v="0"/>
  </r>
  <r>
    <x v="20"/>
    <x v="146"/>
    <x v="1"/>
    <x v="0"/>
    <x v="12"/>
    <x v="0"/>
    <x v="7"/>
    <x v="1"/>
    <x v="6"/>
    <x v="0"/>
    <n v="4"/>
    <x v="0"/>
  </r>
  <r>
    <x v="20"/>
    <x v="147"/>
    <x v="9"/>
    <x v="1"/>
    <x v="10"/>
    <x v="6"/>
    <x v="2"/>
    <x v="2"/>
    <x v="6"/>
    <x v="0"/>
    <n v="4"/>
    <x v="0"/>
  </r>
  <r>
    <x v="20"/>
    <x v="148"/>
    <x v="9"/>
    <x v="0"/>
    <x v="12"/>
    <x v="1"/>
    <x v="5"/>
    <x v="2"/>
    <x v="6"/>
    <x v="0"/>
    <n v="4"/>
    <x v="0"/>
  </r>
  <r>
    <x v="20"/>
    <x v="149"/>
    <x v="6"/>
    <x v="0"/>
    <x v="69"/>
    <x v="0"/>
    <x v="0"/>
    <x v="2"/>
    <x v="6"/>
    <x v="0"/>
    <n v="4"/>
    <x v="0"/>
  </r>
  <r>
    <x v="21"/>
    <x v="150"/>
    <x v="0"/>
    <x v="0"/>
    <x v="70"/>
    <x v="2"/>
    <x v="3"/>
    <x v="0"/>
    <x v="0"/>
    <x v="0"/>
    <n v="5"/>
    <x v="0"/>
  </r>
  <r>
    <x v="21"/>
    <x v="151"/>
    <x v="2"/>
    <x v="0"/>
    <x v="71"/>
    <x v="2"/>
    <x v="3"/>
    <x v="1"/>
    <x v="0"/>
    <x v="0"/>
    <n v="5"/>
    <x v="0"/>
  </r>
  <r>
    <x v="21"/>
    <x v="152"/>
    <x v="4"/>
    <x v="1"/>
    <x v="10"/>
    <x v="3"/>
    <x v="7"/>
    <x v="1"/>
    <x v="0"/>
    <x v="0"/>
    <n v="5"/>
    <x v="0"/>
  </r>
  <r>
    <x v="21"/>
    <x v="153"/>
    <x v="9"/>
    <x v="0"/>
    <x v="12"/>
    <x v="1"/>
    <x v="2"/>
    <x v="2"/>
    <x v="0"/>
    <x v="0"/>
    <n v="5"/>
    <x v="0"/>
  </r>
  <r>
    <x v="21"/>
    <x v="154"/>
    <x v="9"/>
    <x v="0"/>
    <x v="12"/>
    <x v="4"/>
    <x v="6"/>
    <x v="2"/>
    <x v="0"/>
    <x v="0"/>
    <n v="5"/>
    <x v="0"/>
  </r>
  <r>
    <x v="21"/>
    <x v="155"/>
    <x v="9"/>
    <x v="0"/>
    <x v="50"/>
    <x v="1"/>
    <x v="2"/>
    <x v="2"/>
    <x v="0"/>
    <x v="0"/>
    <n v="5"/>
    <x v="0"/>
  </r>
  <r>
    <x v="22"/>
    <x v="156"/>
    <x v="0"/>
    <x v="0"/>
    <x v="72"/>
    <x v="0"/>
    <x v="0"/>
    <x v="0"/>
    <x v="1"/>
    <x v="0"/>
    <n v="6"/>
    <x v="0"/>
  </r>
  <r>
    <x v="22"/>
    <x v="157"/>
    <x v="0"/>
    <x v="0"/>
    <x v="73"/>
    <x v="2"/>
    <x v="3"/>
    <x v="0"/>
    <x v="1"/>
    <x v="0"/>
    <n v="6"/>
    <x v="0"/>
  </r>
  <r>
    <x v="22"/>
    <x v="158"/>
    <x v="2"/>
    <x v="0"/>
    <x v="74"/>
    <x v="0"/>
    <x v="7"/>
    <x v="1"/>
    <x v="1"/>
    <x v="0"/>
    <n v="6"/>
    <x v="0"/>
  </r>
  <r>
    <x v="22"/>
    <x v="159"/>
    <x v="2"/>
    <x v="0"/>
    <x v="74"/>
    <x v="0"/>
    <x v="4"/>
    <x v="1"/>
    <x v="1"/>
    <x v="0"/>
    <n v="6"/>
    <x v="0"/>
  </r>
  <r>
    <x v="22"/>
    <x v="160"/>
    <x v="8"/>
    <x v="0"/>
    <x v="75"/>
    <x v="2"/>
    <x v="3"/>
    <x v="1"/>
    <x v="1"/>
    <x v="0"/>
    <n v="6"/>
    <x v="0"/>
  </r>
  <r>
    <x v="22"/>
    <x v="161"/>
    <x v="3"/>
    <x v="0"/>
    <x v="76"/>
    <x v="0"/>
    <x v="0"/>
    <x v="1"/>
    <x v="1"/>
    <x v="0"/>
    <n v="6"/>
    <x v="0"/>
  </r>
  <r>
    <x v="22"/>
    <x v="162"/>
    <x v="3"/>
    <x v="0"/>
    <x v="76"/>
    <x v="2"/>
    <x v="3"/>
    <x v="1"/>
    <x v="1"/>
    <x v="0"/>
    <n v="6"/>
    <x v="0"/>
  </r>
  <r>
    <x v="22"/>
    <x v="163"/>
    <x v="4"/>
    <x v="0"/>
    <x v="8"/>
    <x v="1"/>
    <x v="5"/>
    <x v="1"/>
    <x v="1"/>
    <x v="0"/>
    <n v="6"/>
    <x v="0"/>
  </r>
  <r>
    <x v="23"/>
    <x v="164"/>
    <x v="0"/>
    <x v="1"/>
    <x v="10"/>
    <x v="3"/>
    <x v="0"/>
    <x v="0"/>
    <x v="2"/>
    <x v="0"/>
    <n v="7"/>
    <x v="0"/>
  </r>
  <r>
    <x v="23"/>
    <x v="165"/>
    <x v="5"/>
    <x v="0"/>
    <x v="77"/>
    <x v="0"/>
    <x v="0"/>
    <x v="2"/>
    <x v="2"/>
    <x v="0"/>
    <n v="7"/>
    <x v="0"/>
  </r>
  <r>
    <x v="24"/>
    <x v="166"/>
    <x v="0"/>
    <x v="0"/>
    <x v="8"/>
    <x v="0"/>
    <x v="0"/>
    <x v="0"/>
    <x v="3"/>
    <x v="0"/>
    <n v="1"/>
    <x v="0"/>
  </r>
  <r>
    <x v="24"/>
    <x v="167"/>
    <x v="7"/>
    <x v="1"/>
    <x v="10"/>
    <x v="5"/>
    <x v="3"/>
    <x v="0"/>
    <x v="3"/>
    <x v="0"/>
    <n v="1"/>
    <x v="0"/>
  </r>
  <r>
    <x v="24"/>
    <x v="168"/>
    <x v="8"/>
    <x v="0"/>
    <x v="78"/>
    <x v="0"/>
    <x v="0"/>
    <x v="1"/>
    <x v="3"/>
    <x v="0"/>
    <n v="1"/>
    <x v="0"/>
  </r>
  <r>
    <x v="24"/>
    <x v="169"/>
    <x v="8"/>
    <x v="0"/>
    <x v="17"/>
    <x v="0"/>
    <x v="0"/>
    <x v="1"/>
    <x v="3"/>
    <x v="0"/>
    <n v="1"/>
    <x v="0"/>
  </r>
  <r>
    <x v="24"/>
    <x v="170"/>
    <x v="5"/>
    <x v="0"/>
    <x v="24"/>
    <x v="2"/>
    <x v="3"/>
    <x v="2"/>
    <x v="3"/>
    <x v="0"/>
    <n v="1"/>
    <x v="0"/>
  </r>
  <r>
    <x v="24"/>
    <x v="171"/>
    <x v="6"/>
    <x v="0"/>
    <x v="79"/>
    <x v="0"/>
    <x v="7"/>
    <x v="2"/>
    <x v="3"/>
    <x v="0"/>
    <n v="1"/>
    <x v="0"/>
  </r>
  <r>
    <x v="25"/>
    <x v="172"/>
    <x v="0"/>
    <x v="0"/>
    <x v="55"/>
    <x v="0"/>
    <x v="4"/>
    <x v="0"/>
    <x v="4"/>
    <x v="0"/>
    <n v="2"/>
    <x v="0"/>
  </r>
  <r>
    <x v="25"/>
    <x v="173"/>
    <x v="0"/>
    <x v="0"/>
    <x v="55"/>
    <x v="0"/>
    <x v="0"/>
    <x v="0"/>
    <x v="4"/>
    <x v="0"/>
    <n v="2"/>
    <x v="0"/>
  </r>
  <r>
    <x v="25"/>
    <x v="174"/>
    <x v="0"/>
    <x v="0"/>
    <x v="80"/>
    <x v="0"/>
    <x v="0"/>
    <x v="0"/>
    <x v="4"/>
    <x v="0"/>
    <n v="2"/>
    <x v="0"/>
  </r>
  <r>
    <x v="25"/>
    <x v="175"/>
    <x v="7"/>
    <x v="0"/>
    <x v="8"/>
    <x v="1"/>
    <x v="5"/>
    <x v="0"/>
    <x v="4"/>
    <x v="0"/>
    <n v="2"/>
    <x v="0"/>
  </r>
  <r>
    <x v="25"/>
    <x v="176"/>
    <x v="2"/>
    <x v="0"/>
    <x v="2"/>
    <x v="1"/>
    <x v="2"/>
    <x v="1"/>
    <x v="4"/>
    <x v="0"/>
    <n v="2"/>
    <x v="0"/>
  </r>
  <r>
    <x v="25"/>
    <x v="177"/>
    <x v="2"/>
    <x v="0"/>
    <x v="32"/>
    <x v="1"/>
    <x v="5"/>
    <x v="1"/>
    <x v="4"/>
    <x v="0"/>
    <n v="2"/>
    <x v="0"/>
  </r>
  <r>
    <x v="25"/>
    <x v="178"/>
    <x v="2"/>
    <x v="0"/>
    <x v="59"/>
    <x v="1"/>
    <x v="5"/>
    <x v="1"/>
    <x v="4"/>
    <x v="0"/>
    <n v="2"/>
    <x v="0"/>
  </r>
  <r>
    <x v="25"/>
    <x v="179"/>
    <x v="2"/>
    <x v="0"/>
    <x v="50"/>
    <x v="1"/>
    <x v="2"/>
    <x v="1"/>
    <x v="4"/>
    <x v="0"/>
    <n v="2"/>
    <x v="0"/>
  </r>
  <r>
    <x v="25"/>
    <x v="180"/>
    <x v="3"/>
    <x v="0"/>
    <x v="81"/>
    <x v="0"/>
    <x v="0"/>
    <x v="1"/>
    <x v="4"/>
    <x v="0"/>
    <n v="2"/>
    <x v="0"/>
  </r>
  <r>
    <x v="25"/>
    <x v="181"/>
    <x v="5"/>
    <x v="0"/>
    <x v="24"/>
    <x v="0"/>
    <x v="0"/>
    <x v="2"/>
    <x v="4"/>
    <x v="0"/>
    <n v="2"/>
    <x v="0"/>
  </r>
  <r>
    <x v="25"/>
    <x v="182"/>
    <x v="5"/>
    <x v="0"/>
    <x v="8"/>
    <x v="0"/>
    <x v="1"/>
    <x v="2"/>
    <x v="4"/>
    <x v="0"/>
    <n v="2"/>
    <x v="0"/>
  </r>
  <r>
    <x v="26"/>
    <x v="183"/>
    <x v="7"/>
    <x v="0"/>
    <x v="2"/>
    <x v="1"/>
    <x v="5"/>
    <x v="0"/>
    <x v="5"/>
    <x v="0"/>
    <n v="3"/>
    <x v="0"/>
  </r>
  <r>
    <x v="26"/>
    <x v="184"/>
    <x v="7"/>
    <x v="0"/>
    <x v="2"/>
    <x v="2"/>
    <x v="3"/>
    <x v="0"/>
    <x v="5"/>
    <x v="0"/>
    <n v="3"/>
    <x v="0"/>
  </r>
  <r>
    <x v="26"/>
    <x v="185"/>
    <x v="1"/>
    <x v="0"/>
    <x v="82"/>
    <x v="2"/>
    <x v="3"/>
    <x v="1"/>
    <x v="5"/>
    <x v="0"/>
    <n v="3"/>
    <x v="0"/>
  </r>
  <r>
    <x v="26"/>
    <x v="186"/>
    <x v="2"/>
    <x v="0"/>
    <x v="83"/>
    <x v="0"/>
    <x v="1"/>
    <x v="1"/>
    <x v="5"/>
    <x v="0"/>
    <n v="3"/>
    <x v="0"/>
  </r>
  <r>
    <x v="26"/>
    <x v="187"/>
    <x v="8"/>
    <x v="0"/>
    <x v="12"/>
    <x v="0"/>
    <x v="7"/>
    <x v="1"/>
    <x v="5"/>
    <x v="0"/>
    <n v="3"/>
    <x v="0"/>
  </r>
  <r>
    <x v="26"/>
    <x v="188"/>
    <x v="8"/>
    <x v="0"/>
    <x v="12"/>
    <x v="1"/>
    <x v="2"/>
    <x v="1"/>
    <x v="5"/>
    <x v="0"/>
    <n v="3"/>
    <x v="0"/>
  </r>
  <r>
    <x v="26"/>
    <x v="189"/>
    <x v="5"/>
    <x v="0"/>
    <x v="84"/>
    <x v="1"/>
    <x v="5"/>
    <x v="2"/>
    <x v="5"/>
    <x v="0"/>
    <n v="3"/>
    <x v="0"/>
  </r>
  <r>
    <x v="26"/>
    <x v="190"/>
    <x v="6"/>
    <x v="1"/>
    <x v="10"/>
    <x v="3"/>
    <x v="0"/>
    <x v="2"/>
    <x v="5"/>
    <x v="0"/>
    <n v="3"/>
    <x v="0"/>
  </r>
  <r>
    <x v="27"/>
    <x v="191"/>
    <x v="8"/>
    <x v="0"/>
    <x v="85"/>
    <x v="1"/>
    <x v="5"/>
    <x v="1"/>
    <x v="6"/>
    <x v="0"/>
    <n v="4"/>
    <x v="0"/>
  </r>
  <r>
    <x v="27"/>
    <x v="192"/>
    <x v="9"/>
    <x v="0"/>
    <x v="12"/>
    <x v="1"/>
    <x v="5"/>
    <x v="2"/>
    <x v="6"/>
    <x v="0"/>
    <n v="4"/>
    <x v="0"/>
  </r>
  <r>
    <x v="27"/>
    <x v="193"/>
    <x v="9"/>
    <x v="0"/>
    <x v="12"/>
    <x v="1"/>
    <x v="2"/>
    <x v="2"/>
    <x v="6"/>
    <x v="0"/>
    <n v="4"/>
    <x v="0"/>
  </r>
  <r>
    <x v="27"/>
    <x v="194"/>
    <x v="9"/>
    <x v="0"/>
    <x v="86"/>
    <x v="0"/>
    <x v="0"/>
    <x v="2"/>
    <x v="6"/>
    <x v="0"/>
    <n v="4"/>
    <x v="0"/>
  </r>
  <r>
    <x v="28"/>
    <x v="195"/>
    <x v="0"/>
    <x v="0"/>
    <x v="87"/>
    <x v="0"/>
    <x v="0"/>
    <x v="0"/>
    <x v="0"/>
    <x v="0"/>
    <n v="5"/>
    <x v="0"/>
  </r>
  <r>
    <x v="28"/>
    <x v="196"/>
    <x v="1"/>
    <x v="0"/>
    <x v="88"/>
    <x v="0"/>
    <x v="7"/>
    <x v="1"/>
    <x v="0"/>
    <x v="0"/>
    <n v="5"/>
    <x v="0"/>
  </r>
  <r>
    <x v="28"/>
    <x v="197"/>
    <x v="1"/>
    <x v="0"/>
    <x v="88"/>
    <x v="0"/>
    <x v="7"/>
    <x v="1"/>
    <x v="0"/>
    <x v="0"/>
    <n v="5"/>
    <x v="0"/>
  </r>
  <r>
    <x v="28"/>
    <x v="198"/>
    <x v="2"/>
    <x v="1"/>
    <x v="10"/>
    <x v="3"/>
    <x v="7"/>
    <x v="1"/>
    <x v="0"/>
    <x v="0"/>
    <n v="5"/>
    <x v="0"/>
  </r>
  <r>
    <x v="29"/>
    <x v="199"/>
    <x v="7"/>
    <x v="0"/>
    <x v="69"/>
    <x v="0"/>
    <x v="0"/>
    <x v="0"/>
    <x v="1"/>
    <x v="0"/>
    <n v="6"/>
    <x v="0"/>
  </r>
  <r>
    <x v="29"/>
    <x v="200"/>
    <x v="2"/>
    <x v="1"/>
    <x v="10"/>
    <x v="3"/>
    <x v="7"/>
    <x v="1"/>
    <x v="1"/>
    <x v="0"/>
    <n v="6"/>
    <x v="0"/>
  </r>
  <r>
    <x v="29"/>
    <x v="201"/>
    <x v="4"/>
    <x v="0"/>
    <x v="17"/>
    <x v="0"/>
    <x v="0"/>
    <x v="1"/>
    <x v="1"/>
    <x v="0"/>
    <n v="6"/>
    <x v="0"/>
  </r>
  <r>
    <x v="29"/>
    <x v="202"/>
    <x v="4"/>
    <x v="0"/>
    <x v="8"/>
    <x v="0"/>
    <x v="0"/>
    <x v="1"/>
    <x v="1"/>
    <x v="0"/>
    <n v="6"/>
    <x v="0"/>
  </r>
  <r>
    <x v="29"/>
    <x v="203"/>
    <x v="4"/>
    <x v="0"/>
    <x v="8"/>
    <x v="2"/>
    <x v="3"/>
    <x v="1"/>
    <x v="1"/>
    <x v="0"/>
    <n v="6"/>
    <x v="0"/>
  </r>
  <r>
    <x v="30"/>
    <x v="204"/>
    <x v="0"/>
    <x v="0"/>
    <x v="89"/>
    <x v="0"/>
    <x v="7"/>
    <x v="0"/>
    <x v="2"/>
    <x v="0"/>
    <n v="7"/>
    <x v="0"/>
  </r>
  <r>
    <x v="30"/>
    <x v="205"/>
    <x v="6"/>
    <x v="1"/>
    <x v="10"/>
    <x v="6"/>
    <x v="2"/>
    <x v="2"/>
    <x v="2"/>
    <x v="0"/>
    <n v="7"/>
    <x v="0"/>
  </r>
  <r>
    <x v="31"/>
    <x v="206"/>
    <x v="0"/>
    <x v="0"/>
    <x v="3"/>
    <x v="1"/>
    <x v="2"/>
    <x v="0"/>
    <x v="3"/>
    <x v="1"/>
    <n v="1"/>
    <x v="1"/>
  </r>
  <r>
    <x v="31"/>
    <x v="207"/>
    <x v="0"/>
    <x v="0"/>
    <x v="3"/>
    <x v="2"/>
    <x v="3"/>
    <x v="0"/>
    <x v="3"/>
    <x v="1"/>
    <n v="1"/>
    <x v="1"/>
  </r>
  <r>
    <x v="31"/>
    <x v="208"/>
    <x v="0"/>
    <x v="0"/>
    <x v="3"/>
    <x v="2"/>
    <x v="3"/>
    <x v="0"/>
    <x v="3"/>
    <x v="1"/>
    <n v="1"/>
    <x v="1"/>
  </r>
  <r>
    <x v="31"/>
    <x v="209"/>
    <x v="7"/>
    <x v="0"/>
    <x v="8"/>
    <x v="2"/>
    <x v="3"/>
    <x v="0"/>
    <x v="3"/>
    <x v="1"/>
    <n v="1"/>
    <x v="1"/>
  </r>
  <r>
    <x v="31"/>
    <x v="210"/>
    <x v="9"/>
    <x v="1"/>
    <x v="10"/>
    <x v="3"/>
    <x v="7"/>
    <x v="2"/>
    <x v="3"/>
    <x v="1"/>
    <n v="1"/>
    <x v="1"/>
  </r>
  <r>
    <x v="31"/>
    <x v="211"/>
    <x v="5"/>
    <x v="0"/>
    <x v="24"/>
    <x v="2"/>
    <x v="3"/>
    <x v="2"/>
    <x v="3"/>
    <x v="1"/>
    <n v="1"/>
    <x v="1"/>
  </r>
  <r>
    <x v="31"/>
    <x v="212"/>
    <x v="5"/>
    <x v="0"/>
    <x v="90"/>
    <x v="0"/>
    <x v="1"/>
    <x v="2"/>
    <x v="3"/>
    <x v="1"/>
    <n v="1"/>
    <x v="1"/>
  </r>
  <r>
    <x v="32"/>
    <x v="213"/>
    <x v="0"/>
    <x v="0"/>
    <x v="0"/>
    <x v="0"/>
    <x v="0"/>
    <x v="0"/>
    <x v="4"/>
    <x v="1"/>
    <n v="2"/>
    <x v="1"/>
  </r>
  <r>
    <x v="32"/>
    <x v="214"/>
    <x v="4"/>
    <x v="0"/>
    <x v="2"/>
    <x v="1"/>
    <x v="2"/>
    <x v="1"/>
    <x v="4"/>
    <x v="1"/>
    <n v="2"/>
    <x v="1"/>
  </r>
  <r>
    <x v="32"/>
    <x v="215"/>
    <x v="4"/>
    <x v="0"/>
    <x v="2"/>
    <x v="1"/>
    <x v="5"/>
    <x v="1"/>
    <x v="4"/>
    <x v="1"/>
    <n v="2"/>
    <x v="1"/>
  </r>
  <r>
    <x v="32"/>
    <x v="216"/>
    <x v="6"/>
    <x v="1"/>
    <x v="10"/>
    <x v="3"/>
    <x v="7"/>
    <x v="2"/>
    <x v="4"/>
    <x v="1"/>
    <n v="2"/>
    <x v="1"/>
  </r>
  <r>
    <x v="33"/>
    <x v="217"/>
    <x v="0"/>
    <x v="0"/>
    <x v="2"/>
    <x v="1"/>
    <x v="5"/>
    <x v="0"/>
    <x v="5"/>
    <x v="1"/>
    <n v="3"/>
    <x v="1"/>
  </r>
  <r>
    <x v="33"/>
    <x v="218"/>
    <x v="0"/>
    <x v="0"/>
    <x v="2"/>
    <x v="1"/>
    <x v="2"/>
    <x v="0"/>
    <x v="5"/>
    <x v="1"/>
    <n v="3"/>
    <x v="1"/>
  </r>
  <r>
    <x v="33"/>
    <x v="219"/>
    <x v="2"/>
    <x v="0"/>
    <x v="12"/>
    <x v="0"/>
    <x v="7"/>
    <x v="1"/>
    <x v="5"/>
    <x v="1"/>
    <n v="3"/>
    <x v="1"/>
  </r>
  <r>
    <x v="33"/>
    <x v="220"/>
    <x v="3"/>
    <x v="1"/>
    <x v="10"/>
    <x v="6"/>
    <x v="5"/>
    <x v="1"/>
    <x v="5"/>
    <x v="1"/>
    <n v="3"/>
    <x v="1"/>
  </r>
  <r>
    <x v="34"/>
    <x v="221"/>
    <x v="0"/>
    <x v="0"/>
    <x v="91"/>
    <x v="0"/>
    <x v="0"/>
    <x v="0"/>
    <x v="6"/>
    <x v="1"/>
    <n v="4"/>
    <x v="1"/>
  </r>
  <r>
    <x v="34"/>
    <x v="222"/>
    <x v="7"/>
    <x v="0"/>
    <x v="92"/>
    <x v="0"/>
    <x v="0"/>
    <x v="0"/>
    <x v="6"/>
    <x v="1"/>
    <n v="4"/>
    <x v="1"/>
  </r>
  <r>
    <x v="34"/>
    <x v="223"/>
    <x v="7"/>
    <x v="0"/>
    <x v="93"/>
    <x v="0"/>
    <x v="7"/>
    <x v="0"/>
    <x v="6"/>
    <x v="1"/>
    <n v="4"/>
    <x v="1"/>
  </r>
  <r>
    <x v="34"/>
    <x v="224"/>
    <x v="1"/>
    <x v="0"/>
    <x v="94"/>
    <x v="1"/>
    <x v="5"/>
    <x v="1"/>
    <x v="6"/>
    <x v="1"/>
    <n v="4"/>
    <x v="1"/>
  </r>
  <r>
    <x v="34"/>
    <x v="225"/>
    <x v="6"/>
    <x v="1"/>
    <x v="10"/>
    <x v="3"/>
    <x v="0"/>
    <x v="2"/>
    <x v="6"/>
    <x v="1"/>
    <n v="4"/>
    <x v="1"/>
  </r>
  <r>
    <x v="35"/>
    <x v="226"/>
    <x v="0"/>
    <x v="0"/>
    <x v="95"/>
    <x v="1"/>
    <x v="2"/>
    <x v="0"/>
    <x v="0"/>
    <x v="1"/>
    <n v="5"/>
    <x v="1"/>
  </r>
  <r>
    <x v="35"/>
    <x v="227"/>
    <x v="0"/>
    <x v="0"/>
    <x v="12"/>
    <x v="1"/>
    <x v="2"/>
    <x v="0"/>
    <x v="0"/>
    <x v="1"/>
    <n v="5"/>
    <x v="1"/>
  </r>
  <r>
    <x v="35"/>
    <x v="228"/>
    <x v="7"/>
    <x v="0"/>
    <x v="96"/>
    <x v="1"/>
    <x v="5"/>
    <x v="0"/>
    <x v="0"/>
    <x v="1"/>
    <n v="5"/>
    <x v="1"/>
  </r>
  <r>
    <x v="35"/>
    <x v="229"/>
    <x v="1"/>
    <x v="0"/>
    <x v="97"/>
    <x v="2"/>
    <x v="3"/>
    <x v="1"/>
    <x v="0"/>
    <x v="1"/>
    <n v="5"/>
    <x v="1"/>
  </r>
  <r>
    <x v="35"/>
    <x v="230"/>
    <x v="8"/>
    <x v="0"/>
    <x v="98"/>
    <x v="0"/>
    <x v="0"/>
    <x v="1"/>
    <x v="0"/>
    <x v="1"/>
    <n v="5"/>
    <x v="1"/>
  </r>
  <r>
    <x v="35"/>
    <x v="231"/>
    <x v="8"/>
    <x v="0"/>
    <x v="98"/>
    <x v="1"/>
    <x v="5"/>
    <x v="1"/>
    <x v="0"/>
    <x v="1"/>
    <n v="5"/>
    <x v="1"/>
  </r>
  <r>
    <x v="35"/>
    <x v="232"/>
    <x v="3"/>
    <x v="1"/>
    <x v="10"/>
    <x v="3"/>
    <x v="0"/>
    <x v="1"/>
    <x v="0"/>
    <x v="1"/>
    <n v="5"/>
    <x v="1"/>
  </r>
  <r>
    <x v="35"/>
    <x v="233"/>
    <x v="3"/>
    <x v="1"/>
    <x v="10"/>
    <x v="3"/>
    <x v="7"/>
    <x v="1"/>
    <x v="0"/>
    <x v="1"/>
    <n v="5"/>
    <x v="1"/>
  </r>
  <r>
    <x v="35"/>
    <x v="234"/>
    <x v="3"/>
    <x v="1"/>
    <x v="10"/>
    <x v="6"/>
    <x v="2"/>
    <x v="1"/>
    <x v="0"/>
    <x v="1"/>
    <n v="5"/>
    <x v="1"/>
  </r>
  <r>
    <x v="35"/>
    <x v="235"/>
    <x v="4"/>
    <x v="1"/>
    <x v="10"/>
    <x v="3"/>
    <x v="4"/>
    <x v="1"/>
    <x v="0"/>
    <x v="1"/>
    <n v="5"/>
    <x v="1"/>
  </r>
  <r>
    <x v="35"/>
    <x v="236"/>
    <x v="4"/>
    <x v="0"/>
    <x v="2"/>
    <x v="4"/>
    <x v="6"/>
    <x v="1"/>
    <x v="0"/>
    <x v="1"/>
    <n v="5"/>
    <x v="1"/>
  </r>
  <r>
    <x v="36"/>
    <x v="237"/>
    <x v="1"/>
    <x v="0"/>
    <x v="99"/>
    <x v="2"/>
    <x v="3"/>
    <x v="1"/>
    <x v="1"/>
    <x v="1"/>
    <n v="6"/>
    <x v="1"/>
  </r>
  <r>
    <x v="36"/>
    <x v="238"/>
    <x v="8"/>
    <x v="0"/>
    <x v="40"/>
    <x v="0"/>
    <x v="7"/>
    <x v="1"/>
    <x v="1"/>
    <x v="1"/>
    <n v="6"/>
    <x v="1"/>
  </r>
  <r>
    <x v="36"/>
    <x v="239"/>
    <x v="8"/>
    <x v="0"/>
    <x v="40"/>
    <x v="1"/>
    <x v="2"/>
    <x v="1"/>
    <x v="1"/>
    <x v="1"/>
    <n v="6"/>
    <x v="1"/>
  </r>
  <r>
    <x v="36"/>
    <x v="240"/>
    <x v="8"/>
    <x v="0"/>
    <x v="8"/>
    <x v="0"/>
    <x v="0"/>
    <x v="1"/>
    <x v="1"/>
    <x v="1"/>
    <n v="6"/>
    <x v="1"/>
  </r>
  <r>
    <x v="37"/>
    <x v="241"/>
    <x v="0"/>
    <x v="0"/>
    <x v="91"/>
    <x v="0"/>
    <x v="0"/>
    <x v="0"/>
    <x v="2"/>
    <x v="1"/>
    <n v="7"/>
    <x v="1"/>
  </r>
  <r>
    <x v="37"/>
    <x v="242"/>
    <x v="1"/>
    <x v="0"/>
    <x v="40"/>
    <x v="0"/>
    <x v="7"/>
    <x v="1"/>
    <x v="2"/>
    <x v="1"/>
    <n v="7"/>
    <x v="1"/>
  </r>
  <r>
    <x v="37"/>
    <x v="243"/>
    <x v="1"/>
    <x v="0"/>
    <x v="40"/>
    <x v="0"/>
    <x v="7"/>
    <x v="1"/>
    <x v="2"/>
    <x v="1"/>
    <n v="7"/>
    <x v="1"/>
  </r>
  <r>
    <x v="37"/>
    <x v="244"/>
    <x v="8"/>
    <x v="0"/>
    <x v="100"/>
    <x v="1"/>
    <x v="5"/>
    <x v="1"/>
    <x v="2"/>
    <x v="1"/>
    <n v="7"/>
    <x v="1"/>
  </r>
  <r>
    <x v="37"/>
    <x v="245"/>
    <x v="8"/>
    <x v="0"/>
    <x v="100"/>
    <x v="4"/>
    <x v="6"/>
    <x v="1"/>
    <x v="2"/>
    <x v="1"/>
    <n v="7"/>
    <x v="1"/>
  </r>
  <r>
    <x v="37"/>
    <x v="246"/>
    <x v="5"/>
    <x v="0"/>
    <x v="101"/>
    <x v="0"/>
    <x v="1"/>
    <x v="2"/>
    <x v="2"/>
    <x v="1"/>
    <n v="7"/>
    <x v="1"/>
  </r>
  <r>
    <x v="37"/>
    <x v="247"/>
    <x v="5"/>
    <x v="0"/>
    <x v="101"/>
    <x v="2"/>
    <x v="3"/>
    <x v="2"/>
    <x v="2"/>
    <x v="1"/>
    <n v="7"/>
    <x v="1"/>
  </r>
  <r>
    <x v="38"/>
    <x v="248"/>
    <x v="0"/>
    <x v="0"/>
    <x v="102"/>
    <x v="2"/>
    <x v="3"/>
    <x v="0"/>
    <x v="3"/>
    <x v="1"/>
    <n v="1"/>
    <x v="1"/>
  </r>
  <r>
    <x v="38"/>
    <x v="249"/>
    <x v="0"/>
    <x v="0"/>
    <x v="103"/>
    <x v="0"/>
    <x v="7"/>
    <x v="0"/>
    <x v="3"/>
    <x v="1"/>
    <n v="1"/>
    <x v="1"/>
  </r>
  <r>
    <x v="38"/>
    <x v="250"/>
    <x v="7"/>
    <x v="0"/>
    <x v="12"/>
    <x v="1"/>
    <x v="2"/>
    <x v="0"/>
    <x v="3"/>
    <x v="1"/>
    <n v="1"/>
    <x v="1"/>
  </r>
  <r>
    <x v="38"/>
    <x v="251"/>
    <x v="7"/>
    <x v="0"/>
    <x v="104"/>
    <x v="0"/>
    <x v="7"/>
    <x v="0"/>
    <x v="3"/>
    <x v="1"/>
    <n v="1"/>
    <x v="1"/>
  </r>
  <r>
    <x v="38"/>
    <x v="252"/>
    <x v="1"/>
    <x v="1"/>
    <x v="10"/>
    <x v="7"/>
    <x v="6"/>
    <x v="1"/>
    <x v="3"/>
    <x v="1"/>
    <n v="1"/>
    <x v="1"/>
  </r>
  <r>
    <x v="38"/>
    <x v="253"/>
    <x v="3"/>
    <x v="1"/>
    <x v="10"/>
    <x v="5"/>
    <x v="3"/>
    <x v="1"/>
    <x v="3"/>
    <x v="1"/>
    <n v="1"/>
    <x v="1"/>
  </r>
  <r>
    <x v="38"/>
    <x v="254"/>
    <x v="4"/>
    <x v="0"/>
    <x v="17"/>
    <x v="0"/>
    <x v="0"/>
    <x v="1"/>
    <x v="3"/>
    <x v="1"/>
    <n v="1"/>
    <x v="1"/>
  </r>
  <r>
    <x v="38"/>
    <x v="255"/>
    <x v="5"/>
    <x v="0"/>
    <x v="105"/>
    <x v="1"/>
    <x v="2"/>
    <x v="2"/>
    <x v="3"/>
    <x v="1"/>
    <n v="1"/>
    <x v="1"/>
  </r>
  <r>
    <x v="38"/>
    <x v="256"/>
    <x v="6"/>
    <x v="0"/>
    <x v="24"/>
    <x v="2"/>
    <x v="3"/>
    <x v="2"/>
    <x v="3"/>
    <x v="1"/>
    <n v="1"/>
    <x v="1"/>
  </r>
  <r>
    <x v="38"/>
    <x v="257"/>
    <x v="6"/>
    <x v="0"/>
    <x v="106"/>
    <x v="0"/>
    <x v="7"/>
    <x v="2"/>
    <x v="3"/>
    <x v="1"/>
    <n v="1"/>
    <x v="1"/>
  </r>
  <r>
    <x v="39"/>
    <x v="258"/>
    <x v="0"/>
    <x v="1"/>
    <x v="10"/>
    <x v="3"/>
    <x v="7"/>
    <x v="0"/>
    <x v="4"/>
    <x v="1"/>
    <n v="2"/>
    <x v="1"/>
  </r>
  <r>
    <x v="39"/>
    <x v="259"/>
    <x v="0"/>
    <x v="1"/>
    <x v="10"/>
    <x v="6"/>
    <x v="2"/>
    <x v="0"/>
    <x v="4"/>
    <x v="1"/>
    <n v="2"/>
    <x v="1"/>
  </r>
  <r>
    <x v="39"/>
    <x v="260"/>
    <x v="7"/>
    <x v="0"/>
    <x v="91"/>
    <x v="0"/>
    <x v="0"/>
    <x v="0"/>
    <x v="4"/>
    <x v="1"/>
    <n v="2"/>
    <x v="1"/>
  </r>
  <r>
    <x v="39"/>
    <x v="261"/>
    <x v="3"/>
    <x v="0"/>
    <x v="107"/>
    <x v="0"/>
    <x v="1"/>
    <x v="1"/>
    <x v="4"/>
    <x v="1"/>
    <n v="2"/>
    <x v="1"/>
  </r>
  <r>
    <x v="39"/>
    <x v="262"/>
    <x v="9"/>
    <x v="0"/>
    <x v="49"/>
    <x v="0"/>
    <x v="1"/>
    <x v="2"/>
    <x v="4"/>
    <x v="1"/>
    <n v="2"/>
    <x v="1"/>
  </r>
  <r>
    <x v="40"/>
    <x v="263"/>
    <x v="0"/>
    <x v="1"/>
    <x v="10"/>
    <x v="7"/>
    <x v="6"/>
    <x v="0"/>
    <x v="5"/>
    <x v="1"/>
    <n v="3"/>
    <x v="1"/>
  </r>
  <r>
    <x v="40"/>
    <x v="264"/>
    <x v="9"/>
    <x v="1"/>
    <x v="10"/>
    <x v="3"/>
    <x v="1"/>
    <x v="2"/>
    <x v="5"/>
    <x v="1"/>
    <n v="3"/>
    <x v="1"/>
  </r>
  <r>
    <x v="40"/>
    <x v="265"/>
    <x v="9"/>
    <x v="0"/>
    <x v="108"/>
    <x v="4"/>
    <x v="6"/>
    <x v="2"/>
    <x v="5"/>
    <x v="1"/>
    <n v="3"/>
    <x v="1"/>
  </r>
  <r>
    <x v="40"/>
    <x v="266"/>
    <x v="5"/>
    <x v="0"/>
    <x v="8"/>
    <x v="0"/>
    <x v="7"/>
    <x v="2"/>
    <x v="5"/>
    <x v="1"/>
    <n v="3"/>
    <x v="1"/>
  </r>
  <r>
    <x v="40"/>
    <x v="267"/>
    <x v="12"/>
    <x v="0"/>
    <x v="109"/>
    <x v="0"/>
    <x v="0"/>
    <x v="2"/>
    <x v="5"/>
    <x v="1"/>
    <n v="3"/>
    <x v="1"/>
  </r>
  <r>
    <x v="41"/>
    <x v="268"/>
    <x v="0"/>
    <x v="0"/>
    <x v="110"/>
    <x v="1"/>
    <x v="2"/>
    <x v="0"/>
    <x v="6"/>
    <x v="1"/>
    <n v="4"/>
    <x v="1"/>
  </r>
  <r>
    <x v="41"/>
    <x v="269"/>
    <x v="0"/>
    <x v="0"/>
    <x v="110"/>
    <x v="1"/>
    <x v="2"/>
    <x v="0"/>
    <x v="6"/>
    <x v="1"/>
    <n v="4"/>
    <x v="1"/>
  </r>
  <r>
    <x v="41"/>
    <x v="270"/>
    <x v="4"/>
    <x v="0"/>
    <x v="17"/>
    <x v="0"/>
    <x v="0"/>
    <x v="1"/>
    <x v="6"/>
    <x v="1"/>
    <n v="4"/>
    <x v="1"/>
  </r>
  <r>
    <x v="41"/>
    <x v="271"/>
    <x v="6"/>
    <x v="0"/>
    <x v="106"/>
    <x v="0"/>
    <x v="7"/>
    <x v="2"/>
    <x v="6"/>
    <x v="1"/>
    <n v="4"/>
    <x v="1"/>
  </r>
  <r>
    <x v="41"/>
    <x v="272"/>
    <x v="6"/>
    <x v="0"/>
    <x v="24"/>
    <x v="2"/>
    <x v="3"/>
    <x v="2"/>
    <x v="6"/>
    <x v="1"/>
    <n v="4"/>
    <x v="1"/>
  </r>
  <r>
    <x v="42"/>
    <x v="273"/>
    <x v="6"/>
    <x v="0"/>
    <x v="19"/>
    <x v="0"/>
    <x v="1"/>
    <x v="2"/>
    <x v="0"/>
    <x v="1"/>
    <n v="5"/>
    <x v="1"/>
  </r>
  <r>
    <x v="42"/>
    <x v="274"/>
    <x v="6"/>
    <x v="0"/>
    <x v="8"/>
    <x v="1"/>
    <x v="5"/>
    <x v="2"/>
    <x v="0"/>
    <x v="1"/>
    <n v="5"/>
    <x v="1"/>
  </r>
  <r>
    <x v="43"/>
    <x v="275"/>
    <x v="1"/>
    <x v="0"/>
    <x v="8"/>
    <x v="0"/>
    <x v="0"/>
    <x v="1"/>
    <x v="1"/>
    <x v="1"/>
    <n v="6"/>
    <x v="1"/>
  </r>
  <r>
    <x v="43"/>
    <x v="276"/>
    <x v="1"/>
    <x v="0"/>
    <x v="12"/>
    <x v="1"/>
    <x v="2"/>
    <x v="1"/>
    <x v="1"/>
    <x v="1"/>
    <n v="6"/>
    <x v="1"/>
  </r>
  <r>
    <x v="43"/>
    <x v="277"/>
    <x v="3"/>
    <x v="1"/>
    <x v="10"/>
    <x v="3"/>
    <x v="1"/>
    <x v="1"/>
    <x v="1"/>
    <x v="1"/>
    <n v="6"/>
    <x v="1"/>
  </r>
  <r>
    <x v="43"/>
    <x v="278"/>
    <x v="3"/>
    <x v="1"/>
    <x v="10"/>
    <x v="3"/>
    <x v="1"/>
    <x v="1"/>
    <x v="1"/>
    <x v="1"/>
    <n v="6"/>
    <x v="1"/>
  </r>
  <r>
    <x v="43"/>
    <x v="279"/>
    <x v="4"/>
    <x v="0"/>
    <x v="111"/>
    <x v="0"/>
    <x v="7"/>
    <x v="1"/>
    <x v="1"/>
    <x v="1"/>
    <n v="6"/>
    <x v="1"/>
  </r>
  <r>
    <x v="43"/>
    <x v="280"/>
    <x v="4"/>
    <x v="0"/>
    <x v="111"/>
    <x v="0"/>
    <x v="0"/>
    <x v="1"/>
    <x v="1"/>
    <x v="1"/>
    <n v="6"/>
    <x v="1"/>
  </r>
  <r>
    <x v="43"/>
    <x v="281"/>
    <x v="9"/>
    <x v="0"/>
    <x v="112"/>
    <x v="0"/>
    <x v="7"/>
    <x v="2"/>
    <x v="1"/>
    <x v="1"/>
    <n v="6"/>
    <x v="1"/>
  </r>
  <r>
    <x v="43"/>
    <x v="282"/>
    <x v="9"/>
    <x v="0"/>
    <x v="12"/>
    <x v="0"/>
    <x v="7"/>
    <x v="2"/>
    <x v="1"/>
    <x v="1"/>
    <n v="6"/>
    <x v="1"/>
  </r>
  <r>
    <x v="44"/>
    <x v="283"/>
    <x v="0"/>
    <x v="1"/>
    <x v="10"/>
    <x v="3"/>
    <x v="0"/>
    <x v="0"/>
    <x v="2"/>
    <x v="1"/>
    <n v="7"/>
    <x v="1"/>
  </r>
  <r>
    <x v="44"/>
    <x v="284"/>
    <x v="1"/>
    <x v="0"/>
    <x v="113"/>
    <x v="0"/>
    <x v="7"/>
    <x v="1"/>
    <x v="2"/>
    <x v="1"/>
    <n v="7"/>
    <x v="1"/>
  </r>
  <r>
    <x v="44"/>
    <x v="285"/>
    <x v="1"/>
    <x v="1"/>
    <x v="10"/>
    <x v="6"/>
    <x v="5"/>
    <x v="1"/>
    <x v="2"/>
    <x v="1"/>
    <n v="7"/>
    <x v="1"/>
  </r>
  <r>
    <x v="44"/>
    <x v="286"/>
    <x v="1"/>
    <x v="1"/>
    <x v="10"/>
    <x v="6"/>
    <x v="5"/>
    <x v="1"/>
    <x v="2"/>
    <x v="1"/>
    <n v="7"/>
    <x v="1"/>
  </r>
  <r>
    <x v="44"/>
    <x v="287"/>
    <x v="1"/>
    <x v="1"/>
    <x v="10"/>
    <x v="5"/>
    <x v="3"/>
    <x v="1"/>
    <x v="2"/>
    <x v="1"/>
    <n v="7"/>
    <x v="1"/>
  </r>
  <r>
    <x v="44"/>
    <x v="288"/>
    <x v="2"/>
    <x v="0"/>
    <x v="114"/>
    <x v="1"/>
    <x v="5"/>
    <x v="1"/>
    <x v="2"/>
    <x v="1"/>
    <n v="7"/>
    <x v="1"/>
  </r>
  <r>
    <x v="44"/>
    <x v="289"/>
    <x v="8"/>
    <x v="0"/>
    <x v="12"/>
    <x v="1"/>
    <x v="2"/>
    <x v="1"/>
    <x v="2"/>
    <x v="1"/>
    <n v="7"/>
    <x v="1"/>
  </r>
  <r>
    <x v="44"/>
    <x v="290"/>
    <x v="8"/>
    <x v="0"/>
    <x v="12"/>
    <x v="1"/>
    <x v="2"/>
    <x v="1"/>
    <x v="2"/>
    <x v="1"/>
    <n v="7"/>
    <x v="1"/>
  </r>
  <r>
    <x v="44"/>
    <x v="291"/>
    <x v="8"/>
    <x v="0"/>
    <x v="12"/>
    <x v="1"/>
    <x v="2"/>
    <x v="1"/>
    <x v="2"/>
    <x v="1"/>
    <n v="7"/>
    <x v="1"/>
  </r>
  <r>
    <x v="44"/>
    <x v="292"/>
    <x v="3"/>
    <x v="0"/>
    <x v="17"/>
    <x v="0"/>
    <x v="7"/>
    <x v="1"/>
    <x v="2"/>
    <x v="1"/>
    <n v="7"/>
    <x v="1"/>
  </r>
  <r>
    <x v="44"/>
    <x v="293"/>
    <x v="4"/>
    <x v="0"/>
    <x v="12"/>
    <x v="1"/>
    <x v="5"/>
    <x v="1"/>
    <x v="2"/>
    <x v="1"/>
    <n v="7"/>
    <x v="1"/>
  </r>
  <r>
    <x v="44"/>
    <x v="294"/>
    <x v="9"/>
    <x v="0"/>
    <x v="19"/>
    <x v="0"/>
    <x v="0"/>
    <x v="2"/>
    <x v="2"/>
    <x v="1"/>
    <n v="7"/>
    <x v="1"/>
  </r>
  <r>
    <x v="44"/>
    <x v="295"/>
    <x v="5"/>
    <x v="0"/>
    <x v="115"/>
    <x v="0"/>
    <x v="7"/>
    <x v="2"/>
    <x v="2"/>
    <x v="1"/>
    <n v="7"/>
    <x v="1"/>
  </r>
  <r>
    <x v="45"/>
    <x v="296"/>
    <x v="7"/>
    <x v="0"/>
    <x v="64"/>
    <x v="1"/>
    <x v="2"/>
    <x v="0"/>
    <x v="3"/>
    <x v="1"/>
    <n v="1"/>
    <x v="1"/>
  </r>
  <r>
    <x v="45"/>
    <x v="297"/>
    <x v="9"/>
    <x v="0"/>
    <x v="2"/>
    <x v="1"/>
    <x v="2"/>
    <x v="2"/>
    <x v="3"/>
    <x v="1"/>
    <n v="1"/>
    <x v="1"/>
  </r>
  <r>
    <x v="45"/>
    <x v="298"/>
    <x v="9"/>
    <x v="0"/>
    <x v="3"/>
    <x v="2"/>
    <x v="3"/>
    <x v="2"/>
    <x v="3"/>
    <x v="1"/>
    <n v="1"/>
    <x v="1"/>
  </r>
  <r>
    <x v="45"/>
    <x v="299"/>
    <x v="6"/>
    <x v="0"/>
    <x v="8"/>
    <x v="2"/>
    <x v="3"/>
    <x v="2"/>
    <x v="3"/>
    <x v="1"/>
    <n v="1"/>
    <x v="1"/>
  </r>
  <r>
    <x v="45"/>
    <x v="300"/>
    <x v="6"/>
    <x v="1"/>
    <x v="10"/>
    <x v="7"/>
    <x v="6"/>
    <x v="2"/>
    <x v="3"/>
    <x v="1"/>
    <n v="1"/>
    <x v="1"/>
  </r>
  <r>
    <x v="46"/>
    <x v="301"/>
    <x v="0"/>
    <x v="1"/>
    <x v="10"/>
    <x v="5"/>
    <x v="3"/>
    <x v="0"/>
    <x v="4"/>
    <x v="1"/>
    <n v="2"/>
    <x v="1"/>
  </r>
  <r>
    <x v="46"/>
    <x v="302"/>
    <x v="0"/>
    <x v="0"/>
    <x v="116"/>
    <x v="2"/>
    <x v="3"/>
    <x v="0"/>
    <x v="4"/>
    <x v="1"/>
    <n v="2"/>
    <x v="1"/>
  </r>
  <r>
    <x v="46"/>
    <x v="303"/>
    <x v="1"/>
    <x v="0"/>
    <x v="117"/>
    <x v="0"/>
    <x v="4"/>
    <x v="1"/>
    <x v="4"/>
    <x v="1"/>
    <n v="2"/>
    <x v="1"/>
  </r>
  <r>
    <x v="46"/>
    <x v="304"/>
    <x v="1"/>
    <x v="0"/>
    <x v="64"/>
    <x v="1"/>
    <x v="5"/>
    <x v="1"/>
    <x v="4"/>
    <x v="1"/>
    <n v="2"/>
    <x v="1"/>
  </r>
  <r>
    <x v="46"/>
    <x v="305"/>
    <x v="3"/>
    <x v="0"/>
    <x v="118"/>
    <x v="1"/>
    <x v="2"/>
    <x v="1"/>
    <x v="4"/>
    <x v="1"/>
    <n v="2"/>
    <x v="1"/>
  </r>
  <r>
    <x v="46"/>
    <x v="306"/>
    <x v="9"/>
    <x v="0"/>
    <x v="24"/>
    <x v="2"/>
    <x v="3"/>
    <x v="2"/>
    <x v="4"/>
    <x v="1"/>
    <n v="2"/>
    <x v="1"/>
  </r>
  <r>
    <x v="46"/>
    <x v="307"/>
    <x v="9"/>
    <x v="0"/>
    <x v="8"/>
    <x v="0"/>
    <x v="7"/>
    <x v="2"/>
    <x v="4"/>
    <x v="1"/>
    <n v="2"/>
    <x v="1"/>
  </r>
  <r>
    <x v="46"/>
    <x v="308"/>
    <x v="5"/>
    <x v="0"/>
    <x v="50"/>
    <x v="0"/>
    <x v="4"/>
    <x v="2"/>
    <x v="4"/>
    <x v="1"/>
    <n v="2"/>
    <x v="1"/>
  </r>
  <r>
    <x v="47"/>
    <x v="309"/>
    <x v="2"/>
    <x v="0"/>
    <x v="12"/>
    <x v="1"/>
    <x v="2"/>
    <x v="1"/>
    <x v="5"/>
    <x v="1"/>
    <n v="3"/>
    <x v="1"/>
  </r>
  <r>
    <x v="47"/>
    <x v="310"/>
    <x v="2"/>
    <x v="0"/>
    <x v="119"/>
    <x v="4"/>
    <x v="6"/>
    <x v="1"/>
    <x v="5"/>
    <x v="1"/>
    <n v="3"/>
    <x v="1"/>
  </r>
  <r>
    <x v="47"/>
    <x v="311"/>
    <x v="4"/>
    <x v="1"/>
    <x v="10"/>
    <x v="3"/>
    <x v="7"/>
    <x v="1"/>
    <x v="5"/>
    <x v="1"/>
    <n v="3"/>
    <x v="1"/>
  </r>
  <r>
    <x v="47"/>
    <x v="312"/>
    <x v="9"/>
    <x v="0"/>
    <x v="120"/>
    <x v="0"/>
    <x v="7"/>
    <x v="2"/>
    <x v="5"/>
    <x v="1"/>
    <n v="3"/>
    <x v="1"/>
  </r>
  <r>
    <x v="47"/>
    <x v="313"/>
    <x v="9"/>
    <x v="0"/>
    <x v="120"/>
    <x v="0"/>
    <x v="7"/>
    <x v="2"/>
    <x v="5"/>
    <x v="1"/>
    <n v="3"/>
    <x v="1"/>
  </r>
  <r>
    <x v="47"/>
    <x v="314"/>
    <x v="5"/>
    <x v="0"/>
    <x v="121"/>
    <x v="1"/>
    <x v="5"/>
    <x v="2"/>
    <x v="5"/>
    <x v="1"/>
    <n v="3"/>
    <x v="1"/>
  </r>
  <r>
    <x v="48"/>
    <x v="315"/>
    <x v="7"/>
    <x v="0"/>
    <x v="2"/>
    <x v="1"/>
    <x v="2"/>
    <x v="0"/>
    <x v="6"/>
    <x v="1"/>
    <n v="4"/>
    <x v="1"/>
  </r>
  <r>
    <x v="48"/>
    <x v="316"/>
    <x v="7"/>
    <x v="0"/>
    <x v="2"/>
    <x v="1"/>
    <x v="2"/>
    <x v="0"/>
    <x v="6"/>
    <x v="1"/>
    <n v="4"/>
    <x v="1"/>
  </r>
  <r>
    <x v="48"/>
    <x v="317"/>
    <x v="2"/>
    <x v="0"/>
    <x v="122"/>
    <x v="2"/>
    <x v="3"/>
    <x v="1"/>
    <x v="6"/>
    <x v="1"/>
    <n v="4"/>
    <x v="1"/>
  </r>
  <r>
    <x v="48"/>
    <x v="318"/>
    <x v="2"/>
    <x v="0"/>
    <x v="122"/>
    <x v="1"/>
    <x v="5"/>
    <x v="1"/>
    <x v="6"/>
    <x v="1"/>
    <n v="4"/>
    <x v="1"/>
  </r>
  <r>
    <x v="48"/>
    <x v="319"/>
    <x v="8"/>
    <x v="0"/>
    <x v="123"/>
    <x v="0"/>
    <x v="7"/>
    <x v="1"/>
    <x v="6"/>
    <x v="1"/>
    <n v="4"/>
    <x v="1"/>
  </r>
  <r>
    <x v="48"/>
    <x v="320"/>
    <x v="8"/>
    <x v="0"/>
    <x v="123"/>
    <x v="0"/>
    <x v="0"/>
    <x v="1"/>
    <x v="6"/>
    <x v="1"/>
    <n v="4"/>
    <x v="1"/>
  </r>
  <r>
    <x v="48"/>
    <x v="321"/>
    <x v="9"/>
    <x v="0"/>
    <x v="69"/>
    <x v="0"/>
    <x v="0"/>
    <x v="2"/>
    <x v="6"/>
    <x v="1"/>
    <n v="4"/>
    <x v="1"/>
  </r>
  <r>
    <x v="48"/>
    <x v="322"/>
    <x v="5"/>
    <x v="0"/>
    <x v="85"/>
    <x v="0"/>
    <x v="7"/>
    <x v="2"/>
    <x v="6"/>
    <x v="1"/>
    <n v="4"/>
    <x v="1"/>
  </r>
  <r>
    <x v="48"/>
    <x v="323"/>
    <x v="6"/>
    <x v="0"/>
    <x v="24"/>
    <x v="0"/>
    <x v="1"/>
    <x v="2"/>
    <x v="6"/>
    <x v="1"/>
    <n v="4"/>
    <x v="1"/>
  </r>
  <r>
    <x v="48"/>
    <x v="324"/>
    <x v="6"/>
    <x v="0"/>
    <x v="8"/>
    <x v="0"/>
    <x v="1"/>
    <x v="2"/>
    <x v="6"/>
    <x v="1"/>
    <n v="4"/>
    <x v="1"/>
  </r>
  <r>
    <x v="49"/>
    <x v="325"/>
    <x v="0"/>
    <x v="0"/>
    <x v="0"/>
    <x v="0"/>
    <x v="0"/>
    <x v="0"/>
    <x v="0"/>
    <x v="1"/>
    <n v="5"/>
    <x v="1"/>
  </r>
  <r>
    <x v="49"/>
    <x v="326"/>
    <x v="2"/>
    <x v="0"/>
    <x v="40"/>
    <x v="2"/>
    <x v="3"/>
    <x v="1"/>
    <x v="0"/>
    <x v="1"/>
    <n v="5"/>
    <x v="1"/>
  </r>
  <r>
    <x v="49"/>
    <x v="327"/>
    <x v="2"/>
    <x v="0"/>
    <x v="40"/>
    <x v="0"/>
    <x v="7"/>
    <x v="1"/>
    <x v="0"/>
    <x v="1"/>
    <n v="5"/>
    <x v="1"/>
  </r>
  <r>
    <x v="49"/>
    <x v="328"/>
    <x v="2"/>
    <x v="0"/>
    <x v="124"/>
    <x v="0"/>
    <x v="1"/>
    <x v="1"/>
    <x v="0"/>
    <x v="1"/>
    <n v="5"/>
    <x v="1"/>
  </r>
  <r>
    <x v="49"/>
    <x v="329"/>
    <x v="2"/>
    <x v="0"/>
    <x v="124"/>
    <x v="0"/>
    <x v="7"/>
    <x v="1"/>
    <x v="0"/>
    <x v="1"/>
    <n v="5"/>
    <x v="1"/>
  </r>
  <r>
    <x v="49"/>
    <x v="330"/>
    <x v="5"/>
    <x v="0"/>
    <x v="24"/>
    <x v="0"/>
    <x v="4"/>
    <x v="2"/>
    <x v="0"/>
    <x v="1"/>
    <n v="5"/>
    <x v="1"/>
  </r>
  <r>
    <x v="49"/>
    <x v="331"/>
    <x v="5"/>
    <x v="0"/>
    <x v="8"/>
    <x v="2"/>
    <x v="3"/>
    <x v="2"/>
    <x v="0"/>
    <x v="1"/>
    <n v="5"/>
    <x v="1"/>
  </r>
  <r>
    <x v="50"/>
    <x v="332"/>
    <x v="7"/>
    <x v="1"/>
    <x v="10"/>
    <x v="5"/>
    <x v="3"/>
    <x v="0"/>
    <x v="1"/>
    <x v="1"/>
    <n v="6"/>
    <x v="1"/>
  </r>
  <r>
    <x v="50"/>
    <x v="333"/>
    <x v="1"/>
    <x v="0"/>
    <x v="125"/>
    <x v="2"/>
    <x v="3"/>
    <x v="1"/>
    <x v="1"/>
    <x v="1"/>
    <n v="6"/>
    <x v="1"/>
  </r>
  <r>
    <x v="50"/>
    <x v="334"/>
    <x v="1"/>
    <x v="0"/>
    <x v="125"/>
    <x v="2"/>
    <x v="3"/>
    <x v="1"/>
    <x v="1"/>
    <x v="1"/>
    <n v="6"/>
    <x v="1"/>
  </r>
  <r>
    <x v="50"/>
    <x v="335"/>
    <x v="2"/>
    <x v="0"/>
    <x v="118"/>
    <x v="1"/>
    <x v="2"/>
    <x v="1"/>
    <x v="1"/>
    <x v="1"/>
    <n v="6"/>
    <x v="1"/>
  </r>
  <r>
    <x v="50"/>
    <x v="336"/>
    <x v="2"/>
    <x v="0"/>
    <x v="118"/>
    <x v="2"/>
    <x v="3"/>
    <x v="1"/>
    <x v="1"/>
    <x v="1"/>
    <n v="6"/>
    <x v="1"/>
  </r>
  <r>
    <x v="50"/>
    <x v="337"/>
    <x v="2"/>
    <x v="0"/>
    <x v="118"/>
    <x v="0"/>
    <x v="1"/>
    <x v="1"/>
    <x v="1"/>
    <x v="1"/>
    <n v="6"/>
    <x v="1"/>
  </r>
  <r>
    <x v="50"/>
    <x v="338"/>
    <x v="8"/>
    <x v="0"/>
    <x v="40"/>
    <x v="0"/>
    <x v="7"/>
    <x v="1"/>
    <x v="1"/>
    <x v="1"/>
    <n v="6"/>
    <x v="1"/>
  </r>
  <r>
    <x v="50"/>
    <x v="339"/>
    <x v="3"/>
    <x v="0"/>
    <x v="8"/>
    <x v="2"/>
    <x v="3"/>
    <x v="1"/>
    <x v="1"/>
    <x v="1"/>
    <n v="6"/>
    <x v="1"/>
  </r>
  <r>
    <x v="50"/>
    <x v="340"/>
    <x v="3"/>
    <x v="0"/>
    <x v="12"/>
    <x v="8"/>
    <x v="3"/>
    <x v="1"/>
    <x v="1"/>
    <x v="1"/>
    <n v="6"/>
    <x v="1"/>
  </r>
  <r>
    <x v="50"/>
    <x v="341"/>
    <x v="3"/>
    <x v="0"/>
    <x v="126"/>
    <x v="8"/>
    <x v="3"/>
    <x v="1"/>
    <x v="1"/>
    <x v="1"/>
    <n v="6"/>
    <x v="1"/>
  </r>
  <r>
    <x v="50"/>
    <x v="342"/>
    <x v="9"/>
    <x v="1"/>
    <x v="10"/>
    <x v="9"/>
    <x v="4"/>
    <x v="2"/>
    <x v="1"/>
    <x v="1"/>
    <n v="6"/>
    <x v="1"/>
  </r>
  <r>
    <x v="50"/>
    <x v="343"/>
    <x v="5"/>
    <x v="0"/>
    <x v="127"/>
    <x v="10"/>
    <x v="7"/>
    <x v="2"/>
    <x v="1"/>
    <x v="1"/>
    <n v="6"/>
    <x v="1"/>
  </r>
  <r>
    <x v="50"/>
    <x v="344"/>
    <x v="5"/>
    <x v="0"/>
    <x v="127"/>
    <x v="10"/>
    <x v="7"/>
    <x v="2"/>
    <x v="1"/>
    <x v="1"/>
    <n v="6"/>
    <x v="1"/>
  </r>
  <r>
    <x v="50"/>
    <x v="345"/>
    <x v="6"/>
    <x v="0"/>
    <x v="128"/>
    <x v="10"/>
    <x v="0"/>
    <x v="2"/>
    <x v="1"/>
    <x v="1"/>
    <n v="6"/>
    <x v="1"/>
  </r>
  <r>
    <x v="51"/>
    <x v="346"/>
    <x v="7"/>
    <x v="0"/>
    <x v="0"/>
    <x v="10"/>
    <x v="0"/>
    <x v="0"/>
    <x v="2"/>
    <x v="1"/>
    <n v="7"/>
    <x v="1"/>
  </r>
  <r>
    <x v="51"/>
    <x v="347"/>
    <x v="8"/>
    <x v="0"/>
    <x v="99"/>
    <x v="11"/>
    <x v="2"/>
    <x v="1"/>
    <x v="2"/>
    <x v="1"/>
    <n v="7"/>
    <x v="1"/>
  </r>
  <r>
    <x v="51"/>
    <x v="348"/>
    <x v="9"/>
    <x v="1"/>
    <x v="10"/>
    <x v="9"/>
    <x v="7"/>
    <x v="2"/>
    <x v="2"/>
    <x v="1"/>
    <n v="7"/>
    <x v="1"/>
  </r>
  <r>
    <x v="52"/>
    <x v="349"/>
    <x v="7"/>
    <x v="0"/>
    <x v="12"/>
    <x v="11"/>
    <x v="2"/>
    <x v="0"/>
    <x v="3"/>
    <x v="1"/>
    <n v="1"/>
    <x v="1"/>
  </r>
  <r>
    <x v="52"/>
    <x v="350"/>
    <x v="7"/>
    <x v="0"/>
    <x v="129"/>
    <x v="8"/>
    <x v="3"/>
    <x v="0"/>
    <x v="3"/>
    <x v="1"/>
    <n v="1"/>
    <x v="1"/>
  </r>
  <r>
    <x v="52"/>
    <x v="351"/>
    <x v="5"/>
    <x v="1"/>
    <x v="10"/>
    <x v="9"/>
    <x v="0"/>
    <x v="2"/>
    <x v="3"/>
    <x v="1"/>
    <n v="1"/>
    <x v="1"/>
  </r>
  <r>
    <x v="52"/>
    <x v="352"/>
    <x v="6"/>
    <x v="0"/>
    <x v="8"/>
    <x v="10"/>
    <x v="0"/>
    <x v="2"/>
    <x v="3"/>
    <x v="1"/>
    <n v="1"/>
    <x v="1"/>
  </r>
  <r>
    <x v="52"/>
    <x v="353"/>
    <x v="12"/>
    <x v="1"/>
    <x v="10"/>
    <x v="9"/>
    <x v="7"/>
    <x v="2"/>
    <x v="3"/>
    <x v="1"/>
    <n v="1"/>
    <x v="1"/>
  </r>
  <r>
    <x v="53"/>
    <x v="354"/>
    <x v="8"/>
    <x v="0"/>
    <x v="25"/>
    <x v="10"/>
    <x v="7"/>
    <x v="1"/>
    <x v="4"/>
    <x v="1"/>
    <n v="2"/>
    <x v="1"/>
  </r>
  <r>
    <x v="53"/>
    <x v="355"/>
    <x v="8"/>
    <x v="0"/>
    <x v="24"/>
    <x v="8"/>
    <x v="3"/>
    <x v="1"/>
    <x v="4"/>
    <x v="1"/>
    <n v="2"/>
    <x v="1"/>
  </r>
  <r>
    <x v="53"/>
    <x v="356"/>
    <x v="8"/>
    <x v="0"/>
    <x v="8"/>
    <x v="10"/>
    <x v="7"/>
    <x v="1"/>
    <x v="4"/>
    <x v="1"/>
    <n v="2"/>
    <x v="1"/>
  </r>
  <r>
    <x v="53"/>
    <x v="357"/>
    <x v="6"/>
    <x v="0"/>
    <x v="130"/>
    <x v="8"/>
    <x v="3"/>
    <x v="2"/>
    <x v="4"/>
    <x v="1"/>
    <n v="2"/>
    <x v="1"/>
  </r>
  <r>
    <x v="53"/>
    <x v="358"/>
    <x v="6"/>
    <x v="0"/>
    <x v="130"/>
    <x v="8"/>
    <x v="3"/>
    <x v="2"/>
    <x v="4"/>
    <x v="1"/>
    <n v="2"/>
    <x v="1"/>
  </r>
  <r>
    <x v="54"/>
    <x v="359"/>
    <x v="0"/>
    <x v="0"/>
    <x v="0"/>
    <x v="10"/>
    <x v="0"/>
    <x v="0"/>
    <x v="5"/>
    <x v="1"/>
    <n v="3"/>
    <x v="1"/>
  </r>
  <r>
    <x v="54"/>
    <x v="360"/>
    <x v="0"/>
    <x v="0"/>
    <x v="131"/>
    <x v="8"/>
    <x v="3"/>
    <x v="0"/>
    <x v="5"/>
    <x v="1"/>
    <n v="3"/>
    <x v="1"/>
  </r>
  <r>
    <x v="54"/>
    <x v="361"/>
    <x v="7"/>
    <x v="0"/>
    <x v="132"/>
    <x v="8"/>
    <x v="3"/>
    <x v="0"/>
    <x v="5"/>
    <x v="1"/>
    <n v="3"/>
    <x v="1"/>
  </r>
  <r>
    <x v="54"/>
    <x v="362"/>
    <x v="7"/>
    <x v="0"/>
    <x v="133"/>
    <x v="8"/>
    <x v="3"/>
    <x v="0"/>
    <x v="5"/>
    <x v="1"/>
    <n v="3"/>
    <x v="1"/>
  </r>
  <r>
    <x v="54"/>
    <x v="363"/>
    <x v="1"/>
    <x v="0"/>
    <x v="59"/>
    <x v="8"/>
    <x v="3"/>
    <x v="1"/>
    <x v="5"/>
    <x v="1"/>
    <n v="3"/>
    <x v="1"/>
  </r>
  <r>
    <x v="54"/>
    <x v="364"/>
    <x v="4"/>
    <x v="0"/>
    <x v="8"/>
    <x v="8"/>
    <x v="3"/>
    <x v="1"/>
    <x v="5"/>
    <x v="1"/>
    <n v="3"/>
    <x v="1"/>
  </r>
  <r>
    <x v="54"/>
    <x v="365"/>
    <x v="6"/>
    <x v="0"/>
    <x v="134"/>
    <x v="8"/>
    <x v="3"/>
    <x v="2"/>
    <x v="5"/>
    <x v="1"/>
    <n v="3"/>
    <x v="1"/>
  </r>
  <r>
    <x v="54"/>
    <x v="366"/>
    <x v="6"/>
    <x v="0"/>
    <x v="134"/>
    <x v="10"/>
    <x v="7"/>
    <x v="2"/>
    <x v="5"/>
    <x v="1"/>
    <n v="3"/>
    <x v="1"/>
  </r>
  <r>
    <x v="55"/>
    <x v="367"/>
    <x v="0"/>
    <x v="0"/>
    <x v="135"/>
    <x v="11"/>
    <x v="2"/>
    <x v="0"/>
    <x v="6"/>
    <x v="1"/>
    <n v="4"/>
    <x v="1"/>
  </r>
  <r>
    <x v="55"/>
    <x v="368"/>
    <x v="3"/>
    <x v="0"/>
    <x v="8"/>
    <x v="10"/>
    <x v="0"/>
    <x v="1"/>
    <x v="6"/>
    <x v="1"/>
    <n v="4"/>
    <x v="1"/>
  </r>
  <r>
    <x v="55"/>
    <x v="369"/>
    <x v="9"/>
    <x v="0"/>
    <x v="12"/>
    <x v="11"/>
    <x v="2"/>
    <x v="2"/>
    <x v="6"/>
    <x v="1"/>
    <n v="4"/>
    <x v="1"/>
  </r>
  <r>
    <x v="55"/>
    <x v="370"/>
    <x v="9"/>
    <x v="0"/>
    <x v="12"/>
    <x v="11"/>
    <x v="2"/>
    <x v="2"/>
    <x v="6"/>
    <x v="1"/>
    <n v="4"/>
    <x v="1"/>
  </r>
  <r>
    <x v="56"/>
    <x v="371"/>
    <x v="0"/>
    <x v="0"/>
    <x v="0"/>
    <x v="10"/>
    <x v="0"/>
    <x v="0"/>
    <x v="0"/>
    <x v="1"/>
    <n v="5"/>
    <x v="1"/>
  </r>
  <r>
    <x v="56"/>
    <x v="372"/>
    <x v="1"/>
    <x v="0"/>
    <x v="136"/>
    <x v="10"/>
    <x v="0"/>
    <x v="1"/>
    <x v="0"/>
    <x v="1"/>
    <n v="5"/>
    <x v="1"/>
  </r>
  <r>
    <x v="56"/>
    <x v="373"/>
    <x v="2"/>
    <x v="0"/>
    <x v="137"/>
    <x v="10"/>
    <x v="7"/>
    <x v="1"/>
    <x v="0"/>
    <x v="1"/>
    <n v="5"/>
    <x v="1"/>
  </r>
  <r>
    <x v="56"/>
    <x v="374"/>
    <x v="3"/>
    <x v="0"/>
    <x v="12"/>
    <x v="11"/>
    <x v="2"/>
    <x v="1"/>
    <x v="0"/>
    <x v="1"/>
    <n v="5"/>
    <x v="1"/>
  </r>
  <r>
    <x v="56"/>
    <x v="375"/>
    <x v="3"/>
    <x v="0"/>
    <x v="12"/>
    <x v="11"/>
    <x v="2"/>
    <x v="1"/>
    <x v="0"/>
    <x v="1"/>
    <n v="5"/>
    <x v="1"/>
  </r>
  <r>
    <x v="56"/>
    <x v="376"/>
    <x v="4"/>
    <x v="0"/>
    <x v="138"/>
    <x v="11"/>
    <x v="5"/>
    <x v="1"/>
    <x v="0"/>
    <x v="1"/>
    <n v="5"/>
    <x v="1"/>
  </r>
  <r>
    <x v="56"/>
    <x v="377"/>
    <x v="4"/>
    <x v="0"/>
    <x v="139"/>
    <x v="11"/>
    <x v="2"/>
    <x v="1"/>
    <x v="0"/>
    <x v="1"/>
    <n v="5"/>
    <x v="1"/>
  </r>
  <r>
    <x v="56"/>
    <x v="378"/>
    <x v="6"/>
    <x v="0"/>
    <x v="8"/>
    <x v="10"/>
    <x v="1"/>
    <x v="2"/>
    <x v="0"/>
    <x v="1"/>
    <n v="5"/>
    <x v="1"/>
  </r>
  <r>
    <x v="56"/>
    <x v="379"/>
    <x v="6"/>
    <x v="0"/>
    <x v="8"/>
    <x v="10"/>
    <x v="4"/>
    <x v="2"/>
    <x v="0"/>
    <x v="1"/>
    <n v="5"/>
    <x v="1"/>
  </r>
  <r>
    <x v="57"/>
    <x v="380"/>
    <x v="3"/>
    <x v="0"/>
    <x v="8"/>
    <x v="10"/>
    <x v="7"/>
    <x v="1"/>
    <x v="1"/>
    <x v="1"/>
    <n v="6"/>
    <x v="1"/>
  </r>
  <r>
    <x v="58"/>
    <x v="381"/>
    <x v="0"/>
    <x v="0"/>
    <x v="0"/>
    <x v="10"/>
    <x v="0"/>
    <x v="0"/>
    <x v="2"/>
    <x v="1"/>
    <n v="7"/>
    <x v="1"/>
  </r>
  <r>
    <x v="58"/>
    <x v="382"/>
    <x v="1"/>
    <x v="0"/>
    <x v="140"/>
    <x v="10"/>
    <x v="7"/>
    <x v="1"/>
    <x v="2"/>
    <x v="1"/>
    <n v="7"/>
    <x v="1"/>
  </r>
  <r>
    <x v="58"/>
    <x v="383"/>
    <x v="5"/>
    <x v="0"/>
    <x v="12"/>
    <x v="11"/>
    <x v="2"/>
    <x v="2"/>
    <x v="2"/>
    <x v="1"/>
    <n v="7"/>
    <x v="1"/>
  </r>
  <r>
    <x v="58"/>
    <x v="384"/>
    <x v="5"/>
    <x v="0"/>
    <x v="12"/>
    <x v="11"/>
    <x v="2"/>
    <x v="2"/>
    <x v="2"/>
    <x v="1"/>
    <n v="7"/>
    <x v="1"/>
  </r>
  <r>
    <x v="58"/>
    <x v="385"/>
    <x v="5"/>
    <x v="0"/>
    <x v="19"/>
    <x v="10"/>
    <x v="0"/>
    <x v="2"/>
    <x v="2"/>
    <x v="1"/>
    <n v="7"/>
    <x v="1"/>
  </r>
  <r>
    <x v="59"/>
    <x v="386"/>
    <x v="7"/>
    <x v="0"/>
    <x v="141"/>
    <x v="11"/>
    <x v="5"/>
    <x v="0"/>
    <x v="3"/>
    <x v="1"/>
    <n v="1"/>
    <x v="1"/>
  </r>
  <r>
    <x v="59"/>
    <x v="387"/>
    <x v="2"/>
    <x v="0"/>
    <x v="2"/>
    <x v="11"/>
    <x v="2"/>
    <x v="1"/>
    <x v="3"/>
    <x v="1"/>
    <n v="1"/>
    <x v="1"/>
  </r>
  <r>
    <x v="59"/>
    <x v="388"/>
    <x v="2"/>
    <x v="0"/>
    <x v="2"/>
    <x v="11"/>
    <x v="5"/>
    <x v="1"/>
    <x v="3"/>
    <x v="1"/>
    <n v="1"/>
    <x v="1"/>
  </r>
  <r>
    <x v="59"/>
    <x v="389"/>
    <x v="2"/>
    <x v="0"/>
    <x v="141"/>
    <x v="11"/>
    <x v="5"/>
    <x v="1"/>
    <x v="3"/>
    <x v="1"/>
    <n v="1"/>
    <x v="1"/>
  </r>
  <r>
    <x v="59"/>
    <x v="390"/>
    <x v="2"/>
    <x v="0"/>
    <x v="141"/>
    <x v="8"/>
    <x v="3"/>
    <x v="1"/>
    <x v="3"/>
    <x v="1"/>
    <n v="1"/>
    <x v="1"/>
  </r>
  <r>
    <x v="59"/>
    <x v="391"/>
    <x v="5"/>
    <x v="0"/>
    <x v="140"/>
    <x v="10"/>
    <x v="7"/>
    <x v="2"/>
    <x v="3"/>
    <x v="1"/>
    <n v="1"/>
    <x v="1"/>
  </r>
  <r>
    <x v="59"/>
    <x v="392"/>
    <x v="6"/>
    <x v="0"/>
    <x v="134"/>
    <x v="10"/>
    <x v="7"/>
    <x v="2"/>
    <x v="3"/>
    <x v="1"/>
    <n v="1"/>
    <x v="1"/>
  </r>
  <r>
    <x v="59"/>
    <x v="393"/>
    <x v="6"/>
    <x v="0"/>
    <x v="134"/>
    <x v="10"/>
    <x v="7"/>
    <x v="2"/>
    <x v="3"/>
    <x v="1"/>
    <n v="1"/>
    <x v="1"/>
  </r>
  <r>
    <x v="60"/>
    <x v="394"/>
    <x v="0"/>
    <x v="0"/>
    <x v="142"/>
    <x v="10"/>
    <x v="0"/>
    <x v="0"/>
    <x v="4"/>
    <x v="1"/>
    <n v="2"/>
    <x v="1"/>
  </r>
  <r>
    <x v="60"/>
    <x v="395"/>
    <x v="0"/>
    <x v="0"/>
    <x v="142"/>
    <x v="8"/>
    <x v="3"/>
    <x v="0"/>
    <x v="4"/>
    <x v="1"/>
    <n v="2"/>
    <x v="1"/>
  </r>
  <r>
    <x v="60"/>
    <x v="396"/>
    <x v="0"/>
    <x v="0"/>
    <x v="142"/>
    <x v="8"/>
    <x v="3"/>
    <x v="0"/>
    <x v="4"/>
    <x v="1"/>
    <n v="2"/>
    <x v="1"/>
  </r>
  <r>
    <x v="60"/>
    <x v="397"/>
    <x v="2"/>
    <x v="0"/>
    <x v="142"/>
    <x v="11"/>
    <x v="2"/>
    <x v="1"/>
    <x v="4"/>
    <x v="1"/>
    <n v="2"/>
    <x v="1"/>
  </r>
  <r>
    <x v="60"/>
    <x v="398"/>
    <x v="2"/>
    <x v="0"/>
    <x v="142"/>
    <x v="8"/>
    <x v="3"/>
    <x v="1"/>
    <x v="4"/>
    <x v="1"/>
    <n v="2"/>
    <x v="1"/>
  </r>
  <r>
    <x v="60"/>
    <x v="399"/>
    <x v="6"/>
    <x v="0"/>
    <x v="142"/>
    <x v="10"/>
    <x v="7"/>
    <x v="2"/>
    <x v="4"/>
    <x v="1"/>
    <n v="2"/>
    <x v="1"/>
  </r>
  <r>
    <x v="60"/>
    <x v="400"/>
    <x v="6"/>
    <x v="0"/>
    <x v="142"/>
    <x v="8"/>
    <x v="3"/>
    <x v="2"/>
    <x v="4"/>
    <x v="1"/>
    <n v="2"/>
    <x v="1"/>
  </r>
  <r>
    <x v="60"/>
    <x v="401"/>
    <x v="6"/>
    <x v="0"/>
    <x v="142"/>
    <x v="10"/>
    <x v="0"/>
    <x v="2"/>
    <x v="4"/>
    <x v="1"/>
    <n v="2"/>
    <x v="1"/>
  </r>
  <r>
    <x v="61"/>
    <x v="402"/>
    <x v="0"/>
    <x v="0"/>
    <x v="143"/>
    <x v="11"/>
    <x v="2"/>
    <x v="0"/>
    <x v="6"/>
    <x v="2"/>
    <n v="4"/>
    <x v="2"/>
  </r>
  <r>
    <x v="61"/>
    <x v="403"/>
    <x v="7"/>
    <x v="1"/>
    <x v="10"/>
    <x v="9"/>
    <x v="0"/>
    <x v="0"/>
    <x v="6"/>
    <x v="2"/>
    <n v="4"/>
    <x v="2"/>
  </r>
  <r>
    <x v="61"/>
    <x v="404"/>
    <x v="2"/>
    <x v="0"/>
    <x v="133"/>
    <x v="8"/>
    <x v="3"/>
    <x v="1"/>
    <x v="6"/>
    <x v="2"/>
    <n v="4"/>
    <x v="2"/>
  </r>
  <r>
    <x v="61"/>
    <x v="405"/>
    <x v="5"/>
    <x v="0"/>
    <x v="144"/>
    <x v="10"/>
    <x v="7"/>
    <x v="2"/>
    <x v="6"/>
    <x v="2"/>
    <n v="4"/>
    <x v="2"/>
  </r>
  <r>
    <x v="61"/>
    <x v="406"/>
    <x v="5"/>
    <x v="0"/>
    <x v="24"/>
    <x v="8"/>
    <x v="3"/>
    <x v="2"/>
    <x v="6"/>
    <x v="2"/>
    <n v="4"/>
    <x v="2"/>
  </r>
  <r>
    <x v="61"/>
    <x v="407"/>
    <x v="6"/>
    <x v="0"/>
    <x v="145"/>
    <x v="10"/>
    <x v="0"/>
    <x v="2"/>
    <x v="6"/>
    <x v="2"/>
    <n v="4"/>
    <x v="2"/>
  </r>
  <r>
    <x v="61"/>
    <x v="408"/>
    <x v="6"/>
    <x v="0"/>
    <x v="145"/>
    <x v="10"/>
    <x v="7"/>
    <x v="2"/>
    <x v="6"/>
    <x v="2"/>
    <n v="4"/>
    <x v="2"/>
  </r>
  <r>
    <x v="62"/>
    <x v="409"/>
    <x v="0"/>
    <x v="1"/>
    <x v="10"/>
    <x v="9"/>
    <x v="0"/>
    <x v="0"/>
    <x v="0"/>
    <x v="2"/>
    <n v="5"/>
    <x v="2"/>
  </r>
  <r>
    <x v="62"/>
    <x v="410"/>
    <x v="8"/>
    <x v="0"/>
    <x v="146"/>
    <x v="10"/>
    <x v="0"/>
    <x v="1"/>
    <x v="0"/>
    <x v="2"/>
    <n v="5"/>
    <x v="2"/>
  </r>
  <r>
    <x v="62"/>
    <x v="411"/>
    <x v="9"/>
    <x v="0"/>
    <x v="147"/>
    <x v="10"/>
    <x v="0"/>
    <x v="2"/>
    <x v="0"/>
    <x v="2"/>
    <n v="5"/>
    <x v="2"/>
  </r>
  <r>
    <x v="63"/>
    <x v="412"/>
    <x v="0"/>
    <x v="0"/>
    <x v="148"/>
    <x v="11"/>
    <x v="2"/>
    <x v="0"/>
    <x v="3"/>
    <x v="2"/>
    <n v="1"/>
    <x v="2"/>
  </r>
  <r>
    <x v="63"/>
    <x v="413"/>
    <x v="0"/>
    <x v="0"/>
    <x v="149"/>
    <x v="10"/>
    <x v="7"/>
    <x v="0"/>
    <x v="3"/>
    <x v="2"/>
    <n v="1"/>
    <x v="2"/>
  </r>
  <r>
    <x v="63"/>
    <x v="414"/>
    <x v="0"/>
    <x v="0"/>
    <x v="149"/>
    <x v="8"/>
    <x v="3"/>
    <x v="0"/>
    <x v="3"/>
    <x v="2"/>
    <n v="1"/>
    <x v="2"/>
  </r>
  <r>
    <x v="63"/>
    <x v="415"/>
    <x v="0"/>
    <x v="0"/>
    <x v="150"/>
    <x v="11"/>
    <x v="2"/>
    <x v="0"/>
    <x v="3"/>
    <x v="2"/>
    <n v="1"/>
    <x v="2"/>
  </r>
  <r>
    <x v="63"/>
    <x v="416"/>
    <x v="0"/>
    <x v="0"/>
    <x v="141"/>
    <x v="11"/>
    <x v="5"/>
    <x v="0"/>
    <x v="3"/>
    <x v="2"/>
    <n v="1"/>
    <x v="2"/>
  </r>
  <r>
    <x v="63"/>
    <x v="417"/>
    <x v="7"/>
    <x v="1"/>
    <x v="10"/>
    <x v="12"/>
    <x v="2"/>
    <x v="0"/>
    <x v="3"/>
    <x v="2"/>
    <n v="1"/>
    <x v="2"/>
  </r>
  <r>
    <x v="63"/>
    <x v="418"/>
    <x v="2"/>
    <x v="0"/>
    <x v="148"/>
    <x v="11"/>
    <x v="5"/>
    <x v="1"/>
    <x v="3"/>
    <x v="2"/>
    <n v="1"/>
    <x v="2"/>
  </r>
  <r>
    <x v="63"/>
    <x v="419"/>
    <x v="2"/>
    <x v="0"/>
    <x v="148"/>
    <x v="11"/>
    <x v="2"/>
    <x v="1"/>
    <x v="3"/>
    <x v="2"/>
    <n v="1"/>
    <x v="2"/>
  </r>
  <r>
    <x v="63"/>
    <x v="420"/>
    <x v="6"/>
    <x v="0"/>
    <x v="151"/>
    <x v="10"/>
    <x v="7"/>
    <x v="2"/>
    <x v="3"/>
    <x v="2"/>
    <n v="1"/>
    <x v="2"/>
  </r>
  <r>
    <x v="63"/>
    <x v="421"/>
    <x v="6"/>
    <x v="0"/>
    <x v="151"/>
    <x v="10"/>
    <x v="7"/>
    <x v="2"/>
    <x v="3"/>
    <x v="2"/>
    <n v="1"/>
    <x v="2"/>
  </r>
  <r>
    <x v="64"/>
    <x v="422"/>
    <x v="0"/>
    <x v="0"/>
    <x v="148"/>
    <x v="10"/>
    <x v="4"/>
    <x v="0"/>
    <x v="4"/>
    <x v="2"/>
    <n v="2"/>
    <x v="2"/>
  </r>
  <r>
    <x v="64"/>
    <x v="423"/>
    <x v="7"/>
    <x v="0"/>
    <x v="141"/>
    <x v="11"/>
    <x v="5"/>
    <x v="0"/>
    <x v="4"/>
    <x v="2"/>
    <n v="2"/>
    <x v="2"/>
  </r>
  <r>
    <x v="64"/>
    <x v="424"/>
    <x v="2"/>
    <x v="0"/>
    <x v="77"/>
    <x v="11"/>
    <x v="5"/>
    <x v="1"/>
    <x v="4"/>
    <x v="2"/>
    <n v="2"/>
    <x v="2"/>
  </r>
  <r>
    <x v="64"/>
    <x v="425"/>
    <x v="4"/>
    <x v="0"/>
    <x v="148"/>
    <x v="10"/>
    <x v="4"/>
    <x v="1"/>
    <x v="4"/>
    <x v="2"/>
    <n v="2"/>
    <x v="2"/>
  </r>
  <r>
    <x v="64"/>
    <x v="426"/>
    <x v="4"/>
    <x v="0"/>
    <x v="152"/>
    <x v="11"/>
    <x v="2"/>
    <x v="1"/>
    <x v="4"/>
    <x v="2"/>
    <n v="2"/>
    <x v="2"/>
  </r>
  <r>
    <x v="64"/>
    <x v="427"/>
    <x v="9"/>
    <x v="0"/>
    <x v="153"/>
    <x v="10"/>
    <x v="7"/>
    <x v="2"/>
    <x v="4"/>
    <x v="2"/>
    <n v="2"/>
    <x v="2"/>
  </r>
  <r>
    <x v="64"/>
    <x v="428"/>
    <x v="9"/>
    <x v="0"/>
    <x v="153"/>
    <x v="10"/>
    <x v="0"/>
    <x v="2"/>
    <x v="4"/>
    <x v="2"/>
    <n v="2"/>
    <x v="2"/>
  </r>
  <r>
    <x v="64"/>
    <x v="429"/>
    <x v="5"/>
    <x v="1"/>
    <x v="10"/>
    <x v="13"/>
    <x v="3"/>
    <x v="2"/>
    <x v="4"/>
    <x v="2"/>
    <n v="2"/>
    <x v="2"/>
  </r>
  <r>
    <x v="64"/>
    <x v="430"/>
    <x v="6"/>
    <x v="0"/>
    <x v="154"/>
    <x v="10"/>
    <x v="7"/>
    <x v="2"/>
    <x v="4"/>
    <x v="2"/>
    <n v="2"/>
    <x v="2"/>
  </r>
  <r>
    <x v="64"/>
    <x v="431"/>
    <x v="6"/>
    <x v="0"/>
    <x v="154"/>
    <x v="10"/>
    <x v="7"/>
    <x v="2"/>
    <x v="4"/>
    <x v="2"/>
    <n v="2"/>
    <x v="2"/>
  </r>
  <r>
    <x v="65"/>
    <x v="432"/>
    <x v="0"/>
    <x v="0"/>
    <x v="0"/>
    <x v="10"/>
    <x v="0"/>
    <x v="0"/>
    <x v="5"/>
    <x v="2"/>
    <n v="3"/>
    <x v="2"/>
  </r>
  <r>
    <x v="66"/>
    <x v="433"/>
    <x v="1"/>
    <x v="0"/>
    <x v="155"/>
    <x v="10"/>
    <x v="7"/>
    <x v="1"/>
    <x v="6"/>
    <x v="2"/>
    <n v="4"/>
    <x v="2"/>
  </r>
  <r>
    <x v="66"/>
    <x v="434"/>
    <x v="2"/>
    <x v="0"/>
    <x v="156"/>
    <x v="11"/>
    <x v="2"/>
    <x v="1"/>
    <x v="6"/>
    <x v="2"/>
    <n v="4"/>
    <x v="2"/>
  </r>
  <r>
    <x v="66"/>
    <x v="435"/>
    <x v="2"/>
    <x v="0"/>
    <x v="156"/>
    <x v="10"/>
    <x v="0"/>
    <x v="1"/>
    <x v="6"/>
    <x v="2"/>
    <n v="4"/>
    <x v="2"/>
  </r>
  <r>
    <x v="66"/>
    <x v="436"/>
    <x v="2"/>
    <x v="0"/>
    <x v="156"/>
    <x v="10"/>
    <x v="0"/>
    <x v="1"/>
    <x v="6"/>
    <x v="2"/>
    <n v="4"/>
    <x v="2"/>
  </r>
  <r>
    <x v="66"/>
    <x v="437"/>
    <x v="2"/>
    <x v="0"/>
    <x v="156"/>
    <x v="10"/>
    <x v="0"/>
    <x v="1"/>
    <x v="6"/>
    <x v="2"/>
    <n v="4"/>
    <x v="2"/>
  </r>
  <r>
    <x v="66"/>
    <x v="438"/>
    <x v="4"/>
    <x v="0"/>
    <x v="118"/>
    <x v="11"/>
    <x v="2"/>
    <x v="1"/>
    <x v="6"/>
    <x v="2"/>
    <n v="4"/>
    <x v="2"/>
  </r>
  <r>
    <x v="66"/>
    <x v="439"/>
    <x v="4"/>
    <x v="0"/>
    <x v="118"/>
    <x v="11"/>
    <x v="2"/>
    <x v="1"/>
    <x v="6"/>
    <x v="2"/>
    <n v="4"/>
    <x v="2"/>
  </r>
  <r>
    <x v="66"/>
    <x v="440"/>
    <x v="5"/>
    <x v="0"/>
    <x v="157"/>
    <x v="11"/>
    <x v="2"/>
    <x v="2"/>
    <x v="6"/>
    <x v="2"/>
    <n v="4"/>
    <x v="2"/>
  </r>
  <r>
    <x v="66"/>
    <x v="441"/>
    <x v="5"/>
    <x v="0"/>
    <x v="143"/>
    <x v="8"/>
    <x v="3"/>
    <x v="2"/>
    <x v="6"/>
    <x v="2"/>
    <n v="4"/>
    <x v="2"/>
  </r>
  <r>
    <x v="67"/>
    <x v="442"/>
    <x v="0"/>
    <x v="1"/>
    <x v="10"/>
    <x v="9"/>
    <x v="0"/>
    <x v="0"/>
    <x v="0"/>
    <x v="2"/>
    <n v="5"/>
    <x v="2"/>
  </r>
  <r>
    <x v="67"/>
    <x v="443"/>
    <x v="3"/>
    <x v="0"/>
    <x v="158"/>
    <x v="10"/>
    <x v="0"/>
    <x v="1"/>
    <x v="0"/>
    <x v="2"/>
    <n v="5"/>
    <x v="2"/>
  </r>
  <r>
    <x v="67"/>
    <x v="444"/>
    <x v="3"/>
    <x v="0"/>
    <x v="158"/>
    <x v="10"/>
    <x v="0"/>
    <x v="1"/>
    <x v="0"/>
    <x v="2"/>
    <n v="5"/>
    <x v="2"/>
  </r>
  <r>
    <x v="67"/>
    <x v="445"/>
    <x v="4"/>
    <x v="1"/>
    <x v="10"/>
    <x v="13"/>
    <x v="3"/>
    <x v="1"/>
    <x v="0"/>
    <x v="2"/>
    <n v="5"/>
    <x v="2"/>
  </r>
  <r>
    <x v="68"/>
    <x v="446"/>
    <x v="7"/>
    <x v="0"/>
    <x v="69"/>
    <x v="10"/>
    <x v="0"/>
    <x v="0"/>
    <x v="1"/>
    <x v="2"/>
    <n v="6"/>
    <x v="2"/>
  </r>
  <r>
    <x v="68"/>
    <x v="447"/>
    <x v="9"/>
    <x v="1"/>
    <x v="10"/>
    <x v="9"/>
    <x v="0"/>
    <x v="2"/>
    <x v="1"/>
    <x v="2"/>
    <n v="6"/>
    <x v="2"/>
  </r>
  <r>
    <x v="68"/>
    <x v="448"/>
    <x v="9"/>
    <x v="0"/>
    <x v="8"/>
    <x v="8"/>
    <x v="3"/>
    <x v="2"/>
    <x v="1"/>
    <x v="2"/>
    <n v="6"/>
    <x v="2"/>
  </r>
  <r>
    <x v="68"/>
    <x v="449"/>
    <x v="9"/>
    <x v="0"/>
    <x v="26"/>
    <x v="10"/>
    <x v="4"/>
    <x v="2"/>
    <x v="1"/>
    <x v="2"/>
    <n v="6"/>
    <x v="2"/>
  </r>
  <r>
    <x v="68"/>
    <x v="450"/>
    <x v="9"/>
    <x v="0"/>
    <x v="40"/>
    <x v="10"/>
    <x v="7"/>
    <x v="2"/>
    <x v="1"/>
    <x v="2"/>
    <n v="6"/>
    <x v="2"/>
  </r>
  <r>
    <x v="68"/>
    <x v="451"/>
    <x v="9"/>
    <x v="0"/>
    <x v="12"/>
    <x v="8"/>
    <x v="3"/>
    <x v="2"/>
    <x v="1"/>
    <x v="2"/>
    <n v="6"/>
    <x v="2"/>
  </r>
  <r>
    <x v="68"/>
    <x v="452"/>
    <x v="5"/>
    <x v="0"/>
    <x v="115"/>
    <x v="10"/>
    <x v="7"/>
    <x v="2"/>
    <x v="1"/>
    <x v="2"/>
    <n v="6"/>
    <x v="2"/>
  </r>
  <r>
    <x v="68"/>
    <x v="453"/>
    <x v="6"/>
    <x v="0"/>
    <x v="159"/>
    <x v="10"/>
    <x v="0"/>
    <x v="2"/>
    <x v="1"/>
    <x v="2"/>
    <n v="6"/>
    <x v="2"/>
  </r>
  <r>
    <x v="69"/>
    <x v="454"/>
    <x v="0"/>
    <x v="0"/>
    <x v="0"/>
    <x v="10"/>
    <x v="0"/>
    <x v="0"/>
    <x v="2"/>
    <x v="2"/>
    <n v="7"/>
    <x v="2"/>
  </r>
  <r>
    <x v="69"/>
    <x v="455"/>
    <x v="2"/>
    <x v="0"/>
    <x v="160"/>
    <x v="10"/>
    <x v="0"/>
    <x v="1"/>
    <x v="2"/>
    <x v="2"/>
    <n v="7"/>
    <x v="2"/>
  </r>
  <r>
    <x v="69"/>
    <x v="456"/>
    <x v="2"/>
    <x v="0"/>
    <x v="161"/>
    <x v="11"/>
    <x v="2"/>
    <x v="1"/>
    <x v="2"/>
    <x v="2"/>
    <n v="7"/>
    <x v="2"/>
  </r>
  <r>
    <x v="69"/>
    <x v="457"/>
    <x v="3"/>
    <x v="0"/>
    <x v="77"/>
    <x v="10"/>
    <x v="0"/>
    <x v="1"/>
    <x v="2"/>
    <x v="2"/>
    <n v="7"/>
    <x v="2"/>
  </r>
  <r>
    <x v="69"/>
    <x v="458"/>
    <x v="3"/>
    <x v="0"/>
    <x v="162"/>
    <x v="8"/>
    <x v="3"/>
    <x v="1"/>
    <x v="2"/>
    <x v="2"/>
    <n v="7"/>
    <x v="2"/>
  </r>
  <r>
    <x v="69"/>
    <x v="459"/>
    <x v="3"/>
    <x v="0"/>
    <x v="163"/>
    <x v="8"/>
    <x v="3"/>
    <x v="1"/>
    <x v="2"/>
    <x v="2"/>
    <n v="7"/>
    <x v="2"/>
  </r>
  <r>
    <x v="69"/>
    <x v="460"/>
    <x v="4"/>
    <x v="0"/>
    <x v="12"/>
    <x v="8"/>
    <x v="3"/>
    <x v="1"/>
    <x v="2"/>
    <x v="2"/>
    <n v="7"/>
    <x v="2"/>
  </r>
  <r>
    <x v="69"/>
    <x v="461"/>
    <x v="6"/>
    <x v="0"/>
    <x v="8"/>
    <x v="8"/>
    <x v="3"/>
    <x v="2"/>
    <x v="2"/>
    <x v="2"/>
    <n v="7"/>
    <x v="2"/>
  </r>
  <r>
    <x v="70"/>
    <x v="462"/>
    <x v="7"/>
    <x v="0"/>
    <x v="164"/>
    <x v="8"/>
    <x v="3"/>
    <x v="0"/>
    <x v="3"/>
    <x v="2"/>
    <n v="1"/>
    <x v="2"/>
  </r>
  <r>
    <x v="70"/>
    <x v="463"/>
    <x v="3"/>
    <x v="1"/>
    <x v="10"/>
    <x v="12"/>
    <x v="2"/>
    <x v="1"/>
    <x v="3"/>
    <x v="2"/>
    <n v="1"/>
    <x v="2"/>
  </r>
  <r>
    <x v="70"/>
    <x v="464"/>
    <x v="3"/>
    <x v="1"/>
    <x v="10"/>
    <x v="12"/>
    <x v="2"/>
    <x v="1"/>
    <x v="3"/>
    <x v="2"/>
    <n v="1"/>
    <x v="2"/>
  </r>
  <r>
    <x v="71"/>
    <x v="465"/>
    <x v="13"/>
    <x v="0"/>
    <x v="12"/>
    <x v="11"/>
    <x v="2"/>
    <x v="0"/>
    <x v="4"/>
    <x v="2"/>
    <n v="2"/>
    <x v="2"/>
  </r>
  <r>
    <x v="71"/>
    <x v="466"/>
    <x v="13"/>
    <x v="0"/>
    <x v="12"/>
    <x v="11"/>
    <x v="2"/>
    <x v="0"/>
    <x v="4"/>
    <x v="2"/>
    <n v="2"/>
    <x v="2"/>
  </r>
  <r>
    <x v="71"/>
    <x v="467"/>
    <x v="13"/>
    <x v="0"/>
    <x v="12"/>
    <x v="11"/>
    <x v="2"/>
    <x v="0"/>
    <x v="4"/>
    <x v="2"/>
    <n v="2"/>
    <x v="2"/>
  </r>
  <r>
    <x v="71"/>
    <x v="468"/>
    <x v="0"/>
    <x v="0"/>
    <x v="12"/>
    <x v="10"/>
    <x v="7"/>
    <x v="0"/>
    <x v="4"/>
    <x v="2"/>
    <n v="2"/>
    <x v="2"/>
  </r>
  <r>
    <x v="71"/>
    <x v="469"/>
    <x v="7"/>
    <x v="0"/>
    <x v="165"/>
    <x v="10"/>
    <x v="0"/>
    <x v="0"/>
    <x v="4"/>
    <x v="2"/>
    <n v="2"/>
    <x v="2"/>
  </r>
  <r>
    <x v="71"/>
    <x v="470"/>
    <x v="7"/>
    <x v="0"/>
    <x v="165"/>
    <x v="10"/>
    <x v="7"/>
    <x v="0"/>
    <x v="4"/>
    <x v="2"/>
    <n v="2"/>
    <x v="2"/>
  </r>
  <r>
    <x v="71"/>
    <x v="471"/>
    <x v="8"/>
    <x v="0"/>
    <x v="25"/>
    <x v="10"/>
    <x v="7"/>
    <x v="1"/>
    <x v="4"/>
    <x v="2"/>
    <n v="2"/>
    <x v="2"/>
  </r>
  <r>
    <x v="71"/>
    <x v="472"/>
    <x v="8"/>
    <x v="0"/>
    <x v="8"/>
    <x v="8"/>
    <x v="3"/>
    <x v="1"/>
    <x v="4"/>
    <x v="2"/>
    <n v="2"/>
    <x v="2"/>
  </r>
  <r>
    <x v="71"/>
    <x v="473"/>
    <x v="3"/>
    <x v="0"/>
    <x v="40"/>
    <x v="11"/>
    <x v="2"/>
    <x v="1"/>
    <x v="4"/>
    <x v="2"/>
    <n v="2"/>
    <x v="2"/>
  </r>
  <r>
    <x v="71"/>
    <x v="474"/>
    <x v="4"/>
    <x v="0"/>
    <x v="166"/>
    <x v="8"/>
    <x v="3"/>
    <x v="1"/>
    <x v="4"/>
    <x v="2"/>
    <n v="2"/>
    <x v="2"/>
  </r>
  <r>
    <x v="71"/>
    <x v="475"/>
    <x v="4"/>
    <x v="0"/>
    <x v="166"/>
    <x v="10"/>
    <x v="7"/>
    <x v="1"/>
    <x v="4"/>
    <x v="2"/>
    <n v="2"/>
    <x v="2"/>
  </r>
  <r>
    <x v="71"/>
    <x v="476"/>
    <x v="14"/>
    <x v="0"/>
    <x v="167"/>
    <x v="10"/>
    <x v="1"/>
    <x v="2"/>
    <x v="4"/>
    <x v="2"/>
    <n v="2"/>
    <x v="2"/>
  </r>
  <r>
    <x v="72"/>
    <x v="477"/>
    <x v="13"/>
    <x v="0"/>
    <x v="168"/>
    <x v="10"/>
    <x v="0"/>
    <x v="0"/>
    <x v="5"/>
    <x v="2"/>
    <n v="3"/>
    <x v="2"/>
  </r>
  <r>
    <x v="72"/>
    <x v="478"/>
    <x v="7"/>
    <x v="0"/>
    <x v="12"/>
    <x v="14"/>
    <x v="6"/>
    <x v="0"/>
    <x v="5"/>
    <x v="2"/>
    <n v="3"/>
    <x v="2"/>
  </r>
  <r>
    <x v="72"/>
    <x v="479"/>
    <x v="7"/>
    <x v="0"/>
    <x v="12"/>
    <x v="11"/>
    <x v="2"/>
    <x v="0"/>
    <x v="5"/>
    <x v="2"/>
    <n v="3"/>
    <x v="2"/>
  </r>
  <r>
    <x v="72"/>
    <x v="480"/>
    <x v="2"/>
    <x v="0"/>
    <x v="2"/>
    <x v="11"/>
    <x v="2"/>
    <x v="1"/>
    <x v="5"/>
    <x v="2"/>
    <n v="3"/>
    <x v="2"/>
  </r>
  <r>
    <x v="72"/>
    <x v="481"/>
    <x v="2"/>
    <x v="0"/>
    <x v="2"/>
    <x v="11"/>
    <x v="2"/>
    <x v="1"/>
    <x v="5"/>
    <x v="2"/>
    <n v="3"/>
    <x v="2"/>
  </r>
  <r>
    <x v="72"/>
    <x v="482"/>
    <x v="2"/>
    <x v="0"/>
    <x v="2"/>
    <x v="11"/>
    <x v="2"/>
    <x v="1"/>
    <x v="5"/>
    <x v="2"/>
    <n v="3"/>
    <x v="2"/>
  </r>
  <r>
    <x v="72"/>
    <x v="483"/>
    <x v="2"/>
    <x v="0"/>
    <x v="164"/>
    <x v="8"/>
    <x v="3"/>
    <x v="1"/>
    <x v="5"/>
    <x v="2"/>
    <n v="3"/>
    <x v="2"/>
  </r>
  <r>
    <x v="72"/>
    <x v="484"/>
    <x v="8"/>
    <x v="1"/>
    <x v="10"/>
    <x v="12"/>
    <x v="2"/>
    <x v="1"/>
    <x v="5"/>
    <x v="2"/>
    <n v="3"/>
    <x v="2"/>
  </r>
  <r>
    <x v="72"/>
    <x v="485"/>
    <x v="8"/>
    <x v="0"/>
    <x v="169"/>
    <x v="11"/>
    <x v="5"/>
    <x v="1"/>
    <x v="5"/>
    <x v="2"/>
    <n v="3"/>
    <x v="2"/>
  </r>
  <r>
    <x v="72"/>
    <x v="486"/>
    <x v="8"/>
    <x v="0"/>
    <x v="12"/>
    <x v="11"/>
    <x v="5"/>
    <x v="1"/>
    <x v="5"/>
    <x v="2"/>
    <n v="3"/>
    <x v="2"/>
  </r>
  <r>
    <x v="72"/>
    <x v="487"/>
    <x v="9"/>
    <x v="0"/>
    <x v="170"/>
    <x v="14"/>
    <x v="6"/>
    <x v="2"/>
    <x v="5"/>
    <x v="2"/>
    <n v="3"/>
    <x v="2"/>
  </r>
  <r>
    <x v="72"/>
    <x v="488"/>
    <x v="12"/>
    <x v="0"/>
    <x v="171"/>
    <x v="10"/>
    <x v="7"/>
    <x v="2"/>
    <x v="5"/>
    <x v="2"/>
    <n v="3"/>
    <x v="2"/>
  </r>
  <r>
    <x v="73"/>
    <x v="489"/>
    <x v="0"/>
    <x v="0"/>
    <x v="97"/>
    <x v="8"/>
    <x v="3"/>
    <x v="0"/>
    <x v="6"/>
    <x v="2"/>
    <n v="4"/>
    <x v="2"/>
  </r>
  <r>
    <x v="73"/>
    <x v="490"/>
    <x v="0"/>
    <x v="0"/>
    <x v="172"/>
    <x v="8"/>
    <x v="3"/>
    <x v="0"/>
    <x v="6"/>
    <x v="2"/>
    <n v="4"/>
    <x v="2"/>
  </r>
  <r>
    <x v="73"/>
    <x v="491"/>
    <x v="7"/>
    <x v="1"/>
    <x v="10"/>
    <x v="9"/>
    <x v="0"/>
    <x v="0"/>
    <x v="6"/>
    <x v="2"/>
    <n v="4"/>
    <x v="2"/>
  </r>
  <r>
    <x v="73"/>
    <x v="492"/>
    <x v="7"/>
    <x v="1"/>
    <x v="10"/>
    <x v="9"/>
    <x v="7"/>
    <x v="0"/>
    <x v="6"/>
    <x v="2"/>
    <n v="4"/>
    <x v="2"/>
  </r>
  <r>
    <x v="73"/>
    <x v="493"/>
    <x v="1"/>
    <x v="0"/>
    <x v="173"/>
    <x v="8"/>
    <x v="3"/>
    <x v="1"/>
    <x v="6"/>
    <x v="2"/>
    <n v="4"/>
    <x v="2"/>
  </r>
  <r>
    <x v="73"/>
    <x v="494"/>
    <x v="3"/>
    <x v="0"/>
    <x v="174"/>
    <x v="10"/>
    <x v="1"/>
    <x v="1"/>
    <x v="6"/>
    <x v="2"/>
    <n v="4"/>
    <x v="2"/>
  </r>
  <r>
    <x v="73"/>
    <x v="495"/>
    <x v="9"/>
    <x v="0"/>
    <x v="69"/>
    <x v="10"/>
    <x v="0"/>
    <x v="2"/>
    <x v="6"/>
    <x v="2"/>
    <n v="4"/>
    <x v="2"/>
  </r>
  <r>
    <x v="73"/>
    <x v="496"/>
    <x v="5"/>
    <x v="0"/>
    <x v="175"/>
    <x v="10"/>
    <x v="1"/>
    <x v="2"/>
    <x v="6"/>
    <x v="2"/>
    <n v="4"/>
    <x v="2"/>
  </r>
  <r>
    <x v="73"/>
    <x v="497"/>
    <x v="5"/>
    <x v="0"/>
    <x v="175"/>
    <x v="10"/>
    <x v="0"/>
    <x v="2"/>
    <x v="6"/>
    <x v="2"/>
    <n v="4"/>
    <x v="2"/>
  </r>
  <r>
    <x v="74"/>
    <x v="498"/>
    <x v="10"/>
    <x v="0"/>
    <x v="33"/>
    <x v="11"/>
    <x v="2"/>
    <x v="0"/>
    <x v="0"/>
    <x v="2"/>
    <n v="5"/>
    <x v="2"/>
  </r>
  <r>
    <x v="74"/>
    <x v="499"/>
    <x v="7"/>
    <x v="0"/>
    <x v="164"/>
    <x v="8"/>
    <x v="3"/>
    <x v="0"/>
    <x v="0"/>
    <x v="2"/>
    <n v="5"/>
    <x v="2"/>
  </r>
  <r>
    <x v="74"/>
    <x v="500"/>
    <x v="8"/>
    <x v="1"/>
    <x v="10"/>
    <x v="13"/>
    <x v="3"/>
    <x v="1"/>
    <x v="0"/>
    <x v="2"/>
    <n v="5"/>
    <x v="2"/>
  </r>
  <r>
    <x v="74"/>
    <x v="501"/>
    <x v="6"/>
    <x v="0"/>
    <x v="12"/>
    <x v="8"/>
    <x v="3"/>
    <x v="2"/>
    <x v="0"/>
    <x v="2"/>
    <n v="5"/>
    <x v="2"/>
  </r>
  <r>
    <x v="74"/>
    <x v="502"/>
    <x v="6"/>
    <x v="0"/>
    <x v="8"/>
    <x v="10"/>
    <x v="7"/>
    <x v="2"/>
    <x v="0"/>
    <x v="2"/>
    <n v="5"/>
    <x v="2"/>
  </r>
  <r>
    <x v="74"/>
    <x v="503"/>
    <x v="12"/>
    <x v="0"/>
    <x v="176"/>
    <x v="10"/>
    <x v="7"/>
    <x v="2"/>
    <x v="0"/>
    <x v="2"/>
    <n v="5"/>
    <x v="2"/>
  </r>
  <r>
    <x v="74"/>
    <x v="504"/>
    <x v="14"/>
    <x v="0"/>
    <x v="177"/>
    <x v="11"/>
    <x v="2"/>
    <x v="2"/>
    <x v="0"/>
    <x v="2"/>
    <n v="5"/>
    <x v="2"/>
  </r>
  <r>
    <x v="74"/>
    <x v="505"/>
    <x v="14"/>
    <x v="0"/>
    <x v="178"/>
    <x v="10"/>
    <x v="0"/>
    <x v="2"/>
    <x v="0"/>
    <x v="2"/>
    <n v="5"/>
    <x v="2"/>
  </r>
  <r>
    <x v="74"/>
    <x v="506"/>
    <x v="14"/>
    <x v="0"/>
    <x v="179"/>
    <x v="10"/>
    <x v="0"/>
    <x v="2"/>
    <x v="0"/>
    <x v="2"/>
    <n v="5"/>
    <x v="2"/>
  </r>
  <r>
    <x v="75"/>
    <x v="507"/>
    <x v="13"/>
    <x v="0"/>
    <x v="180"/>
    <x v="10"/>
    <x v="7"/>
    <x v="0"/>
    <x v="1"/>
    <x v="2"/>
    <n v="6"/>
    <x v="2"/>
  </r>
  <r>
    <x v="75"/>
    <x v="508"/>
    <x v="13"/>
    <x v="0"/>
    <x v="180"/>
    <x v="10"/>
    <x v="7"/>
    <x v="0"/>
    <x v="1"/>
    <x v="2"/>
    <n v="6"/>
    <x v="2"/>
  </r>
  <r>
    <x v="75"/>
    <x v="509"/>
    <x v="7"/>
    <x v="0"/>
    <x v="181"/>
    <x v="8"/>
    <x v="3"/>
    <x v="0"/>
    <x v="1"/>
    <x v="2"/>
    <n v="6"/>
    <x v="2"/>
  </r>
  <r>
    <x v="75"/>
    <x v="510"/>
    <x v="4"/>
    <x v="0"/>
    <x v="172"/>
    <x v="8"/>
    <x v="3"/>
    <x v="1"/>
    <x v="1"/>
    <x v="2"/>
    <n v="6"/>
    <x v="2"/>
  </r>
  <r>
    <x v="75"/>
    <x v="511"/>
    <x v="4"/>
    <x v="0"/>
    <x v="97"/>
    <x v="8"/>
    <x v="3"/>
    <x v="1"/>
    <x v="1"/>
    <x v="2"/>
    <n v="6"/>
    <x v="2"/>
  </r>
  <r>
    <x v="75"/>
    <x v="512"/>
    <x v="6"/>
    <x v="0"/>
    <x v="40"/>
    <x v="8"/>
    <x v="3"/>
    <x v="2"/>
    <x v="1"/>
    <x v="2"/>
    <n v="6"/>
    <x v="2"/>
  </r>
  <r>
    <x v="75"/>
    <x v="513"/>
    <x v="12"/>
    <x v="0"/>
    <x v="8"/>
    <x v="10"/>
    <x v="0"/>
    <x v="2"/>
    <x v="1"/>
    <x v="2"/>
    <n v="6"/>
    <x v="2"/>
  </r>
  <r>
    <x v="75"/>
    <x v="514"/>
    <x v="14"/>
    <x v="1"/>
    <x v="10"/>
    <x v="9"/>
    <x v="7"/>
    <x v="2"/>
    <x v="1"/>
    <x v="2"/>
    <n v="6"/>
    <x v="2"/>
  </r>
  <r>
    <x v="76"/>
    <x v="515"/>
    <x v="11"/>
    <x v="0"/>
    <x v="182"/>
    <x v="11"/>
    <x v="2"/>
    <x v="0"/>
    <x v="2"/>
    <x v="2"/>
    <n v="7"/>
    <x v="2"/>
  </r>
  <r>
    <x v="76"/>
    <x v="516"/>
    <x v="11"/>
    <x v="0"/>
    <x v="182"/>
    <x v="11"/>
    <x v="2"/>
    <x v="0"/>
    <x v="2"/>
    <x v="2"/>
    <n v="7"/>
    <x v="2"/>
  </r>
  <r>
    <x v="76"/>
    <x v="517"/>
    <x v="13"/>
    <x v="0"/>
    <x v="183"/>
    <x v="10"/>
    <x v="7"/>
    <x v="0"/>
    <x v="2"/>
    <x v="2"/>
    <n v="7"/>
    <x v="2"/>
  </r>
  <r>
    <x v="76"/>
    <x v="518"/>
    <x v="10"/>
    <x v="1"/>
    <x v="10"/>
    <x v="4"/>
    <x v="6"/>
    <x v="0"/>
    <x v="2"/>
    <x v="2"/>
    <n v="7"/>
    <x v="2"/>
  </r>
  <r>
    <x v="76"/>
    <x v="519"/>
    <x v="1"/>
    <x v="0"/>
    <x v="184"/>
    <x v="8"/>
    <x v="3"/>
    <x v="1"/>
    <x v="2"/>
    <x v="2"/>
    <n v="7"/>
    <x v="2"/>
  </r>
  <r>
    <x v="76"/>
    <x v="520"/>
    <x v="8"/>
    <x v="0"/>
    <x v="12"/>
    <x v="11"/>
    <x v="2"/>
    <x v="1"/>
    <x v="2"/>
    <x v="2"/>
    <n v="7"/>
    <x v="2"/>
  </r>
  <r>
    <x v="76"/>
    <x v="521"/>
    <x v="3"/>
    <x v="0"/>
    <x v="185"/>
    <x v="8"/>
    <x v="3"/>
    <x v="1"/>
    <x v="2"/>
    <x v="2"/>
    <n v="7"/>
    <x v="2"/>
  </r>
  <r>
    <x v="76"/>
    <x v="522"/>
    <x v="5"/>
    <x v="0"/>
    <x v="186"/>
    <x v="8"/>
    <x v="3"/>
    <x v="2"/>
    <x v="2"/>
    <x v="2"/>
    <n v="7"/>
    <x v="2"/>
  </r>
  <r>
    <x v="76"/>
    <x v="523"/>
    <x v="5"/>
    <x v="0"/>
    <x v="186"/>
    <x v="14"/>
    <x v="6"/>
    <x v="2"/>
    <x v="2"/>
    <x v="2"/>
    <n v="7"/>
    <x v="2"/>
  </r>
  <r>
    <x v="76"/>
    <x v="524"/>
    <x v="5"/>
    <x v="0"/>
    <x v="186"/>
    <x v="10"/>
    <x v="1"/>
    <x v="2"/>
    <x v="2"/>
    <x v="2"/>
    <n v="7"/>
    <x v="2"/>
  </r>
  <r>
    <x v="76"/>
    <x v="525"/>
    <x v="6"/>
    <x v="0"/>
    <x v="187"/>
    <x v="10"/>
    <x v="7"/>
    <x v="2"/>
    <x v="2"/>
    <x v="2"/>
    <n v="7"/>
    <x v="2"/>
  </r>
  <r>
    <x v="76"/>
    <x v="526"/>
    <x v="15"/>
    <x v="0"/>
    <x v="188"/>
    <x v="10"/>
    <x v="7"/>
    <x v="2"/>
    <x v="2"/>
    <x v="2"/>
    <n v="7"/>
    <x v="2"/>
  </r>
  <r>
    <x v="76"/>
    <x v="527"/>
    <x v="15"/>
    <x v="0"/>
    <x v="189"/>
    <x v="10"/>
    <x v="7"/>
    <x v="2"/>
    <x v="2"/>
    <x v="2"/>
    <n v="7"/>
    <x v="2"/>
  </r>
  <r>
    <x v="77"/>
    <x v="528"/>
    <x v="0"/>
    <x v="0"/>
    <x v="190"/>
    <x v="8"/>
    <x v="3"/>
    <x v="0"/>
    <x v="3"/>
    <x v="2"/>
    <n v="1"/>
    <x v="2"/>
  </r>
  <r>
    <x v="77"/>
    <x v="529"/>
    <x v="0"/>
    <x v="0"/>
    <x v="191"/>
    <x v="10"/>
    <x v="0"/>
    <x v="0"/>
    <x v="3"/>
    <x v="2"/>
    <n v="1"/>
    <x v="2"/>
  </r>
  <r>
    <x v="77"/>
    <x v="530"/>
    <x v="0"/>
    <x v="0"/>
    <x v="0"/>
    <x v="10"/>
    <x v="0"/>
    <x v="0"/>
    <x v="3"/>
    <x v="2"/>
    <n v="1"/>
    <x v="2"/>
  </r>
  <r>
    <x v="77"/>
    <x v="531"/>
    <x v="7"/>
    <x v="0"/>
    <x v="143"/>
    <x v="11"/>
    <x v="2"/>
    <x v="0"/>
    <x v="3"/>
    <x v="2"/>
    <n v="1"/>
    <x v="2"/>
  </r>
  <r>
    <x v="77"/>
    <x v="532"/>
    <x v="7"/>
    <x v="0"/>
    <x v="143"/>
    <x v="11"/>
    <x v="2"/>
    <x v="0"/>
    <x v="3"/>
    <x v="2"/>
    <n v="1"/>
    <x v="2"/>
  </r>
  <r>
    <x v="77"/>
    <x v="533"/>
    <x v="2"/>
    <x v="0"/>
    <x v="2"/>
    <x v="11"/>
    <x v="2"/>
    <x v="1"/>
    <x v="3"/>
    <x v="2"/>
    <n v="1"/>
    <x v="2"/>
  </r>
  <r>
    <x v="77"/>
    <x v="534"/>
    <x v="2"/>
    <x v="0"/>
    <x v="2"/>
    <x v="11"/>
    <x v="2"/>
    <x v="1"/>
    <x v="3"/>
    <x v="2"/>
    <n v="1"/>
    <x v="2"/>
  </r>
  <r>
    <x v="77"/>
    <x v="535"/>
    <x v="8"/>
    <x v="0"/>
    <x v="192"/>
    <x v="8"/>
    <x v="3"/>
    <x v="1"/>
    <x v="3"/>
    <x v="2"/>
    <n v="1"/>
    <x v="2"/>
  </r>
  <r>
    <x v="77"/>
    <x v="536"/>
    <x v="8"/>
    <x v="0"/>
    <x v="192"/>
    <x v="10"/>
    <x v="7"/>
    <x v="1"/>
    <x v="3"/>
    <x v="2"/>
    <n v="1"/>
    <x v="2"/>
  </r>
  <r>
    <x v="77"/>
    <x v="537"/>
    <x v="8"/>
    <x v="1"/>
    <x v="10"/>
    <x v="12"/>
    <x v="2"/>
    <x v="1"/>
    <x v="3"/>
    <x v="2"/>
    <n v="1"/>
    <x v="2"/>
  </r>
  <r>
    <x v="77"/>
    <x v="538"/>
    <x v="9"/>
    <x v="0"/>
    <x v="120"/>
    <x v="10"/>
    <x v="0"/>
    <x v="2"/>
    <x v="3"/>
    <x v="2"/>
    <n v="1"/>
    <x v="2"/>
  </r>
  <r>
    <x v="77"/>
    <x v="539"/>
    <x v="9"/>
    <x v="0"/>
    <x v="193"/>
    <x v="10"/>
    <x v="0"/>
    <x v="2"/>
    <x v="3"/>
    <x v="2"/>
    <n v="1"/>
    <x v="2"/>
  </r>
  <r>
    <x v="77"/>
    <x v="540"/>
    <x v="12"/>
    <x v="0"/>
    <x v="194"/>
    <x v="8"/>
    <x v="3"/>
    <x v="2"/>
    <x v="3"/>
    <x v="2"/>
    <n v="1"/>
    <x v="2"/>
  </r>
  <r>
    <x v="77"/>
    <x v="541"/>
    <x v="12"/>
    <x v="0"/>
    <x v="194"/>
    <x v="10"/>
    <x v="4"/>
    <x v="2"/>
    <x v="3"/>
    <x v="2"/>
    <n v="1"/>
    <x v="2"/>
  </r>
  <r>
    <x v="77"/>
    <x v="542"/>
    <x v="12"/>
    <x v="0"/>
    <x v="195"/>
    <x v="11"/>
    <x v="5"/>
    <x v="2"/>
    <x v="3"/>
    <x v="2"/>
    <n v="1"/>
    <x v="2"/>
  </r>
  <r>
    <x v="77"/>
    <x v="543"/>
    <x v="15"/>
    <x v="0"/>
    <x v="12"/>
    <x v="8"/>
    <x v="3"/>
    <x v="2"/>
    <x v="3"/>
    <x v="2"/>
    <n v="1"/>
    <x v="2"/>
  </r>
  <r>
    <x v="77"/>
    <x v="544"/>
    <x v="15"/>
    <x v="0"/>
    <x v="12"/>
    <x v="8"/>
    <x v="3"/>
    <x v="2"/>
    <x v="3"/>
    <x v="2"/>
    <n v="1"/>
    <x v="2"/>
  </r>
  <r>
    <x v="78"/>
    <x v="545"/>
    <x v="13"/>
    <x v="0"/>
    <x v="196"/>
    <x v="10"/>
    <x v="0"/>
    <x v="0"/>
    <x v="4"/>
    <x v="2"/>
    <n v="2"/>
    <x v="2"/>
  </r>
  <r>
    <x v="78"/>
    <x v="546"/>
    <x v="10"/>
    <x v="1"/>
    <x v="10"/>
    <x v="12"/>
    <x v="2"/>
    <x v="0"/>
    <x v="4"/>
    <x v="2"/>
    <n v="2"/>
    <x v="2"/>
  </r>
  <r>
    <x v="78"/>
    <x v="547"/>
    <x v="10"/>
    <x v="1"/>
    <x v="10"/>
    <x v="13"/>
    <x v="3"/>
    <x v="0"/>
    <x v="4"/>
    <x v="2"/>
    <n v="2"/>
    <x v="2"/>
  </r>
  <r>
    <x v="78"/>
    <x v="548"/>
    <x v="10"/>
    <x v="1"/>
    <x v="10"/>
    <x v="9"/>
    <x v="4"/>
    <x v="0"/>
    <x v="4"/>
    <x v="2"/>
    <n v="2"/>
    <x v="2"/>
  </r>
  <r>
    <x v="78"/>
    <x v="549"/>
    <x v="0"/>
    <x v="1"/>
    <x v="10"/>
    <x v="9"/>
    <x v="0"/>
    <x v="0"/>
    <x v="4"/>
    <x v="2"/>
    <n v="2"/>
    <x v="2"/>
  </r>
  <r>
    <x v="78"/>
    <x v="550"/>
    <x v="4"/>
    <x v="0"/>
    <x v="197"/>
    <x v="10"/>
    <x v="0"/>
    <x v="1"/>
    <x v="4"/>
    <x v="2"/>
    <n v="2"/>
    <x v="2"/>
  </r>
  <r>
    <x v="78"/>
    <x v="551"/>
    <x v="5"/>
    <x v="0"/>
    <x v="12"/>
    <x v="14"/>
    <x v="6"/>
    <x v="2"/>
    <x v="4"/>
    <x v="2"/>
    <n v="2"/>
    <x v="2"/>
  </r>
  <r>
    <x v="78"/>
    <x v="552"/>
    <x v="6"/>
    <x v="0"/>
    <x v="198"/>
    <x v="10"/>
    <x v="7"/>
    <x v="2"/>
    <x v="4"/>
    <x v="2"/>
    <n v="2"/>
    <x v="2"/>
  </r>
  <r>
    <x v="78"/>
    <x v="553"/>
    <x v="12"/>
    <x v="0"/>
    <x v="199"/>
    <x v="10"/>
    <x v="7"/>
    <x v="2"/>
    <x v="4"/>
    <x v="2"/>
    <n v="2"/>
    <x v="2"/>
  </r>
  <r>
    <x v="79"/>
    <x v="554"/>
    <x v="10"/>
    <x v="0"/>
    <x v="200"/>
    <x v="10"/>
    <x v="7"/>
    <x v="0"/>
    <x v="5"/>
    <x v="2"/>
    <n v="3"/>
    <x v="2"/>
  </r>
  <r>
    <x v="79"/>
    <x v="555"/>
    <x v="0"/>
    <x v="0"/>
    <x v="191"/>
    <x v="8"/>
    <x v="3"/>
    <x v="0"/>
    <x v="5"/>
    <x v="2"/>
    <n v="3"/>
    <x v="2"/>
  </r>
  <r>
    <x v="79"/>
    <x v="556"/>
    <x v="7"/>
    <x v="0"/>
    <x v="141"/>
    <x v="11"/>
    <x v="5"/>
    <x v="0"/>
    <x v="5"/>
    <x v="2"/>
    <n v="3"/>
    <x v="2"/>
  </r>
  <r>
    <x v="79"/>
    <x v="557"/>
    <x v="7"/>
    <x v="0"/>
    <x v="97"/>
    <x v="8"/>
    <x v="3"/>
    <x v="0"/>
    <x v="5"/>
    <x v="2"/>
    <n v="3"/>
    <x v="2"/>
  </r>
  <r>
    <x v="79"/>
    <x v="558"/>
    <x v="1"/>
    <x v="0"/>
    <x v="12"/>
    <x v="11"/>
    <x v="2"/>
    <x v="1"/>
    <x v="5"/>
    <x v="2"/>
    <n v="3"/>
    <x v="2"/>
  </r>
  <r>
    <x v="79"/>
    <x v="559"/>
    <x v="1"/>
    <x v="0"/>
    <x v="12"/>
    <x v="11"/>
    <x v="2"/>
    <x v="1"/>
    <x v="5"/>
    <x v="2"/>
    <n v="3"/>
    <x v="2"/>
  </r>
  <r>
    <x v="79"/>
    <x v="560"/>
    <x v="8"/>
    <x v="0"/>
    <x v="8"/>
    <x v="8"/>
    <x v="3"/>
    <x v="1"/>
    <x v="5"/>
    <x v="2"/>
    <n v="3"/>
    <x v="2"/>
  </r>
  <r>
    <x v="79"/>
    <x v="561"/>
    <x v="6"/>
    <x v="0"/>
    <x v="134"/>
    <x v="10"/>
    <x v="7"/>
    <x v="2"/>
    <x v="5"/>
    <x v="2"/>
    <n v="3"/>
    <x v="2"/>
  </r>
  <r>
    <x v="79"/>
    <x v="562"/>
    <x v="6"/>
    <x v="0"/>
    <x v="134"/>
    <x v="10"/>
    <x v="7"/>
    <x v="2"/>
    <x v="5"/>
    <x v="2"/>
    <n v="3"/>
    <x v="2"/>
  </r>
  <r>
    <x v="79"/>
    <x v="563"/>
    <x v="15"/>
    <x v="0"/>
    <x v="180"/>
    <x v="10"/>
    <x v="1"/>
    <x v="2"/>
    <x v="5"/>
    <x v="2"/>
    <n v="3"/>
    <x v="2"/>
  </r>
  <r>
    <x v="79"/>
    <x v="564"/>
    <x v="15"/>
    <x v="0"/>
    <x v="180"/>
    <x v="10"/>
    <x v="7"/>
    <x v="2"/>
    <x v="5"/>
    <x v="2"/>
    <n v="3"/>
    <x v="2"/>
  </r>
  <r>
    <x v="80"/>
    <x v="565"/>
    <x v="0"/>
    <x v="0"/>
    <x v="201"/>
    <x v="10"/>
    <x v="7"/>
    <x v="0"/>
    <x v="6"/>
    <x v="2"/>
    <n v="4"/>
    <x v="2"/>
  </r>
  <r>
    <x v="80"/>
    <x v="566"/>
    <x v="1"/>
    <x v="0"/>
    <x v="202"/>
    <x v="14"/>
    <x v="6"/>
    <x v="1"/>
    <x v="6"/>
    <x v="2"/>
    <n v="4"/>
    <x v="2"/>
  </r>
  <r>
    <x v="80"/>
    <x v="567"/>
    <x v="3"/>
    <x v="0"/>
    <x v="180"/>
    <x v="10"/>
    <x v="7"/>
    <x v="1"/>
    <x v="6"/>
    <x v="2"/>
    <n v="4"/>
    <x v="2"/>
  </r>
  <r>
    <x v="80"/>
    <x v="568"/>
    <x v="3"/>
    <x v="0"/>
    <x v="203"/>
    <x v="10"/>
    <x v="7"/>
    <x v="1"/>
    <x v="6"/>
    <x v="2"/>
    <n v="4"/>
    <x v="2"/>
  </r>
  <r>
    <x v="80"/>
    <x v="569"/>
    <x v="4"/>
    <x v="0"/>
    <x v="180"/>
    <x v="10"/>
    <x v="7"/>
    <x v="1"/>
    <x v="6"/>
    <x v="2"/>
    <n v="4"/>
    <x v="2"/>
  </r>
  <r>
    <x v="80"/>
    <x v="570"/>
    <x v="4"/>
    <x v="0"/>
    <x v="77"/>
    <x v="10"/>
    <x v="0"/>
    <x v="1"/>
    <x v="6"/>
    <x v="2"/>
    <n v="4"/>
    <x v="2"/>
  </r>
  <r>
    <x v="80"/>
    <x v="571"/>
    <x v="9"/>
    <x v="0"/>
    <x v="153"/>
    <x v="10"/>
    <x v="7"/>
    <x v="2"/>
    <x v="6"/>
    <x v="2"/>
    <n v="4"/>
    <x v="2"/>
  </r>
  <r>
    <x v="80"/>
    <x v="572"/>
    <x v="9"/>
    <x v="0"/>
    <x v="153"/>
    <x v="10"/>
    <x v="0"/>
    <x v="2"/>
    <x v="6"/>
    <x v="2"/>
    <n v="4"/>
    <x v="2"/>
  </r>
  <r>
    <x v="80"/>
    <x v="573"/>
    <x v="6"/>
    <x v="0"/>
    <x v="204"/>
    <x v="11"/>
    <x v="5"/>
    <x v="2"/>
    <x v="6"/>
    <x v="2"/>
    <n v="4"/>
    <x v="2"/>
  </r>
  <r>
    <x v="80"/>
    <x v="574"/>
    <x v="6"/>
    <x v="0"/>
    <x v="134"/>
    <x v="10"/>
    <x v="7"/>
    <x v="2"/>
    <x v="6"/>
    <x v="2"/>
    <n v="4"/>
    <x v="2"/>
  </r>
  <r>
    <x v="80"/>
    <x v="575"/>
    <x v="6"/>
    <x v="0"/>
    <x v="205"/>
    <x v="10"/>
    <x v="7"/>
    <x v="2"/>
    <x v="6"/>
    <x v="2"/>
    <n v="4"/>
    <x v="2"/>
  </r>
  <r>
    <x v="80"/>
    <x v="576"/>
    <x v="6"/>
    <x v="0"/>
    <x v="206"/>
    <x v="10"/>
    <x v="7"/>
    <x v="2"/>
    <x v="6"/>
    <x v="2"/>
    <n v="4"/>
    <x v="2"/>
  </r>
  <r>
    <x v="80"/>
    <x v="577"/>
    <x v="12"/>
    <x v="0"/>
    <x v="207"/>
    <x v="10"/>
    <x v="7"/>
    <x v="2"/>
    <x v="6"/>
    <x v="2"/>
    <n v="4"/>
    <x v="2"/>
  </r>
  <r>
    <x v="80"/>
    <x v="578"/>
    <x v="12"/>
    <x v="0"/>
    <x v="207"/>
    <x v="10"/>
    <x v="0"/>
    <x v="2"/>
    <x v="6"/>
    <x v="2"/>
    <n v="4"/>
    <x v="2"/>
  </r>
  <r>
    <x v="80"/>
    <x v="579"/>
    <x v="14"/>
    <x v="0"/>
    <x v="208"/>
    <x v="8"/>
    <x v="3"/>
    <x v="2"/>
    <x v="6"/>
    <x v="2"/>
    <n v="4"/>
    <x v="2"/>
  </r>
  <r>
    <x v="80"/>
    <x v="580"/>
    <x v="14"/>
    <x v="1"/>
    <x v="10"/>
    <x v="9"/>
    <x v="1"/>
    <x v="2"/>
    <x v="6"/>
    <x v="2"/>
    <n v="4"/>
    <x v="2"/>
  </r>
  <r>
    <x v="81"/>
    <x v="581"/>
    <x v="7"/>
    <x v="0"/>
    <x v="141"/>
    <x v="11"/>
    <x v="5"/>
    <x v="0"/>
    <x v="0"/>
    <x v="2"/>
    <n v="5"/>
    <x v="2"/>
  </r>
  <r>
    <x v="81"/>
    <x v="582"/>
    <x v="7"/>
    <x v="0"/>
    <x v="12"/>
    <x v="11"/>
    <x v="2"/>
    <x v="0"/>
    <x v="0"/>
    <x v="2"/>
    <n v="5"/>
    <x v="2"/>
  </r>
  <r>
    <x v="81"/>
    <x v="583"/>
    <x v="7"/>
    <x v="0"/>
    <x v="12"/>
    <x v="11"/>
    <x v="2"/>
    <x v="0"/>
    <x v="0"/>
    <x v="2"/>
    <n v="5"/>
    <x v="2"/>
  </r>
  <r>
    <x v="81"/>
    <x v="584"/>
    <x v="4"/>
    <x v="0"/>
    <x v="81"/>
    <x v="10"/>
    <x v="1"/>
    <x v="1"/>
    <x v="0"/>
    <x v="2"/>
    <n v="5"/>
    <x v="2"/>
  </r>
  <r>
    <x v="81"/>
    <x v="585"/>
    <x v="5"/>
    <x v="0"/>
    <x v="209"/>
    <x v="11"/>
    <x v="5"/>
    <x v="2"/>
    <x v="0"/>
    <x v="2"/>
    <n v="5"/>
    <x v="2"/>
  </r>
  <r>
    <x v="81"/>
    <x v="586"/>
    <x v="5"/>
    <x v="0"/>
    <x v="209"/>
    <x v="11"/>
    <x v="5"/>
    <x v="2"/>
    <x v="0"/>
    <x v="2"/>
    <n v="5"/>
    <x v="2"/>
  </r>
  <r>
    <x v="81"/>
    <x v="587"/>
    <x v="14"/>
    <x v="0"/>
    <x v="210"/>
    <x v="8"/>
    <x v="3"/>
    <x v="2"/>
    <x v="0"/>
    <x v="2"/>
    <n v="5"/>
    <x v="2"/>
  </r>
  <r>
    <x v="82"/>
    <x v="588"/>
    <x v="11"/>
    <x v="1"/>
    <x v="10"/>
    <x v="12"/>
    <x v="2"/>
    <x v="0"/>
    <x v="1"/>
    <x v="2"/>
    <n v="6"/>
    <x v="2"/>
  </r>
  <r>
    <x v="82"/>
    <x v="589"/>
    <x v="1"/>
    <x v="0"/>
    <x v="211"/>
    <x v="10"/>
    <x v="0"/>
    <x v="1"/>
    <x v="1"/>
    <x v="2"/>
    <n v="6"/>
    <x v="2"/>
  </r>
  <r>
    <x v="82"/>
    <x v="590"/>
    <x v="1"/>
    <x v="1"/>
    <x v="10"/>
    <x v="12"/>
    <x v="2"/>
    <x v="1"/>
    <x v="1"/>
    <x v="2"/>
    <n v="6"/>
    <x v="2"/>
  </r>
  <r>
    <x v="82"/>
    <x v="591"/>
    <x v="1"/>
    <x v="0"/>
    <x v="212"/>
    <x v="8"/>
    <x v="3"/>
    <x v="1"/>
    <x v="1"/>
    <x v="2"/>
    <n v="6"/>
    <x v="2"/>
  </r>
  <r>
    <x v="82"/>
    <x v="592"/>
    <x v="1"/>
    <x v="0"/>
    <x v="212"/>
    <x v="8"/>
    <x v="3"/>
    <x v="1"/>
    <x v="1"/>
    <x v="2"/>
    <n v="6"/>
    <x v="2"/>
  </r>
  <r>
    <x v="82"/>
    <x v="593"/>
    <x v="1"/>
    <x v="0"/>
    <x v="213"/>
    <x v="8"/>
    <x v="3"/>
    <x v="1"/>
    <x v="1"/>
    <x v="2"/>
    <n v="6"/>
    <x v="2"/>
  </r>
  <r>
    <x v="82"/>
    <x v="594"/>
    <x v="4"/>
    <x v="0"/>
    <x v="40"/>
    <x v="8"/>
    <x v="3"/>
    <x v="1"/>
    <x v="1"/>
    <x v="2"/>
    <n v="6"/>
    <x v="2"/>
  </r>
  <r>
    <x v="82"/>
    <x v="595"/>
    <x v="4"/>
    <x v="0"/>
    <x v="40"/>
    <x v="11"/>
    <x v="2"/>
    <x v="1"/>
    <x v="1"/>
    <x v="2"/>
    <n v="6"/>
    <x v="2"/>
  </r>
  <r>
    <x v="83"/>
    <x v="596"/>
    <x v="0"/>
    <x v="0"/>
    <x v="0"/>
    <x v="10"/>
    <x v="0"/>
    <x v="0"/>
    <x v="2"/>
    <x v="2"/>
    <n v="7"/>
    <x v="2"/>
  </r>
  <r>
    <x v="83"/>
    <x v="597"/>
    <x v="8"/>
    <x v="0"/>
    <x v="214"/>
    <x v="8"/>
    <x v="3"/>
    <x v="1"/>
    <x v="2"/>
    <x v="2"/>
    <n v="7"/>
    <x v="2"/>
  </r>
  <r>
    <x v="83"/>
    <x v="598"/>
    <x v="8"/>
    <x v="0"/>
    <x v="215"/>
    <x v="11"/>
    <x v="5"/>
    <x v="1"/>
    <x v="2"/>
    <x v="2"/>
    <n v="7"/>
    <x v="2"/>
  </r>
  <r>
    <x v="83"/>
    <x v="599"/>
    <x v="8"/>
    <x v="0"/>
    <x v="216"/>
    <x v="8"/>
    <x v="3"/>
    <x v="1"/>
    <x v="2"/>
    <x v="2"/>
    <n v="7"/>
    <x v="2"/>
  </r>
  <r>
    <x v="83"/>
    <x v="600"/>
    <x v="9"/>
    <x v="0"/>
    <x v="217"/>
    <x v="10"/>
    <x v="7"/>
    <x v="2"/>
    <x v="2"/>
    <x v="2"/>
    <n v="7"/>
    <x v="2"/>
  </r>
  <r>
    <x v="83"/>
    <x v="601"/>
    <x v="5"/>
    <x v="0"/>
    <x v="218"/>
    <x v="10"/>
    <x v="1"/>
    <x v="2"/>
    <x v="2"/>
    <x v="2"/>
    <n v="7"/>
    <x v="2"/>
  </r>
  <r>
    <x v="83"/>
    <x v="602"/>
    <x v="5"/>
    <x v="0"/>
    <x v="218"/>
    <x v="10"/>
    <x v="1"/>
    <x v="2"/>
    <x v="2"/>
    <x v="2"/>
    <n v="7"/>
    <x v="2"/>
  </r>
  <r>
    <x v="83"/>
    <x v="603"/>
    <x v="5"/>
    <x v="0"/>
    <x v="218"/>
    <x v="11"/>
    <x v="2"/>
    <x v="2"/>
    <x v="2"/>
    <x v="2"/>
    <n v="7"/>
    <x v="2"/>
  </r>
  <r>
    <x v="83"/>
    <x v="604"/>
    <x v="5"/>
    <x v="0"/>
    <x v="219"/>
    <x v="10"/>
    <x v="0"/>
    <x v="2"/>
    <x v="2"/>
    <x v="2"/>
    <n v="7"/>
    <x v="2"/>
  </r>
  <r>
    <x v="83"/>
    <x v="605"/>
    <x v="12"/>
    <x v="0"/>
    <x v="220"/>
    <x v="10"/>
    <x v="1"/>
    <x v="2"/>
    <x v="2"/>
    <x v="2"/>
    <n v="7"/>
    <x v="2"/>
  </r>
  <r>
    <x v="83"/>
    <x v="606"/>
    <x v="15"/>
    <x v="0"/>
    <x v="220"/>
    <x v="10"/>
    <x v="7"/>
    <x v="2"/>
    <x v="2"/>
    <x v="2"/>
    <n v="7"/>
    <x v="2"/>
  </r>
  <r>
    <x v="83"/>
    <x v="607"/>
    <x v="15"/>
    <x v="0"/>
    <x v="221"/>
    <x v="11"/>
    <x v="5"/>
    <x v="2"/>
    <x v="2"/>
    <x v="2"/>
    <n v="7"/>
    <x v="2"/>
  </r>
  <r>
    <x v="83"/>
    <x v="608"/>
    <x v="15"/>
    <x v="0"/>
    <x v="222"/>
    <x v="10"/>
    <x v="7"/>
    <x v="2"/>
    <x v="2"/>
    <x v="2"/>
    <n v="7"/>
    <x v="2"/>
  </r>
  <r>
    <x v="83"/>
    <x v="609"/>
    <x v="15"/>
    <x v="0"/>
    <x v="221"/>
    <x v="10"/>
    <x v="0"/>
    <x v="2"/>
    <x v="2"/>
    <x v="2"/>
    <n v="7"/>
    <x v="2"/>
  </r>
  <r>
    <x v="83"/>
    <x v="610"/>
    <x v="15"/>
    <x v="0"/>
    <x v="223"/>
    <x v="10"/>
    <x v="7"/>
    <x v="2"/>
    <x v="2"/>
    <x v="2"/>
    <n v="7"/>
    <x v="2"/>
  </r>
  <r>
    <x v="84"/>
    <x v="611"/>
    <x v="7"/>
    <x v="0"/>
    <x v="12"/>
    <x v="11"/>
    <x v="2"/>
    <x v="0"/>
    <x v="3"/>
    <x v="2"/>
    <n v="1"/>
    <x v="2"/>
  </r>
  <r>
    <x v="84"/>
    <x v="612"/>
    <x v="8"/>
    <x v="0"/>
    <x v="224"/>
    <x v="8"/>
    <x v="3"/>
    <x v="1"/>
    <x v="3"/>
    <x v="2"/>
    <n v="1"/>
    <x v="2"/>
  </r>
  <r>
    <x v="84"/>
    <x v="613"/>
    <x v="8"/>
    <x v="0"/>
    <x v="224"/>
    <x v="10"/>
    <x v="4"/>
    <x v="1"/>
    <x v="3"/>
    <x v="2"/>
    <n v="1"/>
    <x v="2"/>
  </r>
  <r>
    <x v="84"/>
    <x v="614"/>
    <x v="3"/>
    <x v="0"/>
    <x v="225"/>
    <x v="11"/>
    <x v="2"/>
    <x v="1"/>
    <x v="3"/>
    <x v="2"/>
    <n v="1"/>
    <x v="2"/>
  </r>
  <r>
    <x v="84"/>
    <x v="615"/>
    <x v="3"/>
    <x v="0"/>
    <x v="225"/>
    <x v="11"/>
    <x v="2"/>
    <x v="1"/>
    <x v="3"/>
    <x v="2"/>
    <n v="1"/>
    <x v="2"/>
  </r>
  <r>
    <x v="84"/>
    <x v="616"/>
    <x v="9"/>
    <x v="0"/>
    <x v="203"/>
    <x v="10"/>
    <x v="0"/>
    <x v="2"/>
    <x v="3"/>
    <x v="2"/>
    <n v="1"/>
    <x v="2"/>
  </r>
  <r>
    <x v="84"/>
    <x v="617"/>
    <x v="5"/>
    <x v="0"/>
    <x v="226"/>
    <x v="11"/>
    <x v="2"/>
    <x v="2"/>
    <x v="3"/>
    <x v="2"/>
    <n v="1"/>
    <x v="2"/>
  </r>
  <r>
    <x v="84"/>
    <x v="618"/>
    <x v="6"/>
    <x v="0"/>
    <x v="227"/>
    <x v="10"/>
    <x v="0"/>
    <x v="2"/>
    <x v="3"/>
    <x v="2"/>
    <n v="1"/>
    <x v="2"/>
  </r>
  <r>
    <x v="84"/>
    <x v="619"/>
    <x v="6"/>
    <x v="0"/>
    <x v="228"/>
    <x v="10"/>
    <x v="0"/>
    <x v="2"/>
    <x v="3"/>
    <x v="2"/>
    <n v="1"/>
    <x v="2"/>
  </r>
  <r>
    <x v="84"/>
    <x v="620"/>
    <x v="15"/>
    <x v="0"/>
    <x v="192"/>
    <x v="8"/>
    <x v="3"/>
    <x v="2"/>
    <x v="3"/>
    <x v="2"/>
    <n v="1"/>
    <x v="2"/>
  </r>
  <r>
    <x v="84"/>
    <x v="621"/>
    <x v="15"/>
    <x v="0"/>
    <x v="206"/>
    <x v="10"/>
    <x v="7"/>
    <x v="2"/>
    <x v="3"/>
    <x v="2"/>
    <n v="1"/>
    <x v="2"/>
  </r>
  <r>
    <x v="85"/>
    <x v="622"/>
    <x v="13"/>
    <x v="0"/>
    <x v="12"/>
    <x v="8"/>
    <x v="3"/>
    <x v="0"/>
    <x v="4"/>
    <x v="2"/>
    <n v="2"/>
    <x v="2"/>
  </r>
  <r>
    <x v="85"/>
    <x v="623"/>
    <x v="10"/>
    <x v="0"/>
    <x v="97"/>
    <x v="8"/>
    <x v="3"/>
    <x v="0"/>
    <x v="4"/>
    <x v="2"/>
    <n v="2"/>
    <x v="2"/>
  </r>
  <r>
    <x v="85"/>
    <x v="624"/>
    <x v="7"/>
    <x v="0"/>
    <x v="229"/>
    <x v="10"/>
    <x v="7"/>
    <x v="0"/>
    <x v="4"/>
    <x v="2"/>
    <n v="2"/>
    <x v="2"/>
  </r>
  <r>
    <x v="85"/>
    <x v="625"/>
    <x v="2"/>
    <x v="0"/>
    <x v="230"/>
    <x v="10"/>
    <x v="7"/>
    <x v="1"/>
    <x v="4"/>
    <x v="2"/>
    <n v="2"/>
    <x v="2"/>
  </r>
  <r>
    <x v="85"/>
    <x v="626"/>
    <x v="8"/>
    <x v="0"/>
    <x v="194"/>
    <x v="10"/>
    <x v="4"/>
    <x v="1"/>
    <x v="4"/>
    <x v="2"/>
    <n v="2"/>
    <x v="2"/>
  </r>
  <r>
    <x v="85"/>
    <x v="627"/>
    <x v="4"/>
    <x v="0"/>
    <x v="141"/>
    <x v="11"/>
    <x v="5"/>
    <x v="1"/>
    <x v="4"/>
    <x v="2"/>
    <n v="2"/>
    <x v="2"/>
  </r>
  <r>
    <x v="85"/>
    <x v="628"/>
    <x v="9"/>
    <x v="1"/>
    <x v="10"/>
    <x v="9"/>
    <x v="7"/>
    <x v="2"/>
    <x v="4"/>
    <x v="2"/>
    <n v="2"/>
    <x v="2"/>
  </r>
  <r>
    <x v="85"/>
    <x v="629"/>
    <x v="6"/>
    <x v="0"/>
    <x v="231"/>
    <x v="11"/>
    <x v="2"/>
    <x v="2"/>
    <x v="4"/>
    <x v="2"/>
    <n v="2"/>
    <x v="2"/>
  </r>
  <r>
    <x v="85"/>
    <x v="630"/>
    <x v="6"/>
    <x v="0"/>
    <x v="231"/>
    <x v="10"/>
    <x v="0"/>
    <x v="2"/>
    <x v="4"/>
    <x v="2"/>
    <n v="2"/>
    <x v="2"/>
  </r>
  <r>
    <x v="85"/>
    <x v="631"/>
    <x v="12"/>
    <x v="0"/>
    <x v="8"/>
    <x v="8"/>
    <x v="3"/>
    <x v="2"/>
    <x v="4"/>
    <x v="2"/>
    <n v="2"/>
    <x v="2"/>
  </r>
  <r>
    <x v="85"/>
    <x v="632"/>
    <x v="12"/>
    <x v="0"/>
    <x v="12"/>
    <x v="11"/>
    <x v="2"/>
    <x v="2"/>
    <x v="4"/>
    <x v="2"/>
    <n v="2"/>
    <x v="2"/>
  </r>
  <r>
    <x v="86"/>
    <x v="633"/>
    <x v="10"/>
    <x v="0"/>
    <x v="232"/>
    <x v="10"/>
    <x v="0"/>
    <x v="0"/>
    <x v="5"/>
    <x v="2"/>
    <n v="3"/>
    <x v="2"/>
  </r>
  <r>
    <x v="86"/>
    <x v="634"/>
    <x v="0"/>
    <x v="1"/>
    <x v="10"/>
    <x v="9"/>
    <x v="0"/>
    <x v="0"/>
    <x v="5"/>
    <x v="2"/>
    <n v="3"/>
    <x v="2"/>
  </r>
  <r>
    <x v="86"/>
    <x v="635"/>
    <x v="7"/>
    <x v="0"/>
    <x v="233"/>
    <x v="10"/>
    <x v="1"/>
    <x v="0"/>
    <x v="5"/>
    <x v="2"/>
    <n v="3"/>
    <x v="2"/>
  </r>
  <r>
    <x v="86"/>
    <x v="636"/>
    <x v="3"/>
    <x v="0"/>
    <x v="234"/>
    <x v="11"/>
    <x v="2"/>
    <x v="1"/>
    <x v="5"/>
    <x v="2"/>
    <n v="3"/>
    <x v="2"/>
  </r>
  <r>
    <x v="86"/>
    <x v="637"/>
    <x v="3"/>
    <x v="0"/>
    <x v="235"/>
    <x v="10"/>
    <x v="0"/>
    <x v="1"/>
    <x v="5"/>
    <x v="2"/>
    <n v="3"/>
    <x v="2"/>
  </r>
  <r>
    <x v="86"/>
    <x v="638"/>
    <x v="3"/>
    <x v="0"/>
    <x v="236"/>
    <x v="10"/>
    <x v="7"/>
    <x v="1"/>
    <x v="5"/>
    <x v="2"/>
    <n v="3"/>
    <x v="2"/>
  </r>
  <r>
    <x v="86"/>
    <x v="639"/>
    <x v="4"/>
    <x v="0"/>
    <x v="237"/>
    <x v="10"/>
    <x v="0"/>
    <x v="1"/>
    <x v="5"/>
    <x v="2"/>
    <n v="3"/>
    <x v="2"/>
  </r>
  <r>
    <x v="86"/>
    <x v="640"/>
    <x v="5"/>
    <x v="0"/>
    <x v="238"/>
    <x v="11"/>
    <x v="5"/>
    <x v="2"/>
    <x v="5"/>
    <x v="2"/>
    <n v="3"/>
    <x v="2"/>
  </r>
  <r>
    <x v="86"/>
    <x v="641"/>
    <x v="5"/>
    <x v="0"/>
    <x v="238"/>
    <x v="10"/>
    <x v="0"/>
    <x v="2"/>
    <x v="5"/>
    <x v="2"/>
    <n v="3"/>
    <x v="2"/>
  </r>
  <r>
    <x v="86"/>
    <x v="642"/>
    <x v="12"/>
    <x v="0"/>
    <x v="239"/>
    <x v="10"/>
    <x v="1"/>
    <x v="2"/>
    <x v="5"/>
    <x v="2"/>
    <n v="3"/>
    <x v="2"/>
  </r>
  <r>
    <x v="86"/>
    <x v="643"/>
    <x v="12"/>
    <x v="0"/>
    <x v="240"/>
    <x v="10"/>
    <x v="4"/>
    <x v="2"/>
    <x v="5"/>
    <x v="2"/>
    <n v="3"/>
    <x v="2"/>
  </r>
  <r>
    <x v="87"/>
    <x v="644"/>
    <x v="13"/>
    <x v="0"/>
    <x v="241"/>
    <x v="10"/>
    <x v="7"/>
    <x v="0"/>
    <x v="6"/>
    <x v="2"/>
    <n v="4"/>
    <x v="2"/>
  </r>
  <r>
    <x v="87"/>
    <x v="645"/>
    <x v="13"/>
    <x v="0"/>
    <x v="241"/>
    <x v="10"/>
    <x v="0"/>
    <x v="0"/>
    <x v="6"/>
    <x v="2"/>
    <n v="4"/>
    <x v="2"/>
  </r>
  <r>
    <x v="87"/>
    <x v="646"/>
    <x v="13"/>
    <x v="0"/>
    <x v="242"/>
    <x v="8"/>
    <x v="3"/>
    <x v="0"/>
    <x v="6"/>
    <x v="2"/>
    <n v="4"/>
    <x v="2"/>
  </r>
  <r>
    <x v="87"/>
    <x v="647"/>
    <x v="10"/>
    <x v="0"/>
    <x v="0"/>
    <x v="10"/>
    <x v="0"/>
    <x v="0"/>
    <x v="6"/>
    <x v="2"/>
    <n v="4"/>
    <x v="2"/>
  </r>
  <r>
    <x v="87"/>
    <x v="648"/>
    <x v="8"/>
    <x v="0"/>
    <x v="97"/>
    <x v="8"/>
    <x v="3"/>
    <x v="1"/>
    <x v="6"/>
    <x v="2"/>
    <n v="4"/>
    <x v="2"/>
  </r>
  <r>
    <x v="87"/>
    <x v="649"/>
    <x v="3"/>
    <x v="0"/>
    <x v="243"/>
    <x v="14"/>
    <x v="6"/>
    <x v="1"/>
    <x v="6"/>
    <x v="2"/>
    <n v="4"/>
    <x v="2"/>
  </r>
  <r>
    <x v="87"/>
    <x v="650"/>
    <x v="3"/>
    <x v="0"/>
    <x v="12"/>
    <x v="14"/>
    <x v="6"/>
    <x v="1"/>
    <x v="6"/>
    <x v="2"/>
    <n v="4"/>
    <x v="2"/>
  </r>
  <r>
    <x v="87"/>
    <x v="651"/>
    <x v="6"/>
    <x v="0"/>
    <x v="206"/>
    <x v="10"/>
    <x v="7"/>
    <x v="2"/>
    <x v="6"/>
    <x v="2"/>
    <n v="4"/>
    <x v="2"/>
  </r>
  <r>
    <x v="87"/>
    <x v="652"/>
    <x v="12"/>
    <x v="0"/>
    <x v="244"/>
    <x v="10"/>
    <x v="0"/>
    <x v="2"/>
    <x v="6"/>
    <x v="2"/>
    <n v="4"/>
    <x v="2"/>
  </r>
  <r>
    <x v="87"/>
    <x v="653"/>
    <x v="12"/>
    <x v="0"/>
    <x v="8"/>
    <x v="10"/>
    <x v="1"/>
    <x v="2"/>
    <x v="6"/>
    <x v="2"/>
    <n v="4"/>
    <x v="2"/>
  </r>
  <r>
    <x v="87"/>
    <x v="654"/>
    <x v="12"/>
    <x v="0"/>
    <x v="8"/>
    <x v="8"/>
    <x v="3"/>
    <x v="2"/>
    <x v="6"/>
    <x v="2"/>
    <n v="4"/>
    <x v="2"/>
  </r>
  <r>
    <x v="88"/>
    <x v="655"/>
    <x v="11"/>
    <x v="0"/>
    <x v="245"/>
    <x v="8"/>
    <x v="3"/>
    <x v="0"/>
    <x v="0"/>
    <x v="2"/>
    <n v="5"/>
    <x v="2"/>
  </r>
  <r>
    <x v="88"/>
    <x v="656"/>
    <x v="10"/>
    <x v="0"/>
    <x v="246"/>
    <x v="10"/>
    <x v="0"/>
    <x v="0"/>
    <x v="0"/>
    <x v="2"/>
    <n v="5"/>
    <x v="2"/>
  </r>
  <r>
    <x v="88"/>
    <x v="657"/>
    <x v="10"/>
    <x v="1"/>
    <x v="10"/>
    <x v="9"/>
    <x v="0"/>
    <x v="0"/>
    <x v="0"/>
    <x v="2"/>
    <n v="5"/>
    <x v="2"/>
  </r>
  <r>
    <x v="88"/>
    <x v="658"/>
    <x v="0"/>
    <x v="0"/>
    <x v="247"/>
    <x v="10"/>
    <x v="1"/>
    <x v="0"/>
    <x v="0"/>
    <x v="2"/>
    <n v="5"/>
    <x v="2"/>
  </r>
  <r>
    <x v="88"/>
    <x v="659"/>
    <x v="0"/>
    <x v="0"/>
    <x v="248"/>
    <x v="10"/>
    <x v="4"/>
    <x v="0"/>
    <x v="0"/>
    <x v="2"/>
    <n v="5"/>
    <x v="2"/>
  </r>
  <r>
    <x v="88"/>
    <x v="660"/>
    <x v="8"/>
    <x v="0"/>
    <x v="249"/>
    <x v="8"/>
    <x v="3"/>
    <x v="1"/>
    <x v="0"/>
    <x v="2"/>
    <n v="5"/>
    <x v="2"/>
  </r>
  <r>
    <x v="88"/>
    <x v="661"/>
    <x v="5"/>
    <x v="0"/>
    <x v="250"/>
    <x v="10"/>
    <x v="0"/>
    <x v="2"/>
    <x v="0"/>
    <x v="2"/>
    <n v="5"/>
    <x v="2"/>
  </r>
  <r>
    <x v="88"/>
    <x v="662"/>
    <x v="5"/>
    <x v="0"/>
    <x v="250"/>
    <x v="10"/>
    <x v="0"/>
    <x v="2"/>
    <x v="0"/>
    <x v="2"/>
    <n v="5"/>
    <x v="2"/>
  </r>
  <r>
    <x v="88"/>
    <x v="663"/>
    <x v="12"/>
    <x v="0"/>
    <x v="180"/>
    <x v="10"/>
    <x v="7"/>
    <x v="2"/>
    <x v="0"/>
    <x v="2"/>
    <n v="5"/>
    <x v="2"/>
  </r>
  <r>
    <x v="88"/>
    <x v="664"/>
    <x v="12"/>
    <x v="0"/>
    <x v="134"/>
    <x v="8"/>
    <x v="3"/>
    <x v="2"/>
    <x v="0"/>
    <x v="2"/>
    <n v="5"/>
    <x v="2"/>
  </r>
  <r>
    <x v="88"/>
    <x v="665"/>
    <x v="12"/>
    <x v="0"/>
    <x v="134"/>
    <x v="10"/>
    <x v="0"/>
    <x v="2"/>
    <x v="0"/>
    <x v="2"/>
    <n v="5"/>
    <x v="2"/>
  </r>
  <r>
    <x v="88"/>
    <x v="666"/>
    <x v="14"/>
    <x v="0"/>
    <x v="206"/>
    <x v="10"/>
    <x v="7"/>
    <x v="2"/>
    <x v="0"/>
    <x v="2"/>
    <n v="5"/>
    <x v="2"/>
  </r>
  <r>
    <x v="88"/>
    <x v="667"/>
    <x v="14"/>
    <x v="0"/>
    <x v="206"/>
    <x v="8"/>
    <x v="3"/>
    <x v="2"/>
    <x v="0"/>
    <x v="2"/>
    <n v="5"/>
    <x v="2"/>
  </r>
  <r>
    <x v="88"/>
    <x v="668"/>
    <x v="14"/>
    <x v="0"/>
    <x v="206"/>
    <x v="11"/>
    <x v="5"/>
    <x v="2"/>
    <x v="0"/>
    <x v="2"/>
    <n v="5"/>
    <x v="2"/>
  </r>
  <r>
    <x v="89"/>
    <x v="669"/>
    <x v="13"/>
    <x v="0"/>
    <x v="141"/>
    <x v="11"/>
    <x v="5"/>
    <x v="0"/>
    <x v="1"/>
    <x v="3"/>
    <n v="6"/>
    <x v="3"/>
  </r>
  <r>
    <x v="89"/>
    <x v="670"/>
    <x v="10"/>
    <x v="0"/>
    <x v="232"/>
    <x v="10"/>
    <x v="0"/>
    <x v="0"/>
    <x v="1"/>
    <x v="3"/>
    <n v="6"/>
    <x v="3"/>
  </r>
  <r>
    <x v="89"/>
    <x v="671"/>
    <x v="7"/>
    <x v="0"/>
    <x v="250"/>
    <x v="10"/>
    <x v="0"/>
    <x v="0"/>
    <x v="1"/>
    <x v="3"/>
    <n v="6"/>
    <x v="3"/>
  </r>
  <r>
    <x v="89"/>
    <x v="672"/>
    <x v="8"/>
    <x v="0"/>
    <x v="97"/>
    <x v="8"/>
    <x v="3"/>
    <x v="1"/>
    <x v="1"/>
    <x v="3"/>
    <n v="6"/>
    <x v="3"/>
  </r>
  <r>
    <x v="89"/>
    <x v="673"/>
    <x v="5"/>
    <x v="0"/>
    <x v="251"/>
    <x v="8"/>
    <x v="3"/>
    <x v="2"/>
    <x v="1"/>
    <x v="3"/>
    <n v="6"/>
    <x v="3"/>
  </r>
  <r>
    <x v="89"/>
    <x v="674"/>
    <x v="5"/>
    <x v="0"/>
    <x v="251"/>
    <x v="8"/>
    <x v="3"/>
    <x v="2"/>
    <x v="1"/>
    <x v="3"/>
    <n v="6"/>
    <x v="3"/>
  </r>
  <r>
    <x v="89"/>
    <x v="675"/>
    <x v="12"/>
    <x v="0"/>
    <x v="154"/>
    <x v="10"/>
    <x v="7"/>
    <x v="2"/>
    <x v="1"/>
    <x v="3"/>
    <n v="6"/>
    <x v="3"/>
  </r>
  <r>
    <x v="89"/>
    <x v="676"/>
    <x v="12"/>
    <x v="0"/>
    <x v="154"/>
    <x v="10"/>
    <x v="7"/>
    <x v="2"/>
    <x v="1"/>
    <x v="3"/>
    <n v="6"/>
    <x v="3"/>
  </r>
  <r>
    <x v="89"/>
    <x v="677"/>
    <x v="12"/>
    <x v="1"/>
    <x v="10"/>
    <x v="9"/>
    <x v="4"/>
    <x v="2"/>
    <x v="1"/>
    <x v="3"/>
    <n v="6"/>
    <x v="3"/>
  </r>
  <r>
    <x v="89"/>
    <x v="678"/>
    <x v="12"/>
    <x v="0"/>
    <x v="252"/>
    <x v="10"/>
    <x v="4"/>
    <x v="2"/>
    <x v="1"/>
    <x v="3"/>
    <n v="6"/>
    <x v="3"/>
  </r>
  <r>
    <x v="89"/>
    <x v="679"/>
    <x v="15"/>
    <x v="0"/>
    <x v="8"/>
    <x v="8"/>
    <x v="3"/>
    <x v="2"/>
    <x v="1"/>
    <x v="3"/>
    <n v="6"/>
    <x v="3"/>
  </r>
  <r>
    <x v="90"/>
    <x v="680"/>
    <x v="12"/>
    <x v="0"/>
    <x v="8"/>
    <x v="10"/>
    <x v="0"/>
    <x v="2"/>
    <x v="2"/>
    <x v="3"/>
    <n v="7"/>
    <x v="3"/>
  </r>
  <r>
    <x v="90"/>
    <x v="681"/>
    <x v="12"/>
    <x v="0"/>
    <x v="40"/>
    <x v="8"/>
    <x v="3"/>
    <x v="2"/>
    <x v="2"/>
    <x v="3"/>
    <n v="7"/>
    <x v="3"/>
  </r>
  <r>
    <x v="90"/>
    <x v="682"/>
    <x v="12"/>
    <x v="0"/>
    <x v="40"/>
    <x v="10"/>
    <x v="7"/>
    <x v="2"/>
    <x v="2"/>
    <x v="3"/>
    <n v="7"/>
    <x v="3"/>
  </r>
  <r>
    <x v="90"/>
    <x v="683"/>
    <x v="15"/>
    <x v="0"/>
    <x v="97"/>
    <x v="8"/>
    <x v="3"/>
    <x v="2"/>
    <x v="2"/>
    <x v="3"/>
    <n v="7"/>
    <x v="3"/>
  </r>
  <r>
    <x v="90"/>
    <x v="684"/>
    <x v="15"/>
    <x v="0"/>
    <x v="253"/>
    <x v="10"/>
    <x v="0"/>
    <x v="2"/>
    <x v="2"/>
    <x v="3"/>
    <n v="7"/>
    <x v="3"/>
  </r>
  <r>
    <x v="90"/>
    <x v="685"/>
    <x v="14"/>
    <x v="1"/>
    <x v="10"/>
    <x v="13"/>
    <x v="3"/>
    <x v="2"/>
    <x v="2"/>
    <x v="3"/>
    <n v="7"/>
    <x v="3"/>
  </r>
  <r>
    <x v="91"/>
    <x v="686"/>
    <x v="0"/>
    <x v="0"/>
    <x v="0"/>
    <x v="10"/>
    <x v="0"/>
    <x v="0"/>
    <x v="3"/>
    <x v="3"/>
    <n v="1"/>
    <x v="3"/>
  </r>
  <r>
    <x v="91"/>
    <x v="687"/>
    <x v="0"/>
    <x v="0"/>
    <x v="191"/>
    <x v="10"/>
    <x v="0"/>
    <x v="0"/>
    <x v="3"/>
    <x v="3"/>
    <n v="1"/>
    <x v="3"/>
  </r>
  <r>
    <x v="91"/>
    <x v="688"/>
    <x v="8"/>
    <x v="0"/>
    <x v="25"/>
    <x v="10"/>
    <x v="7"/>
    <x v="1"/>
    <x v="3"/>
    <x v="3"/>
    <n v="1"/>
    <x v="3"/>
  </r>
  <r>
    <x v="91"/>
    <x v="689"/>
    <x v="8"/>
    <x v="0"/>
    <x v="24"/>
    <x v="8"/>
    <x v="3"/>
    <x v="1"/>
    <x v="3"/>
    <x v="3"/>
    <n v="1"/>
    <x v="3"/>
  </r>
  <r>
    <x v="91"/>
    <x v="690"/>
    <x v="8"/>
    <x v="0"/>
    <x v="8"/>
    <x v="10"/>
    <x v="0"/>
    <x v="1"/>
    <x v="3"/>
    <x v="3"/>
    <n v="1"/>
    <x v="3"/>
  </r>
  <r>
    <x v="91"/>
    <x v="691"/>
    <x v="15"/>
    <x v="1"/>
    <x v="10"/>
    <x v="13"/>
    <x v="3"/>
    <x v="2"/>
    <x v="3"/>
    <x v="3"/>
    <n v="1"/>
    <x v="3"/>
  </r>
  <r>
    <x v="91"/>
    <x v="692"/>
    <x v="15"/>
    <x v="1"/>
    <x v="10"/>
    <x v="13"/>
    <x v="3"/>
    <x v="2"/>
    <x v="3"/>
    <x v="3"/>
    <n v="1"/>
    <x v="3"/>
  </r>
  <r>
    <x v="92"/>
    <x v="693"/>
    <x v="10"/>
    <x v="0"/>
    <x v="141"/>
    <x v="11"/>
    <x v="5"/>
    <x v="0"/>
    <x v="4"/>
    <x v="3"/>
    <n v="2"/>
    <x v="3"/>
  </r>
  <r>
    <x v="92"/>
    <x v="694"/>
    <x v="0"/>
    <x v="0"/>
    <x v="97"/>
    <x v="8"/>
    <x v="3"/>
    <x v="0"/>
    <x v="4"/>
    <x v="3"/>
    <n v="2"/>
    <x v="3"/>
  </r>
  <r>
    <x v="92"/>
    <x v="695"/>
    <x v="1"/>
    <x v="0"/>
    <x v="254"/>
    <x v="10"/>
    <x v="0"/>
    <x v="1"/>
    <x v="4"/>
    <x v="3"/>
    <n v="2"/>
    <x v="3"/>
  </r>
  <r>
    <x v="92"/>
    <x v="696"/>
    <x v="1"/>
    <x v="0"/>
    <x v="254"/>
    <x v="10"/>
    <x v="1"/>
    <x v="1"/>
    <x v="4"/>
    <x v="3"/>
    <n v="2"/>
    <x v="3"/>
  </r>
  <r>
    <x v="92"/>
    <x v="697"/>
    <x v="3"/>
    <x v="0"/>
    <x v="255"/>
    <x v="10"/>
    <x v="0"/>
    <x v="1"/>
    <x v="4"/>
    <x v="3"/>
    <n v="2"/>
    <x v="3"/>
  </r>
  <r>
    <x v="92"/>
    <x v="698"/>
    <x v="9"/>
    <x v="0"/>
    <x v="192"/>
    <x v="11"/>
    <x v="5"/>
    <x v="2"/>
    <x v="4"/>
    <x v="3"/>
    <n v="2"/>
    <x v="3"/>
  </r>
  <r>
    <x v="92"/>
    <x v="699"/>
    <x v="9"/>
    <x v="0"/>
    <x v="192"/>
    <x v="10"/>
    <x v="7"/>
    <x v="2"/>
    <x v="4"/>
    <x v="3"/>
    <n v="2"/>
    <x v="3"/>
  </r>
  <r>
    <x v="92"/>
    <x v="700"/>
    <x v="12"/>
    <x v="0"/>
    <x v="256"/>
    <x v="10"/>
    <x v="1"/>
    <x v="2"/>
    <x v="4"/>
    <x v="3"/>
    <n v="2"/>
    <x v="3"/>
  </r>
  <r>
    <x v="92"/>
    <x v="701"/>
    <x v="12"/>
    <x v="0"/>
    <x v="257"/>
    <x v="10"/>
    <x v="7"/>
    <x v="2"/>
    <x v="4"/>
    <x v="3"/>
    <n v="2"/>
    <x v="3"/>
  </r>
  <r>
    <x v="92"/>
    <x v="702"/>
    <x v="15"/>
    <x v="0"/>
    <x v="258"/>
    <x v="11"/>
    <x v="5"/>
    <x v="2"/>
    <x v="4"/>
    <x v="3"/>
    <n v="2"/>
    <x v="3"/>
  </r>
  <r>
    <x v="92"/>
    <x v="703"/>
    <x v="15"/>
    <x v="0"/>
    <x v="259"/>
    <x v="8"/>
    <x v="3"/>
    <x v="2"/>
    <x v="4"/>
    <x v="3"/>
    <n v="2"/>
    <x v="3"/>
  </r>
  <r>
    <x v="92"/>
    <x v="704"/>
    <x v="15"/>
    <x v="0"/>
    <x v="260"/>
    <x v="8"/>
    <x v="3"/>
    <x v="2"/>
    <x v="4"/>
    <x v="3"/>
    <n v="2"/>
    <x v="3"/>
  </r>
  <r>
    <x v="92"/>
    <x v="705"/>
    <x v="15"/>
    <x v="0"/>
    <x v="260"/>
    <x v="8"/>
    <x v="3"/>
    <x v="2"/>
    <x v="4"/>
    <x v="3"/>
    <n v="2"/>
    <x v="3"/>
  </r>
  <r>
    <x v="92"/>
    <x v="706"/>
    <x v="15"/>
    <x v="0"/>
    <x v="260"/>
    <x v="8"/>
    <x v="3"/>
    <x v="2"/>
    <x v="4"/>
    <x v="3"/>
    <n v="2"/>
    <x v="3"/>
  </r>
  <r>
    <x v="93"/>
    <x v="707"/>
    <x v="13"/>
    <x v="0"/>
    <x v="261"/>
    <x v="10"/>
    <x v="7"/>
    <x v="0"/>
    <x v="5"/>
    <x v="3"/>
    <n v="3"/>
    <x v="3"/>
  </r>
  <r>
    <x v="93"/>
    <x v="708"/>
    <x v="13"/>
    <x v="0"/>
    <x v="261"/>
    <x v="10"/>
    <x v="7"/>
    <x v="0"/>
    <x v="5"/>
    <x v="3"/>
    <n v="3"/>
    <x v="3"/>
  </r>
  <r>
    <x v="93"/>
    <x v="709"/>
    <x v="10"/>
    <x v="0"/>
    <x v="262"/>
    <x v="11"/>
    <x v="2"/>
    <x v="0"/>
    <x v="5"/>
    <x v="3"/>
    <n v="3"/>
    <x v="3"/>
  </r>
  <r>
    <x v="93"/>
    <x v="710"/>
    <x v="0"/>
    <x v="0"/>
    <x v="0"/>
    <x v="10"/>
    <x v="0"/>
    <x v="0"/>
    <x v="5"/>
    <x v="3"/>
    <n v="3"/>
    <x v="3"/>
  </r>
  <r>
    <x v="93"/>
    <x v="711"/>
    <x v="0"/>
    <x v="0"/>
    <x v="97"/>
    <x v="8"/>
    <x v="3"/>
    <x v="0"/>
    <x v="5"/>
    <x v="3"/>
    <n v="3"/>
    <x v="3"/>
  </r>
  <r>
    <x v="93"/>
    <x v="712"/>
    <x v="6"/>
    <x v="0"/>
    <x v="263"/>
    <x v="8"/>
    <x v="3"/>
    <x v="2"/>
    <x v="5"/>
    <x v="3"/>
    <n v="3"/>
    <x v="3"/>
  </r>
  <r>
    <x v="93"/>
    <x v="713"/>
    <x v="6"/>
    <x v="0"/>
    <x v="264"/>
    <x v="10"/>
    <x v="0"/>
    <x v="2"/>
    <x v="5"/>
    <x v="3"/>
    <n v="3"/>
    <x v="3"/>
  </r>
  <r>
    <x v="93"/>
    <x v="714"/>
    <x v="12"/>
    <x v="0"/>
    <x v="220"/>
    <x v="10"/>
    <x v="4"/>
    <x v="2"/>
    <x v="5"/>
    <x v="3"/>
    <n v="3"/>
    <x v="3"/>
  </r>
  <r>
    <x v="93"/>
    <x v="715"/>
    <x v="12"/>
    <x v="0"/>
    <x v="220"/>
    <x v="11"/>
    <x v="5"/>
    <x v="2"/>
    <x v="5"/>
    <x v="3"/>
    <n v="3"/>
    <x v="3"/>
  </r>
  <r>
    <x v="94"/>
    <x v="716"/>
    <x v="13"/>
    <x v="0"/>
    <x v="97"/>
    <x v="8"/>
    <x v="3"/>
    <x v="0"/>
    <x v="6"/>
    <x v="3"/>
    <n v="4"/>
    <x v="3"/>
  </r>
  <r>
    <x v="94"/>
    <x v="717"/>
    <x v="13"/>
    <x v="0"/>
    <x v="97"/>
    <x v="8"/>
    <x v="3"/>
    <x v="0"/>
    <x v="6"/>
    <x v="3"/>
    <n v="4"/>
    <x v="3"/>
  </r>
  <r>
    <x v="94"/>
    <x v="718"/>
    <x v="0"/>
    <x v="0"/>
    <x v="0"/>
    <x v="10"/>
    <x v="0"/>
    <x v="0"/>
    <x v="6"/>
    <x v="3"/>
    <n v="4"/>
    <x v="3"/>
  </r>
  <r>
    <x v="94"/>
    <x v="719"/>
    <x v="1"/>
    <x v="0"/>
    <x v="265"/>
    <x v="11"/>
    <x v="2"/>
    <x v="1"/>
    <x v="6"/>
    <x v="3"/>
    <n v="4"/>
    <x v="3"/>
  </r>
  <r>
    <x v="94"/>
    <x v="720"/>
    <x v="3"/>
    <x v="0"/>
    <x v="224"/>
    <x v="8"/>
    <x v="3"/>
    <x v="1"/>
    <x v="6"/>
    <x v="3"/>
    <n v="4"/>
    <x v="3"/>
  </r>
  <r>
    <x v="94"/>
    <x v="721"/>
    <x v="3"/>
    <x v="0"/>
    <x v="266"/>
    <x v="10"/>
    <x v="7"/>
    <x v="1"/>
    <x v="6"/>
    <x v="3"/>
    <n v="4"/>
    <x v="3"/>
  </r>
  <r>
    <x v="94"/>
    <x v="722"/>
    <x v="15"/>
    <x v="0"/>
    <x v="267"/>
    <x v="10"/>
    <x v="0"/>
    <x v="2"/>
    <x v="6"/>
    <x v="3"/>
    <n v="4"/>
    <x v="3"/>
  </r>
  <r>
    <x v="94"/>
    <x v="723"/>
    <x v="15"/>
    <x v="0"/>
    <x v="267"/>
    <x v="10"/>
    <x v="0"/>
    <x v="2"/>
    <x v="6"/>
    <x v="3"/>
    <n v="4"/>
    <x v="3"/>
  </r>
  <r>
    <x v="94"/>
    <x v="724"/>
    <x v="15"/>
    <x v="0"/>
    <x v="206"/>
    <x v="10"/>
    <x v="7"/>
    <x v="2"/>
    <x v="6"/>
    <x v="3"/>
    <n v="4"/>
    <x v="3"/>
  </r>
  <r>
    <x v="94"/>
    <x v="725"/>
    <x v="15"/>
    <x v="0"/>
    <x v="206"/>
    <x v="8"/>
    <x v="3"/>
    <x v="2"/>
    <x v="6"/>
    <x v="3"/>
    <n v="4"/>
    <x v="3"/>
  </r>
  <r>
    <x v="94"/>
    <x v="726"/>
    <x v="15"/>
    <x v="0"/>
    <x v="267"/>
    <x v="10"/>
    <x v="0"/>
    <x v="2"/>
    <x v="6"/>
    <x v="3"/>
    <n v="4"/>
    <x v="3"/>
  </r>
  <r>
    <x v="95"/>
    <x v="727"/>
    <x v="13"/>
    <x v="0"/>
    <x v="268"/>
    <x v="10"/>
    <x v="7"/>
    <x v="0"/>
    <x v="0"/>
    <x v="3"/>
    <n v="5"/>
    <x v="3"/>
  </r>
  <r>
    <x v="95"/>
    <x v="728"/>
    <x v="0"/>
    <x v="0"/>
    <x v="269"/>
    <x v="14"/>
    <x v="6"/>
    <x v="0"/>
    <x v="0"/>
    <x v="3"/>
    <n v="5"/>
    <x v="3"/>
  </r>
  <r>
    <x v="95"/>
    <x v="729"/>
    <x v="2"/>
    <x v="0"/>
    <x v="164"/>
    <x v="8"/>
    <x v="3"/>
    <x v="1"/>
    <x v="0"/>
    <x v="3"/>
    <n v="5"/>
    <x v="3"/>
  </r>
  <r>
    <x v="95"/>
    <x v="730"/>
    <x v="4"/>
    <x v="0"/>
    <x v="270"/>
    <x v="11"/>
    <x v="5"/>
    <x v="1"/>
    <x v="0"/>
    <x v="3"/>
    <n v="5"/>
    <x v="3"/>
  </r>
  <r>
    <x v="95"/>
    <x v="731"/>
    <x v="4"/>
    <x v="0"/>
    <x v="270"/>
    <x v="11"/>
    <x v="5"/>
    <x v="1"/>
    <x v="0"/>
    <x v="3"/>
    <n v="5"/>
    <x v="3"/>
  </r>
  <r>
    <x v="96"/>
    <x v="732"/>
    <x v="10"/>
    <x v="0"/>
    <x v="271"/>
    <x v="11"/>
    <x v="5"/>
    <x v="0"/>
    <x v="1"/>
    <x v="3"/>
    <n v="6"/>
    <x v="3"/>
  </r>
  <r>
    <x v="96"/>
    <x v="733"/>
    <x v="10"/>
    <x v="0"/>
    <x v="97"/>
    <x v="8"/>
    <x v="3"/>
    <x v="0"/>
    <x v="1"/>
    <x v="3"/>
    <n v="6"/>
    <x v="3"/>
  </r>
  <r>
    <x v="96"/>
    <x v="734"/>
    <x v="12"/>
    <x v="0"/>
    <x v="134"/>
    <x v="10"/>
    <x v="7"/>
    <x v="2"/>
    <x v="1"/>
    <x v="3"/>
    <n v="6"/>
    <x v="3"/>
  </r>
  <r>
    <x v="96"/>
    <x v="735"/>
    <x v="12"/>
    <x v="0"/>
    <x v="134"/>
    <x v="10"/>
    <x v="7"/>
    <x v="2"/>
    <x v="1"/>
    <x v="3"/>
    <n v="6"/>
    <x v="3"/>
  </r>
  <r>
    <x v="97"/>
    <x v="736"/>
    <x v="13"/>
    <x v="0"/>
    <x v="97"/>
    <x v="10"/>
    <x v="0"/>
    <x v="0"/>
    <x v="2"/>
    <x v="3"/>
    <n v="7"/>
    <x v="3"/>
  </r>
  <r>
    <x v="97"/>
    <x v="737"/>
    <x v="0"/>
    <x v="0"/>
    <x v="272"/>
    <x v="10"/>
    <x v="0"/>
    <x v="0"/>
    <x v="2"/>
    <x v="3"/>
    <n v="7"/>
    <x v="3"/>
  </r>
  <r>
    <x v="97"/>
    <x v="738"/>
    <x v="0"/>
    <x v="0"/>
    <x v="273"/>
    <x v="10"/>
    <x v="7"/>
    <x v="0"/>
    <x v="2"/>
    <x v="3"/>
    <n v="7"/>
    <x v="3"/>
  </r>
  <r>
    <x v="97"/>
    <x v="739"/>
    <x v="7"/>
    <x v="0"/>
    <x v="141"/>
    <x v="11"/>
    <x v="5"/>
    <x v="0"/>
    <x v="2"/>
    <x v="3"/>
    <n v="7"/>
    <x v="3"/>
  </r>
  <r>
    <x v="97"/>
    <x v="740"/>
    <x v="7"/>
    <x v="0"/>
    <x v="274"/>
    <x v="14"/>
    <x v="6"/>
    <x v="0"/>
    <x v="2"/>
    <x v="3"/>
    <n v="7"/>
    <x v="3"/>
  </r>
  <r>
    <x v="97"/>
    <x v="741"/>
    <x v="7"/>
    <x v="0"/>
    <x v="275"/>
    <x v="10"/>
    <x v="7"/>
    <x v="0"/>
    <x v="2"/>
    <x v="3"/>
    <n v="7"/>
    <x v="3"/>
  </r>
  <r>
    <x v="97"/>
    <x v="742"/>
    <x v="1"/>
    <x v="0"/>
    <x v="276"/>
    <x v="8"/>
    <x v="3"/>
    <x v="1"/>
    <x v="2"/>
    <x v="3"/>
    <n v="7"/>
    <x v="3"/>
  </r>
  <r>
    <x v="97"/>
    <x v="743"/>
    <x v="1"/>
    <x v="0"/>
    <x v="276"/>
    <x v="10"/>
    <x v="0"/>
    <x v="1"/>
    <x v="2"/>
    <x v="3"/>
    <n v="7"/>
    <x v="3"/>
  </r>
  <r>
    <x v="97"/>
    <x v="744"/>
    <x v="1"/>
    <x v="0"/>
    <x v="276"/>
    <x v="10"/>
    <x v="0"/>
    <x v="1"/>
    <x v="2"/>
    <x v="3"/>
    <n v="7"/>
    <x v="3"/>
  </r>
  <r>
    <x v="97"/>
    <x v="745"/>
    <x v="3"/>
    <x v="0"/>
    <x v="277"/>
    <x v="11"/>
    <x v="5"/>
    <x v="1"/>
    <x v="2"/>
    <x v="3"/>
    <n v="7"/>
    <x v="3"/>
  </r>
  <r>
    <x v="97"/>
    <x v="746"/>
    <x v="4"/>
    <x v="0"/>
    <x v="278"/>
    <x v="10"/>
    <x v="7"/>
    <x v="1"/>
    <x v="2"/>
    <x v="3"/>
    <n v="7"/>
    <x v="3"/>
  </r>
  <r>
    <x v="97"/>
    <x v="747"/>
    <x v="6"/>
    <x v="0"/>
    <x v="279"/>
    <x v="8"/>
    <x v="3"/>
    <x v="2"/>
    <x v="2"/>
    <x v="3"/>
    <n v="7"/>
    <x v="3"/>
  </r>
  <r>
    <x v="97"/>
    <x v="748"/>
    <x v="15"/>
    <x v="0"/>
    <x v="280"/>
    <x v="11"/>
    <x v="2"/>
    <x v="2"/>
    <x v="2"/>
    <x v="3"/>
    <n v="7"/>
    <x v="3"/>
  </r>
  <r>
    <x v="98"/>
    <x v="749"/>
    <x v="1"/>
    <x v="0"/>
    <x v="281"/>
    <x v="10"/>
    <x v="7"/>
    <x v="1"/>
    <x v="3"/>
    <x v="3"/>
    <n v="1"/>
    <x v="3"/>
  </r>
  <r>
    <x v="98"/>
    <x v="750"/>
    <x v="1"/>
    <x v="0"/>
    <x v="97"/>
    <x v="10"/>
    <x v="0"/>
    <x v="1"/>
    <x v="3"/>
    <x v="3"/>
    <n v="1"/>
    <x v="3"/>
  </r>
  <r>
    <x v="98"/>
    <x v="751"/>
    <x v="6"/>
    <x v="0"/>
    <x v="282"/>
    <x v="10"/>
    <x v="1"/>
    <x v="2"/>
    <x v="3"/>
    <x v="3"/>
    <n v="1"/>
    <x v="3"/>
  </r>
  <r>
    <x v="98"/>
    <x v="752"/>
    <x v="6"/>
    <x v="0"/>
    <x v="282"/>
    <x v="10"/>
    <x v="1"/>
    <x v="2"/>
    <x v="3"/>
    <x v="3"/>
    <n v="1"/>
    <x v="3"/>
  </r>
  <r>
    <x v="98"/>
    <x v="753"/>
    <x v="6"/>
    <x v="0"/>
    <x v="283"/>
    <x v="10"/>
    <x v="0"/>
    <x v="2"/>
    <x v="3"/>
    <x v="3"/>
    <n v="1"/>
    <x v="3"/>
  </r>
  <r>
    <x v="98"/>
    <x v="754"/>
    <x v="6"/>
    <x v="0"/>
    <x v="283"/>
    <x v="10"/>
    <x v="0"/>
    <x v="2"/>
    <x v="3"/>
    <x v="3"/>
    <n v="1"/>
    <x v="3"/>
  </r>
  <r>
    <x v="99"/>
    <x v="755"/>
    <x v="0"/>
    <x v="0"/>
    <x v="284"/>
    <x v="8"/>
    <x v="3"/>
    <x v="0"/>
    <x v="4"/>
    <x v="3"/>
    <n v="2"/>
    <x v="3"/>
  </r>
  <r>
    <x v="99"/>
    <x v="756"/>
    <x v="5"/>
    <x v="0"/>
    <x v="285"/>
    <x v="10"/>
    <x v="0"/>
    <x v="2"/>
    <x v="4"/>
    <x v="3"/>
    <n v="2"/>
    <x v="3"/>
  </r>
  <r>
    <x v="99"/>
    <x v="757"/>
    <x v="5"/>
    <x v="0"/>
    <x v="285"/>
    <x v="10"/>
    <x v="0"/>
    <x v="2"/>
    <x v="4"/>
    <x v="3"/>
    <n v="2"/>
    <x v="3"/>
  </r>
  <r>
    <x v="99"/>
    <x v="758"/>
    <x v="15"/>
    <x v="0"/>
    <x v="286"/>
    <x v="10"/>
    <x v="1"/>
    <x v="2"/>
    <x v="4"/>
    <x v="3"/>
    <n v="2"/>
    <x v="3"/>
  </r>
  <r>
    <x v="99"/>
    <x v="759"/>
    <x v="15"/>
    <x v="0"/>
    <x v="287"/>
    <x v="8"/>
    <x v="3"/>
    <x v="2"/>
    <x v="4"/>
    <x v="3"/>
    <n v="2"/>
    <x v="3"/>
  </r>
  <r>
    <x v="99"/>
    <x v="760"/>
    <x v="15"/>
    <x v="0"/>
    <x v="287"/>
    <x v="8"/>
    <x v="3"/>
    <x v="2"/>
    <x v="4"/>
    <x v="3"/>
    <n v="2"/>
    <x v="3"/>
  </r>
  <r>
    <x v="100"/>
    <x v="761"/>
    <x v="0"/>
    <x v="0"/>
    <x v="288"/>
    <x v="10"/>
    <x v="1"/>
    <x v="0"/>
    <x v="5"/>
    <x v="3"/>
    <n v="3"/>
    <x v="3"/>
  </r>
  <r>
    <x v="100"/>
    <x v="762"/>
    <x v="7"/>
    <x v="0"/>
    <x v="289"/>
    <x v="10"/>
    <x v="7"/>
    <x v="0"/>
    <x v="5"/>
    <x v="3"/>
    <n v="3"/>
    <x v="3"/>
  </r>
  <r>
    <x v="100"/>
    <x v="763"/>
    <x v="9"/>
    <x v="0"/>
    <x v="283"/>
    <x v="10"/>
    <x v="0"/>
    <x v="2"/>
    <x v="5"/>
    <x v="3"/>
    <n v="3"/>
    <x v="3"/>
  </r>
  <r>
    <x v="100"/>
    <x v="764"/>
    <x v="9"/>
    <x v="0"/>
    <x v="290"/>
    <x v="10"/>
    <x v="0"/>
    <x v="2"/>
    <x v="5"/>
    <x v="3"/>
    <n v="3"/>
    <x v="3"/>
  </r>
  <r>
    <x v="100"/>
    <x v="765"/>
    <x v="12"/>
    <x v="0"/>
    <x v="256"/>
    <x v="10"/>
    <x v="1"/>
    <x v="2"/>
    <x v="5"/>
    <x v="3"/>
    <n v="3"/>
    <x v="3"/>
  </r>
  <r>
    <x v="100"/>
    <x v="766"/>
    <x v="12"/>
    <x v="0"/>
    <x v="291"/>
    <x v="8"/>
    <x v="3"/>
    <x v="2"/>
    <x v="5"/>
    <x v="3"/>
    <n v="3"/>
    <x v="3"/>
  </r>
  <r>
    <x v="101"/>
    <x v="767"/>
    <x v="13"/>
    <x v="0"/>
    <x v="292"/>
    <x v="11"/>
    <x v="2"/>
    <x v="0"/>
    <x v="6"/>
    <x v="3"/>
    <n v="4"/>
    <x v="3"/>
  </r>
  <r>
    <x v="101"/>
    <x v="768"/>
    <x v="13"/>
    <x v="0"/>
    <x v="97"/>
    <x v="10"/>
    <x v="0"/>
    <x v="0"/>
    <x v="6"/>
    <x v="3"/>
    <n v="4"/>
    <x v="3"/>
  </r>
  <r>
    <x v="101"/>
    <x v="769"/>
    <x v="10"/>
    <x v="0"/>
    <x v="293"/>
    <x v="8"/>
    <x v="3"/>
    <x v="0"/>
    <x v="6"/>
    <x v="3"/>
    <n v="4"/>
    <x v="3"/>
  </r>
  <r>
    <x v="101"/>
    <x v="770"/>
    <x v="10"/>
    <x v="0"/>
    <x v="141"/>
    <x v="11"/>
    <x v="5"/>
    <x v="0"/>
    <x v="6"/>
    <x v="3"/>
    <n v="4"/>
    <x v="3"/>
  </r>
  <r>
    <x v="101"/>
    <x v="771"/>
    <x v="9"/>
    <x v="0"/>
    <x v="294"/>
    <x v="8"/>
    <x v="3"/>
    <x v="2"/>
    <x v="6"/>
    <x v="3"/>
    <n v="4"/>
    <x v="3"/>
  </r>
  <r>
    <x v="101"/>
    <x v="772"/>
    <x v="9"/>
    <x v="0"/>
    <x v="295"/>
    <x v="10"/>
    <x v="1"/>
    <x v="2"/>
    <x v="6"/>
    <x v="3"/>
    <n v="4"/>
    <x v="3"/>
  </r>
  <r>
    <x v="101"/>
    <x v="773"/>
    <x v="6"/>
    <x v="0"/>
    <x v="296"/>
    <x v="10"/>
    <x v="0"/>
    <x v="2"/>
    <x v="6"/>
    <x v="3"/>
    <n v="4"/>
    <x v="3"/>
  </r>
  <r>
    <x v="101"/>
    <x v="774"/>
    <x v="12"/>
    <x v="0"/>
    <x v="12"/>
    <x v="8"/>
    <x v="3"/>
    <x v="2"/>
    <x v="6"/>
    <x v="3"/>
    <n v="4"/>
    <x v="3"/>
  </r>
  <r>
    <x v="101"/>
    <x v="775"/>
    <x v="12"/>
    <x v="0"/>
    <x v="12"/>
    <x v="14"/>
    <x v="6"/>
    <x v="2"/>
    <x v="6"/>
    <x v="3"/>
    <n v="4"/>
    <x v="3"/>
  </r>
  <r>
    <x v="101"/>
    <x v="776"/>
    <x v="12"/>
    <x v="0"/>
    <x v="295"/>
    <x v="14"/>
    <x v="6"/>
    <x v="2"/>
    <x v="6"/>
    <x v="3"/>
    <n v="4"/>
    <x v="3"/>
  </r>
  <r>
    <x v="101"/>
    <x v="777"/>
    <x v="12"/>
    <x v="0"/>
    <x v="8"/>
    <x v="8"/>
    <x v="3"/>
    <x v="2"/>
    <x v="6"/>
    <x v="3"/>
    <n v="4"/>
    <x v="3"/>
  </r>
  <r>
    <x v="101"/>
    <x v="778"/>
    <x v="15"/>
    <x v="0"/>
    <x v="8"/>
    <x v="8"/>
    <x v="3"/>
    <x v="2"/>
    <x v="6"/>
    <x v="3"/>
    <n v="4"/>
    <x v="3"/>
  </r>
  <r>
    <x v="102"/>
    <x v="779"/>
    <x v="11"/>
    <x v="0"/>
    <x v="141"/>
    <x v="11"/>
    <x v="5"/>
    <x v="0"/>
    <x v="0"/>
    <x v="3"/>
    <n v="5"/>
    <x v="3"/>
  </r>
  <r>
    <x v="102"/>
    <x v="780"/>
    <x v="0"/>
    <x v="0"/>
    <x v="297"/>
    <x v="11"/>
    <x v="2"/>
    <x v="0"/>
    <x v="0"/>
    <x v="3"/>
    <n v="5"/>
    <x v="3"/>
  </r>
  <r>
    <x v="102"/>
    <x v="781"/>
    <x v="1"/>
    <x v="0"/>
    <x v="97"/>
    <x v="10"/>
    <x v="0"/>
    <x v="1"/>
    <x v="0"/>
    <x v="3"/>
    <n v="5"/>
    <x v="3"/>
  </r>
  <r>
    <x v="102"/>
    <x v="782"/>
    <x v="5"/>
    <x v="0"/>
    <x v="298"/>
    <x v="8"/>
    <x v="3"/>
    <x v="2"/>
    <x v="0"/>
    <x v="3"/>
    <n v="5"/>
    <x v="3"/>
  </r>
  <r>
    <x v="103"/>
    <x v="783"/>
    <x v="7"/>
    <x v="0"/>
    <x v="299"/>
    <x v="10"/>
    <x v="7"/>
    <x v="0"/>
    <x v="1"/>
    <x v="3"/>
    <n v="6"/>
    <x v="3"/>
  </r>
  <r>
    <x v="103"/>
    <x v="784"/>
    <x v="1"/>
    <x v="0"/>
    <x v="300"/>
    <x v="10"/>
    <x v="0"/>
    <x v="1"/>
    <x v="1"/>
    <x v="3"/>
    <n v="6"/>
    <x v="3"/>
  </r>
  <r>
    <x v="103"/>
    <x v="785"/>
    <x v="1"/>
    <x v="0"/>
    <x v="300"/>
    <x v="8"/>
    <x v="3"/>
    <x v="1"/>
    <x v="1"/>
    <x v="3"/>
    <n v="6"/>
    <x v="3"/>
  </r>
  <r>
    <x v="103"/>
    <x v="786"/>
    <x v="1"/>
    <x v="0"/>
    <x v="300"/>
    <x v="14"/>
    <x v="6"/>
    <x v="1"/>
    <x v="1"/>
    <x v="3"/>
    <n v="6"/>
    <x v="3"/>
  </r>
  <r>
    <x v="103"/>
    <x v="787"/>
    <x v="1"/>
    <x v="0"/>
    <x v="300"/>
    <x v="10"/>
    <x v="4"/>
    <x v="1"/>
    <x v="1"/>
    <x v="3"/>
    <n v="6"/>
    <x v="3"/>
  </r>
  <r>
    <x v="103"/>
    <x v="788"/>
    <x v="1"/>
    <x v="0"/>
    <x v="300"/>
    <x v="8"/>
    <x v="3"/>
    <x v="1"/>
    <x v="1"/>
    <x v="3"/>
    <n v="6"/>
    <x v="3"/>
  </r>
  <r>
    <x v="103"/>
    <x v="789"/>
    <x v="4"/>
    <x v="0"/>
    <x v="301"/>
    <x v="8"/>
    <x v="3"/>
    <x v="1"/>
    <x v="1"/>
    <x v="3"/>
    <n v="6"/>
    <x v="3"/>
  </r>
  <r>
    <x v="103"/>
    <x v="790"/>
    <x v="5"/>
    <x v="0"/>
    <x v="302"/>
    <x v="11"/>
    <x v="2"/>
    <x v="2"/>
    <x v="1"/>
    <x v="3"/>
    <n v="6"/>
    <x v="3"/>
  </r>
  <r>
    <x v="104"/>
    <x v="791"/>
    <x v="0"/>
    <x v="0"/>
    <x v="59"/>
    <x v="8"/>
    <x v="3"/>
    <x v="0"/>
    <x v="2"/>
    <x v="3"/>
    <n v="7"/>
    <x v="3"/>
  </r>
  <r>
    <x v="104"/>
    <x v="792"/>
    <x v="0"/>
    <x v="0"/>
    <x v="303"/>
    <x v="10"/>
    <x v="0"/>
    <x v="0"/>
    <x v="2"/>
    <x v="3"/>
    <n v="7"/>
    <x v="3"/>
  </r>
  <r>
    <x v="104"/>
    <x v="793"/>
    <x v="7"/>
    <x v="0"/>
    <x v="303"/>
    <x v="10"/>
    <x v="1"/>
    <x v="0"/>
    <x v="2"/>
    <x v="3"/>
    <n v="7"/>
    <x v="3"/>
  </r>
  <r>
    <x v="104"/>
    <x v="794"/>
    <x v="7"/>
    <x v="0"/>
    <x v="303"/>
    <x v="10"/>
    <x v="1"/>
    <x v="0"/>
    <x v="2"/>
    <x v="3"/>
    <n v="7"/>
    <x v="3"/>
  </r>
  <r>
    <x v="104"/>
    <x v="795"/>
    <x v="1"/>
    <x v="0"/>
    <x v="276"/>
    <x v="8"/>
    <x v="3"/>
    <x v="1"/>
    <x v="2"/>
    <x v="3"/>
    <n v="7"/>
    <x v="3"/>
  </r>
  <r>
    <x v="104"/>
    <x v="796"/>
    <x v="8"/>
    <x v="0"/>
    <x v="274"/>
    <x v="14"/>
    <x v="6"/>
    <x v="1"/>
    <x v="2"/>
    <x v="3"/>
    <n v="7"/>
    <x v="3"/>
  </r>
  <r>
    <x v="104"/>
    <x v="797"/>
    <x v="3"/>
    <x v="0"/>
    <x v="304"/>
    <x v="8"/>
    <x v="3"/>
    <x v="1"/>
    <x v="2"/>
    <x v="3"/>
    <n v="7"/>
    <x v="3"/>
  </r>
  <r>
    <x v="104"/>
    <x v="798"/>
    <x v="3"/>
    <x v="0"/>
    <x v="304"/>
    <x v="8"/>
    <x v="3"/>
    <x v="1"/>
    <x v="2"/>
    <x v="3"/>
    <n v="7"/>
    <x v="3"/>
  </r>
  <r>
    <x v="104"/>
    <x v="799"/>
    <x v="3"/>
    <x v="0"/>
    <x v="305"/>
    <x v="10"/>
    <x v="1"/>
    <x v="1"/>
    <x v="2"/>
    <x v="3"/>
    <n v="7"/>
    <x v="3"/>
  </r>
  <r>
    <x v="104"/>
    <x v="800"/>
    <x v="4"/>
    <x v="0"/>
    <x v="306"/>
    <x v="10"/>
    <x v="1"/>
    <x v="1"/>
    <x v="2"/>
    <x v="3"/>
    <n v="7"/>
    <x v="3"/>
  </r>
  <r>
    <x v="104"/>
    <x v="801"/>
    <x v="9"/>
    <x v="0"/>
    <x v="59"/>
    <x v="8"/>
    <x v="3"/>
    <x v="2"/>
    <x v="2"/>
    <x v="3"/>
    <n v="7"/>
    <x v="3"/>
  </r>
  <r>
    <x v="104"/>
    <x v="802"/>
    <x v="9"/>
    <x v="0"/>
    <x v="59"/>
    <x v="8"/>
    <x v="3"/>
    <x v="2"/>
    <x v="2"/>
    <x v="3"/>
    <n v="7"/>
    <x v="3"/>
  </r>
  <r>
    <x v="105"/>
    <x v="803"/>
    <x v="13"/>
    <x v="0"/>
    <x v="307"/>
    <x v="11"/>
    <x v="2"/>
    <x v="0"/>
    <x v="3"/>
    <x v="3"/>
    <n v="1"/>
    <x v="3"/>
  </r>
  <r>
    <x v="105"/>
    <x v="804"/>
    <x v="0"/>
    <x v="0"/>
    <x v="308"/>
    <x v="11"/>
    <x v="5"/>
    <x v="0"/>
    <x v="3"/>
    <x v="3"/>
    <n v="1"/>
    <x v="3"/>
  </r>
  <r>
    <x v="105"/>
    <x v="805"/>
    <x v="0"/>
    <x v="0"/>
    <x v="308"/>
    <x v="11"/>
    <x v="5"/>
    <x v="0"/>
    <x v="3"/>
    <x v="3"/>
    <n v="1"/>
    <x v="3"/>
  </r>
  <r>
    <x v="105"/>
    <x v="806"/>
    <x v="0"/>
    <x v="0"/>
    <x v="42"/>
    <x v="10"/>
    <x v="7"/>
    <x v="0"/>
    <x v="3"/>
    <x v="3"/>
    <n v="1"/>
    <x v="3"/>
  </r>
  <r>
    <x v="105"/>
    <x v="807"/>
    <x v="8"/>
    <x v="0"/>
    <x v="164"/>
    <x v="10"/>
    <x v="7"/>
    <x v="1"/>
    <x v="3"/>
    <x v="3"/>
    <n v="1"/>
    <x v="3"/>
  </r>
  <r>
    <x v="105"/>
    <x v="808"/>
    <x v="4"/>
    <x v="0"/>
    <x v="12"/>
    <x v="10"/>
    <x v="7"/>
    <x v="1"/>
    <x v="3"/>
    <x v="3"/>
    <n v="1"/>
    <x v="3"/>
  </r>
  <r>
    <x v="105"/>
    <x v="809"/>
    <x v="4"/>
    <x v="0"/>
    <x v="12"/>
    <x v="10"/>
    <x v="7"/>
    <x v="1"/>
    <x v="3"/>
    <x v="3"/>
    <n v="1"/>
    <x v="3"/>
  </r>
  <r>
    <x v="105"/>
    <x v="810"/>
    <x v="4"/>
    <x v="0"/>
    <x v="12"/>
    <x v="11"/>
    <x v="2"/>
    <x v="1"/>
    <x v="3"/>
    <x v="3"/>
    <n v="1"/>
    <x v="3"/>
  </r>
  <r>
    <x v="105"/>
    <x v="811"/>
    <x v="5"/>
    <x v="0"/>
    <x v="309"/>
    <x v="11"/>
    <x v="2"/>
    <x v="2"/>
    <x v="3"/>
    <x v="3"/>
    <n v="1"/>
    <x v="3"/>
  </r>
  <r>
    <x v="105"/>
    <x v="812"/>
    <x v="15"/>
    <x v="0"/>
    <x v="8"/>
    <x v="8"/>
    <x v="3"/>
    <x v="2"/>
    <x v="3"/>
    <x v="3"/>
    <n v="1"/>
    <x v="3"/>
  </r>
  <r>
    <x v="106"/>
    <x v="813"/>
    <x v="8"/>
    <x v="0"/>
    <x v="299"/>
    <x v="11"/>
    <x v="2"/>
    <x v="1"/>
    <x v="4"/>
    <x v="3"/>
    <n v="2"/>
    <x v="3"/>
  </r>
  <r>
    <x v="106"/>
    <x v="814"/>
    <x v="8"/>
    <x v="0"/>
    <x v="299"/>
    <x v="10"/>
    <x v="7"/>
    <x v="1"/>
    <x v="4"/>
    <x v="3"/>
    <n v="2"/>
    <x v="3"/>
  </r>
  <r>
    <x v="106"/>
    <x v="815"/>
    <x v="6"/>
    <x v="0"/>
    <x v="154"/>
    <x v="10"/>
    <x v="7"/>
    <x v="2"/>
    <x v="4"/>
    <x v="3"/>
    <n v="2"/>
    <x v="3"/>
  </r>
  <r>
    <x v="106"/>
    <x v="816"/>
    <x v="6"/>
    <x v="0"/>
    <x v="154"/>
    <x v="10"/>
    <x v="7"/>
    <x v="2"/>
    <x v="4"/>
    <x v="3"/>
    <n v="2"/>
    <x v="3"/>
  </r>
  <r>
    <x v="106"/>
    <x v="817"/>
    <x v="12"/>
    <x v="0"/>
    <x v="310"/>
    <x v="11"/>
    <x v="5"/>
    <x v="2"/>
    <x v="4"/>
    <x v="3"/>
    <n v="2"/>
    <x v="3"/>
  </r>
  <r>
    <x v="106"/>
    <x v="818"/>
    <x v="15"/>
    <x v="0"/>
    <x v="12"/>
    <x v="8"/>
    <x v="3"/>
    <x v="2"/>
    <x v="4"/>
    <x v="3"/>
    <n v="2"/>
    <x v="3"/>
  </r>
  <r>
    <x v="106"/>
    <x v="819"/>
    <x v="15"/>
    <x v="0"/>
    <x v="12"/>
    <x v="8"/>
    <x v="3"/>
    <x v="2"/>
    <x v="4"/>
    <x v="3"/>
    <n v="2"/>
    <x v="3"/>
  </r>
  <r>
    <x v="107"/>
    <x v="820"/>
    <x v="11"/>
    <x v="0"/>
    <x v="311"/>
    <x v="10"/>
    <x v="0"/>
    <x v="0"/>
    <x v="5"/>
    <x v="3"/>
    <n v="3"/>
    <x v="3"/>
  </r>
  <r>
    <x v="107"/>
    <x v="821"/>
    <x v="13"/>
    <x v="0"/>
    <x v="141"/>
    <x v="11"/>
    <x v="5"/>
    <x v="0"/>
    <x v="5"/>
    <x v="3"/>
    <n v="3"/>
    <x v="3"/>
  </r>
  <r>
    <x v="107"/>
    <x v="822"/>
    <x v="0"/>
    <x v="0"/>
    <x v="312"/>
    <x v="11"/>
    <x v="2"/>
    <x v="0"/>
    <x v="5"/>
    <x v="3"/>
    <n v="3"/>
    <x v="3"/>
  </r>
  <r>
    <x v="107"/>
    <x v="823"/>
    <x v="7"/>
    <x v="0"/>
    <x v="313"/>
    <x v="10"/>
    <x v="0"/>
    <x v="0"/>
    <x v="5"/>
    <x v="3"/>
    <n v="3"/>
    <x v="3"/>
  </r>
  <r>
    <x v="107"/>
    <x v="824"/>
    <x v="7"/>
    <x v="0"/>
    <x v="313"/>
    <x v="10"/>
    <x v="4"/>
    <x v="0"/>
    <x v="5"/>
    <x v="3"/>
    <n v="3"/>
    <x v="3"/>
  </r>
  <r>
    <x v="107"/>
    <x v="825"/>
    <x v="8"/>
    <x v="0"/>
    <x v="164"/>
    <x v="8"/>
    <x v="3"/>
    <x v="1"/>
    <x v="5"/>
    <x v="3"/>
    <n v="3"/>
    <x v="3"/>
  </r>
  <r>
    <x v="107"/>
    <x v="826"/>
    <x v="5"/>
    <x v="0"/>
    <x v="153"/>
    <x v="10"/>
    <x v="7"/>
    <x v="2"/>
    <x v="5"/>
    <x v="3"/>
    <n v="3"/>
    <x v="3"/>
  </r>
  <r>
    <x v="107"/>
    <x v="827"/>
    <x v="5"/>
    <x v="0"/>
    <x v="153"/>
    <x v="10"/>
    <x v="0"/>
    <x v="2"/>
    <x v="5"/>
    <x v="3"/>
    <n v="3"/>
    <x v="3"/>
  </r>
  <r>
    <x v="107"/>
    <x v="828"/>
    <x v="6"/>
    <x v="0"/>
    <x v="8"/>
    <x v="8"/>
    <x v="3"/>
    <x v="2"/>
    <x v="5"/>
    <x v="3"/>
    <n v="3"/>
    <x v="3"/>
  </r>
  <r>
    <x v="107"/>
    <x v="829"/>
    <x v="15"/>
    <x v="0"/>
    <x v="192"/>
    <x v="10"/>
    <x v="7"/>
    <x v="2"/>
    <x v="5"/>
    <x v="3"/>
    <n v="3"/>
    <x v="3"/>
  </r>
  <r>
    <x v="107"/>
    <x v="830"/>
    <x v="15"/>
    <x v="0"/>
    <x v="192"/>
    <x v="8"/>
    <x v="3"/>
    <x v="2"/>
    <x v="5"/>
    <x v="3"/>
    <n v="3"/>
    <x v="3"/>
  </r>
  <r>
    <x v="108"/>
    <x v="831"/>
    <x v="0"/>
    <x v="0"/>
    <x v="97"/>
    <x v="10"/>
    <x v="0"/>
    <x v="0"/>
    <x v="6"/>
    <x v="3"/>
    <n v="4"/>
    <x v="3"/>
  </r>
  <r>
    <x v="108"/>
    <x v="832"/>
    <x v="5"/>
    <x v="0"/>
    <x v="314"/>
    <x v="10"/>
    <x v="0"/>
    <x v="2"/>
    <x v="6"/>
    <x v="3"/>
    <n v="4"/>
    <x v="3"/>
  </r>
  <r>
    <x v="108"/>
    <x v="833"/>
    <x v="6"/>
    <x v="0"/>
    <x v="314"/>
    <x v="10"/>
    <x v="0"/>
    <x v="2"/>
    <x v="6"/>
    <x v="3"/>
    <n v="4"/>
    <x v="3"/>
  </r>
  <r>
    <x v="108"/>
    <x v="834"/>
    <x v="15"/>
    <x v="0"/>
    <x v="257"/>
    <x v="10"/>
    <x v="0"/>
    <x v="2"/>
    <x v="6"/>
    <x v="3"/>
    <n v="4"/>
    <x v="3"/>
  </r>
  <r>
    <x v="108"/>
    <x v="835"/>
    <x v="15"/>
    <x v="0"/>
    <x v="8"/>
    <x v="10"/>
    <x v="0"/>
    <x v="2"/>
    <x v="6"/>
    <x v="3"/>
    <n v="4"/>
    <x v="3"/>
  </r>
  <r>
    <x v="108"/>
    <x v="836"/>
    <x v="15"/>
    <x v="0"/>
    <x v="8"/>
    <x v="8"/>
    <x v="3"/>
    <x v="2"/>
    <x v="6"/>
    <x v="3"/>
    <n v="4"/>
    <x v="3"/>
  </r>
  <r>
    <x v="109"/>
    <x v="837"/>
    <x v="10"/>
    <x v="0"/>
    <x v="311"/>
    <x v="10"/>
    <x v="0"/>
    <x v="0"/>
    <x v="0"/>
    <x v="3"/>
    <n v="5"/>
    <x v="3"/>
  </r>
  <r>
    <x v="109"/>
    <x v="838"/>
    <x v="0"/>
    <x v="0"/>
    <x v="315"/>
    <x v="11"/>
    <x v="2"/>
    <x v="0"/>
    <x v="0"/>
    <x v="3"/>
    <n v="5"/>
    <x v="3"/>
  </r>
  <r>
    <x v="109"/>
    <x v="839"/>
    <x v="2"/>
    <x v="0"/>
    <x v="12"/>
    <x v="8"/>
    <x v="3"/>
    <x v="1"/>
    <x v="0"/>
    <x v="3"/>
    <n v="5"/>
    <x v="3"/>
  </r>
  <r>
    <x v="109"/>
    <x v="840"/>
    <x v="2"/>
    <x v="0"/>
    <x v="12"/>
    <x v="8"/>
    <x v="3"/>
    <x v="1"/>
    <x v="0"/>
    <x v="3"/>
    <n v="5"/>
    <x v="3"/>
  </r>
  <r>
    <x v="109"/>
    <x v="841"/>
    <x v="5"/>
    <x v="0"/>
    <x v="316"/>
    <x v="14"/>
    <x v="6"/>
    <x v="2"/>
    <x v="0"/>
    <x v="3"/>
    <n v="5"/>
    <x v="3"/>
  </r>
  <r>
    <x v="109"/>
    <x v="842"/>
    <x v="6"/>
    <x v="0"/>
    <x v="8"/>
    <x v="10"/>
    <x v="0"/>
    <x v="2"/>
    <x v="0"/>
    <x v="3"/>
    <n v="5"/>
    <x v="3"/>
  </r>
  <r>
    <x v="109"/>
    <x v="843"/>
    <x v="6"/>
    <x v="0"/>
    <x v="154"/>
    <x v="10"/>
    <x v="7"/>
    <x v="2"/>
    <x v="0"/>
    <x v="3"/>
    <n v="5"/>
    <x v="3"/>
  </r>
  <r>
    <x v="109"/>
    <x v="844"/>
    <x v="6"/>
    <x v="0"/>
    <x v="154"/>
    <x v="10"/>
    <x v="7"/>
    <x v="2"/>
    <x v="0"/>
    <x v="3"/>
    <n v="5"/>
    <x v="3"/>
  </r>
  <r>
    <x v="109"/>
    <x v="845"/>
    <x v="6"/>
    <x v="0"/>
    <x v="180"/>
    <x v="10"/>
    <x v="7"/>
    <x v="2"/>
    <x v="0"/>
    <x v="3"/>
    <n v="5"/>
    <x v="3"/>
  </r>
  <r>
    <x v="109"/>
    <x v="846"/>
    <x v="6"/>
    <x v="0"/>
    <x v="180"/>
    <x v="10"/>
    <x v="7"/>
    <x v="2"/>
    <x v="0"/>
    <x v="3"/>
    <n v="5"/>
    <x v="3"/>
  </r>
  <r>
    <x v="109"/>
    <x v="847"/>
    <x v="6"/>
    <x v="0"/>
    <x v="180"/>
    <x v="11"/>
    <x v="2"/>
    <x v="2"/>
    <x v="0"/>
    <x v="3"/>
    <n v="5"/>
    <x v="3"/>
  </r>
  <r>
    <x v="109"/>
    <x v="848"/>
    <x v="6"/>
    <x v="0"/>
    <x v="311"/>
    <x v="8"/>
    <x v="3"/>
    <x v="2"/>
    <x v="0"/>
    <x v="3"/>
    <n v="5"/>
    <x v="3"/>
  </r>
  <r>
    <x v="110"/>
    <x v="849"/>
    <x v="13"/>
    <x v="0"/>
    <x v="141"/>
    <x v="11"/>
    <x v="5"/>
    <x v="0"/>
    <x v="1"/>
    <x v="3"/>
    <n v="6"/>
    <x v="3"/>
  </r>
  <r>
    <x v="110"/>
    <x v="850"/>
    <x v="10"/>
    <x v="0"/>
    <x v="311"/>
    <x v="8"/>
    <x v="3"/>
    <x v="0"/>
    <x v="1"/>
    <x v="3"/>
    <n v="6"/>
    <x v="3"/>
  </r>
  <r>
    <x v="110"/>
    <x v="851"/>
    <x v="1"/>
    <x v="0"/>
    <x v="317"/>
    <x v="8"/>
    <x v="3"/>
    <x v="1"/>
    <x v="1"/>
    <x v="3"/>
    <n v="6"/>
    <x v="3"/>
  </r>
  <r>
    <x v="110"/>
    <x v="852"/>
    <x v="3"/>
    <x v="0"/>
    <x v="8"/>
    <x v="10"/>
    <x v="0"/>
    <x v="1"/>
    <x v="1"/>
    <x v="3"/>
    <n v="6"/>
    <x v="3"/>
  </r>
  <r>
    <x v="110"/>
    <x v="853"/>
    <x v="14"/>
    <x v="0"/>
    <x v="318"/>
    <x v="10"/>
    <x v="7"/>
    <x v="2"/>
    <x v="1"/>
    <x v="3"/>
    <n v="6"/>
    <x v="3"/>
  </r>
  <r>
    <x v="111"/>
    <x v="854"/>
    <x v="5"/>
    <x v="0"/>
    <x v="12"/>
    <x v="8"/>
    <x v="3"/>
    <x v="2"/>
    <x v="2"/>
    <x v="3"/>
    <n v="7"/>
    <x v="3"/>
  </r>
  <r>
    <x v="111"/>
    <x v="855"/>
    <x v="5"/>
    <x v="0"/>
    <x v="12"/>
    <x v="8"/>
    <x v="3"/>
    <x v="2"/>
    <x v="2"/>
    <x v="3"/>
    <n v="7"/>
    <x v="3"/>
  </r>
  <r>
    <x v="111"/>
    <x v="856"/>
    <x v="15"/>
    <x v="0"/>
    <x v="319"/>
    <x v="10"/>
    <x v="7"/>
    <x v="2"/>
    <x v="2"/>
    <x v="3"/>
    <n v="7"/>
    <x v="3"/>
  </r>
  <r>
    <x v="111"/>
    <x v="857"/>
    <x v="15"/>
    <x v="0"/>
    <x v="320"/>
    <x v="10"/>
    <x v="0"/>
    <x v="2"/>
    <x v="2"/>
    <x v="3"/>
    <n v="7"/>
    <x v="3"/>
  </r>
  <r>
    <x v="111"/>
    <x v="858"/>
    <x v="15"/>
    <x v="0"/>
    <x v="320"/>
    <x v="10"/>
    <x v="7"/>
    <x v="2"/>
    <x v="2"/>
    <x v="3"/>
    <n v="7"/>
    <x v="3"/>
  </r>
  <r>
    <x v="112"/>
    <x v="859"/>
    <x v="7"/>
    <x v="0"/>
    <x v="164"/>
    <x v="8"/>
    <x v="3"/>
    <x v="0"/>
    <x v="3"/>
    <x v="3"/>
    <n v="1"/>
    <x v="3"/>
  </r>
  <r>
    <x v="112"/>
    <x v="860"/>
    <x v="7"/>
    <x v="0"/>
    <x v="180"/>
    <x v="10"/>
    <x v="7"/>
    <x v="0"/>
    <x v="3"/>
    <x v="3"/>
    <n v="1"/>
    <x v="3"/>
  </r>
  <r>
    <x v="112"/>
    <x v="861"/>
    <x v="7"/>
    <x v="0"/>
    <x v="180"/>
    <x v="10"/>
    <x v="7"/>
    <x v="0"/>
    <x v="3"/>
    <x v="3"/>
    <n v="1"/>
    <x v="3"/>
  </r>
  <r>
    <x v="112"/>
    <x v="862"/>
    <x v="3"/>
    <x v="0"/>
    <x v="321"/>
    <x v="10"/>
    <x v="0"/>
    <x v="1"/>
    <x v="3"/>
    <x v="3"/>
    <n v="1"/>
    <x v="3"/>
  </r>
  <r>
    <x v="112"/>
    <x v="863"/>
    <x v="4"/>
    <x v="0"/>
    <x v="203"/>
    <x v="10"/>
    <x v="7"/>
    <x v="1"/>
    <x v="3"/>
    <x v="3"/>
    <n v="1"/>
    <x v="3"/>
  </r>
  <r>
    <x v="112"/>
    <x v="864"/>
    <x v="4"/>
    <x v="0"/>
    <x v="203"/>
    <x v="10"/>
    <x v="7"/>
    <x v="1"/>
    <x v="3"/>
    <x v="3"/>
    <n v="1"/>
    <x v="3"/>
  </r>
  <r>
    <x v="113"/>
    <x v="865"/>
    <x v="13"/>
    <x v="0"/>
    <x v="322"/>
    <x v="10"/>
    <x v="0"/>
    <x v="0"/>
    <x v="4"/>
    <x v="3"/>
    <n v="2"/>
    <x v="3"/>
  </r>
  <r>
    <x v="113"/>
    <x v="866"/>
    <x v="0"/>
    <x v="0"/>
    <x v="12"/>
    <x v="8"/>
    <x v="3"/>
    <x v="0"/>
    <x v="4"/>
    <x v="3"/>
    <n v="2"/>
    <x v="3"/>
  </r>
  <r>
    <x v="113"/>
    <x v="867"/>
    <x v="0"/>
    <x v="0"/>
    <x v="40"/>
    <x v="8"/>
    <x v="3"/>
    <x v="0"/>
    <x v="4"/>
    <x v="3"/>
    <n v="2"/>
    <x v="3"/>
  </r>
  <r>
    <x v="113"/>
    <x v="868"/>
    <x v="7"/>
    <x v="0"/>
    <x v="203"/>
    <x v="10"/>
    <x v="7"/>
    <x v="0"/>
    <x v="4"/>
    <x v="3"/>
    <n v="2"/>
    <x v="3"/>
  </r>
  <r>
    <x v="114"/>
    <x v="869"/>
    <x v="10"/>
    <x v="0"/>
    <x v="323"/>
    <x v="10"/>
    <x v="0"/>
    <x v="0"/>
    <x v="5"/>
    <x v="3"/>
    <n v="3"/>
    <x v="3"/>
  </r>
  <r>
    <x v="114"/>
    <x v="870"/>
    <x v="4"/>
    <x v="0"/>
    <x v="324"/>
    <x v="14"/>
    <x v="6"/>
    <x v="1"/>
    <x v="5"/>
    <x v="3"/>
    <n v="3"/>
    <x v="3"/>
  </r>
  <r>
    <x v="114"/>
    <x v="871"/>
    <x v="4"/>
    <x v="0"/>
    <x v="325"/>
    <x v="11"/>
    <x v="2"/>
    <x v="1"/>
    <x v="5"/>
    <x v="3"/>
    <n v="3"/>
    <x v="3"/>
  </r>
  <r>
    <x v="114"/>
    <x v="872"/>
    <x v="15"/>
    <x v="0"/>
    <x v="8"/>
    <x v="10"/>
    <x v="0"/>
    <x v="2"/>
    <x v="5"/>
    <x v="3"/>
    <n v="3"/>
    <x v="3"/>
  </r>
  <r>
    <x v="114"/>
    <x v="873"/>
    <x v="15"/>
    <x v="0"/>
    <x v="8"/>
    <x v="10"/>
    <x v="7"/>
    <x v="2"/>
    <x v="5"/>
    <x v="3"/>
    <n v="3"/>
    <x v="3"/>
  </r>
  <r>
    <x v="114"/>
    <x v="874"/>
    <x v="15"/>
    <x v="0"/>
    <x v="206"/>
    <x v="8"/>
    <x v="3"/>
    <x v="2"/>
    <x v="5"/>
    <x v="3"/>
    <n v="3"/>
    <x v="3"/>
  </r>
  <r>
    <x v="115"/>
    <x v="875"/>
    <x v="10"/>
    <x v="0"/>
    <x v="326"/>
    <x v="8"/>
    <x v="3"/>
    <x v="0"/>
    <x v="6"/>
    <x v="3"/>
    <n v="4"/>
    <x v="3"/>
  </r>
  <r>
    <x v="115"/>
    <x v="876"/>
    <x v="4"/>
    <x v="0"/>
    <x v="327"/>
    <x v="11"/>
    <x v="5"/>
    <x v="1"/>
    <x v="6"/>
    <x v="3"/>
    <n v="4"/>
    <x v="3"/>
  </r>
  <r>
    <x v="115"/>
    <x v="877"/>
    <x v="15"/>
    <x v="0"/>
    <x v="328"/>
    <x v="8"/>
    <x v="3"/>
    <x v="2"/>
    <x v="6"/>
    <x v="3"/>
    <n v="4"/>
    <x v="3"/>
  </r>
  <r>
    <x v="115"/>
    <x v="878"/>
    <x v="15"/>
    <x v="0"/>
    <x v="329"/>
    <x v="10"/>
    <x v="7"/>
    <x v="2"/>
    <x v="6"/>
    <x v="3"/>
    <n v="4"/>
    <x v="3"/>
  </r>
  <r>
    <x v="116"/>
    <x v="879"/>
    <x v="13"/>
    <x v="0"/>
    <x v="141"/>
    <x v="11"/>
    <x v="5"/>
    <x v="0"/>
    <x v="0"/>
    <x v="3"/>
    <n v="5"/>
    <x v="3"/>
  </r>
  <r>
    <x v="116"/>
    <x v="880"/>
    <x v="9"/>
    <x v="0"/>
    <x v="274"/>
    <x v="14"/>
    <x v="6"/>
    <x v="2"/>
    <x v="0"/>
    <x v="3"/>
    <n v="5"/>
    <x v="3"/>
  </r>
  <r>
    <x v="116"/>
    <x v="881"/>
    <x v="15"/>
    <x v="0"/>
    <x v="330"/>
    <x v="8"/>
    <x v="3"/>
    <x v="2"/>
    <x v="0"/>
    <x v="3"/>
    <n v="5"/>
    <x v="3"/>
  </r>
  <r>
    <x v="116"/>
    <x v="882"/>
    <x v="15"/>
    <x v="0"/>
    <x v="331"/>
    <x v="10"/>
    <x v="0"/>
    <x v="2"/>
    <x v="0"/>
    <x v="3"/>
    <n v="5"/>
    <x v="3"/>
  </r>
  <r>
    <x v="116"/>
    <x v="883"/>
    <x v="14"/>
    <x v="0"/>
    <x v="332"/>
    <x v="10"/>
    <x v="7"/>
    <x v="2"/>
    <x v="0"/>
    <x v="3"/>
    <n v="5"/>
    <x v="3"/>
  </r>
  <r>
    <x v="117"/>
    <x v="884"/>
    <x v="10"/>
    <x v="0"/>
    <x v="97"/>
    <x v="8"/>
    <x v="3"/>
    <x v="0"/>
    <x v="1"/>
    <x v="3"/>
    <n v="6"/>
    <x v="3"/>
  </r>
  <r>
    <x v="117"/>
    <x v="885"/>
    <x v="7"/>
    <x v="0"/>
    <x v="333"/>
    <x v="8"/>
    <x v="3"/>
    <x v="0"/>
    <x v="1"/>
    <x v="3"/>
    <n v="6"/>
    <x v="3"/>
  </r>
  <r>
    <x v="117"/>
    <x v="886"/>
    <x v="7"/>
    <x v="0"/>
    <x v="333"/>
    <x v="8"/>
    <x v="3"/>
    <x v="0"/>
    <x v="1"/>
    <x v="3"/>
    <n v="6"/>
    <x v="3"/>
  </r>
  <r>
    <x v="117"/>
    <x v="887"/>
    <x v="1"/>
    <x v="0"/>
    <x v="334"/>
    <x v="10"/>
    <x v="7"/>
    <x v="1"/>
    <x v="1"/>
    <x v="3"/>
    <n v="6"/>
    <x v="3"/>
  </r>
  <r>
    <x v="117"/>
    <x v="888"/>
    <x v="1"/>
    <x v="0"/>
    <x v="334"/>
    <x v="10"/>
    <x v="7"/>
    <x v="1"/>
    <x v="1"/>
    <x v="3"/>
    <n v="6"/>
    <x v="3"/>
  </r>
  <r>
    <x v="117"/>
    <x v="889"/>
    <x v="9"/>
    <x v="0"/>
    <x v="335"/>
    <x v="10"/>
    <x v="7"/>
    <x v="2"/>
    <x v="1"/>
    <x v="3"/>
    <n v="6"/>
    <x v="3"/>
  </r>
  <r>
    <x v="117"/>
    <x v="890"/>
    <x v="9"/>
    <x v="0"/>
    <x v="335"/>
    <x v="10"/>
    <x v="1"/>
    <x v="2"/>
    <x v="1"/>
    <x v="3"/>
    <n v="6"/>
    <x v="3"/>
  </r>
  <r>
    <x v="117"/>
    <x v="891"/>
    <x v="15"/>
    <x v="0"/>
    <x v="8"/>
    <x v="10"/>
    <x v="0"/>
    <x v="2"/>
    <x v="1"/>
    <x v="3"/>
    <n v="6"/>
    <x v="3"/>
  </r>
  <r>
    <x v="118"/>
    <x v="892"/>
    <x v="0"/>
    <x v="0"/>
    <x v="336"/>
    <x v="10"/>
    <x v="0"/>
    <x v="0"/>
    <x v="2"/>
    <x v="3"/>
    <n v="7"/>
    <x v="3"/>
  </r>
  <r>
    <x v="118"/>
    <x v="893"/>
    <x v="2"/>
    <x v="0"/>
    <x v="337"/>
    <x v="14"/>
    <x v="6"/>
    <x v="1"/>
    <x v="2"/>
    <x v="3"/>
    <n v="7"/>
    <x v="3"/>
  </r>
  <r>
    <x v="118"/>
    <x v="894"/>
    <x v="4"/>
    <x v="0"/>
    <x v="8"/>
    <x v="10"/>
    <x v="1"/>
    <x v="1"/>
    <x v="2"/>
    <x v="3"/>
    <n v="7"/>
    <x v="3"/>
  </r>
  <r>
    <x v="118"/>
    <x v="895"/>
    <x v="15"/>
    <x v="0"/>
    <x v="97"/>
    <x v="8"/>
    <x v="3"/>
    <x v="2"/>
    <x v="2"/>
    <x v="3"/>
    <n v="7"/>
    <x v="3"/>
  </r>
  <r>
    <x v="119"/>
    <x v="896"/>
    <x v="5"/>
    <x v="0"/>
    <x v="12"/>
    <x v="14"/>
    <x v="6"/>
    <x v="2"/>
    <x v="3"/>
    <x v="4"/>
    <n v="1"/>
    <x v="4"/>
  </r>
  <r>
    <x v="119"/>
    <x v="897"/>
    <x v="5"/>
    <x v="0"/>
    <x v="338"/>
    <x v="10"/>
    <x v="7"/>
    <x v="2"/>
    <x v="3"/>
    <x v="4"/>
    <n v="1"/>
    <x v="4"/>
  </r>
  <r>
    <x v="119"/>
    <x v="898"/>
    <x v="5"/>
    <x v="0"/>
    <x v="339"/>
    <x v="10"/>
    <x v="7"/>
    <x v="2"/>
    <x v="3"/>
    <x v="4"/>
    <n v="1"/>
    <x v="4"/>
  </r>
  <r>
    <x v="120"/>
    <x v="899"/>
    <x v="0"/>
    <x v="0"/>
    <x v="304"/>
    <x v="8"/>
    <x v="3"/>
    <x v="0"/>
    <x v="4"/>
    <x v="4"/>
    <n v="2"/>
    <x v="4"/>
  </r>
  <r>
    <x v="120"/>
    <x v="900"/>
    <x v="0"/>
    <x v="0"/>
    <x v="304"/>
    <x v="11"/>
    <x v="2"/>
    <x v="0"/>
    <x v="4"/>
    <x v="4"/>
    <n v="2"/>
    <x v="4"/>
  </r>
  <r>
    <x v="120"/>
    <x v="901"/>
    <x v="1"/>
    <x v="0"/>
    <x v="19"/>
    <x v="10"/>
    <x v="0"/>
    <x v="1"/>
    <x v="4"/>
    <x v="4"/>
    <n v="2"/>
    <x v="4"/>
  </r>
  <r>
    <x v="120"/>
    <x v="902"/>
    <x v="8"/>
    <x v="0"/>
    <x v="340"/>
    <x v="11"/>
    <x v="2"/>
    <x v="1"/>
    <x v="4"/>
    <x v="4"/>
    <n v="2"/>
    <x v="4"/>
  </r>
  <r>
    <x v="120"/>
    <x v="903"/>
    <x v="4"/>
    <x v="0"/>
    <x v="341"/>
    <x v="8"/>
    <x v="3"/>
    <x v="1"/>
    <x v="4"/>
    <x v="4"/>
    <n v="2"/>
    <x v="4"/>
  </r>
  <r>
    <x v="120"/>
    <x v="904"/>
    <x v="14"/>
    <x v="0"/>
    <x v="329"/>
    <x v="8"/>
    <x v="3"/>
    <x v="2"/>
    <x v="4"/>
    <x v="4"/>
    <n v="2"/>
    <x v="4"/>
  </r>
  <r>
    <x v="121"/>
    <x v="905"/>
    <x v="2"/>
    <x v="0"/>
    <x v="12"/>
    <x v="8"/>
    <x v="3"/>
    <x v="1"/>
    <x v="5"/>
    <x v="4"/>
    <n v="3"/>
    <x v="4"/>
  </r>
  <r>
    <x v="121"/>
    <x v="906"/>
    <x v="4"/>
    <x v="0"/>
    <x v="342"/>
    <x v="10"/>
    <x v="7"/>
    <x v="1"/>
    <x v="5"/>
    <x v="4"/>
    <n v="3"/>
    <x v="4"/>
  </r>
  <r>
    <x v="121"/>
    <x v="907"/>
    <x v="4"/>
    <x v="0"/>
    <x v="343"/>
    <x v="10"/>
    <x v="7"/>
    <x v="1"/>
    <x v="5"/>
    <x v="4"/>
    <n v="3"/>
    <x v="4"/>
  </r>
  <r>
    <x v="121"/>
    <x v="908"/>
    <x v="4"/>
    <x v="0"/>
    <x v="270"/>
    <x v="8"/>
    <x v="3"/>
    <x v="1"/>
    <x v="5"/>
    <x v="4"/>
    <n v="3"/>
    <x v="4"/>
  </r>
  <r>
    <x v="121"/>
    <x v="909"/>
    <x v="4"/>
    <x v="0"/>
    <x v="344"/>
    <x v="8"/>
    <x v="3"/>
    <x v="1"/>
    <x v="5"/>
    <x v="4"/>
    <n v="3"/>
    <x v="4"/>
  </r>
  <r>
    <x v="121"/>
    <x v="910"/>
    <x v="4"/>
    <x v="0"/>
    <x v="270"/>
    <x v="10"/>
    <x v="0"/>
    <x v="1"/>
    <x v="5"/>
    <x v="4"/>
    <n v="3"/>
    <x v="4"/>
  </r>
  <r>
    <x v="121"/>
    <x v="911"/>
    <x v="4"/>
    <x v="0"/>
    <x v="345"/>
    <x v="14"/>
    <x v="6"/>
    <x v="1"/>
    <x v="5"/>
    <x v="4"/>
    <n v="3"/>
    <x v="4"/>
  </r>
  <r>
    <x v="121"/>
    <x v="912"/>
    <x v="9"/>
    <x v="0"/>
    <x v="346"/>
    <x v="10"/>
    <x v="7"/>
    <x v="2"/>
    <x v="5"/>
    <x v="4"/>
    <n v="3"/>
    <x v="4"/>
  </r>
  <r>
    <x v="121"/>
    <x v="913"/>
    <x v="6"/>
    <x v="0"/>
    <x v="8"/>
    <x v="10"/>
    <x v="0"/>
    <x v="2"/>
    <x v="5"/>
    <x v="4"/>
    <n v="3"/>
    <x v="4"/>
  </r>
  <r>
    <x v="122"/>
    <x v="914"/>
    <x v="0"/>
    <x v="0"/>
    <x v="143"/>
    <x v="8"/>
    <x v="3"/>
    <x v="0"/>
    <x v="6"/>
    <x v="4"/>
    <n v="4"/>
    <x v="4"/>
  </r>
  <r>
    <x v="122"/>
    <x v="915"/>
    <x v="0"/>
    <x v="0"/>
    <x v="12"/>
    <x v="11"/>
    <x v="2"/>
    <x v="0"/>
    <x v="6"/>
    <x v="4"/>
    <n v="4"/>
    <x v="4"/>
  </r>
  <r>
    <x v="123"/>
    <x v="916"/>
    <x v="1"/>
    <x v="0"/>
    <x v="58"/>
    <x v="10"/>
    <x v="4"/>
    <x v="1"/>
    <x v="0"/>
    <x v="4"/>
    <n v="5"/>
    <x v="4"/>
  </r>
  <r>
    <x v="123"/>
    <x v="917"/>
    <x v="2"/>
    <x v="0"/>
    <x v="40"/>
    <x v="8"/>
    <x v="3"/>
    <x v="1"/>
    <x v="0"/>
    <x v="4"/>
    <n v="5"/>
    <x v="4"/>
  </r>
  <r>
    <x v="123"/>
    <x v="918"/>
    <x v="2"/>
    <x v="0"/>
    <x v="347"/>
    <x v="8"/>
    <x v="3"/>
    <x v="1"/>
    <x v="0"/>
    <x v="4"/>
    <n v="5"/>
    <x v="4"/>
  </r>
  <r>
    <x v="123"/>
    <x v="919"/>
    <x v="5"/>
    <x v="0"/>
    <x v="348"/>
    <x v="14"/>
    <x v="6"/>
    <x v="2"/>
    <x v="0"/>
    <x v="4"/>
    <n v="5"/>
    <x v="4"/>
  </r>
  <r>
    <x v="123"/>
    <x v="920"/>
    <x v="6"/>
    <x v="0"/>
    <x v="99"/>
    <x v="11"/>
    <x v="2"/>
    <x v="2"/>
    <x v="0"/>
    <x v="4"/>
    <n v="5"/>
    <x v="4"/>
  </r>
  <r>
    <x v="123"/>
    <x v="921"/>
    <x v="14"/>
    <x v="0"/>
    <x v="349"/>
    <x v="14"/>
    <x v="6"/>
    <x v="2"/>
    <x v="0"/>
    <x v="4"/>
    <n v="5"/>
    <x v="4"/>
  </r>
  <r>
    <x v="123"/>
    <x v="922"/>
    <x v="14"/>
    <x v="0"/>
    <x v="350"/>
    <x v="11"/>
    <x v="2"/>
    <x v="2"/>
    <x v="0"/>
    <x v="4"/>
    <n v="5"/>
    <x v="4"/>
  </r>
  <r>
    <x v="123"/>
    <x v="923"/>
    <x v="14"/>
    <x v="0"/>
    <x v="350"/>
    <x v="11"/>
    <x v="2"/>
    <x v="2"/>
    <x v="0"/>
    <x v="4"/>
    <n v="5"/>
    <x v="4"/>
  </r>
  <r>
    <x v="123"/>
    <x v="924"/>
    <x v="14"/>
    <x v="0"/>
    <x v="351"/>
    <x v="10"/>
    <x v="7"/>
    <x v="2"/>
    <x v="0"/>
    <x v="4"/>
    <n v="5"/>
    <x v="4"/>
  </r>
  <r>
    <x v="123"/>
    <x v="925"/>
    <x v="14"/>
    <x v="0"/>
    <x v="351"/>
    <x v="8"/>
    <x v="3"/>
    <x v="2"/>
    <x v="0"/>
    <x v="4"/>
    <n v="5"/>
    <x v="4"/>
  </r>
  <r>
    <x v="124"/>
    <x v="926"/>
    <x v="0"/>
    <x v="0"/>
    <x v="352"/>
    <x v="10"/>
    <x v="0"/>
    <x v="0"/>
    <x v="1"/>
    <x v="4"/>
    <n v="6"/>
    <x v="4"/>
  </r>
  <r>
    <x v="124"/>
    <x v="927"/>
    <x v="9"/>
    <x v="0"/>
    <x v="8"/>
    <x v="8"/>
    <x v="0"/>
    <x v="2"/>
    <x v="1"/>
    <x v="4"/>
    <n v="6"/>
    <x v="4"/>
  </r>
  <r>
    <x v="124"/>
    <x v="928"/>
    <x v="9"/>
    <x v="0"/>
    <x v="8"/>
    <x v="8"/>
    <x v="0"/>
    <x v="2"/>
    <x v="1"/>
    <x v="4"/>
    <n v="6"/>
    <x v="4"/>
  </r>
  <r>
    <x v="124"/>
    <x v="929"/>
    <x v="6"/>
    <x v="0"/>
    <x v="12"/>
    <x v="8"/>
    <x v="0"/>
    <x v="2"/>
    <x v="1"/>
    <x v="4"/>
    <n v="6"/>
    <x v="4"/>
  </r>
  <r>
    <x v="124"/>
    <x v="930"/>
    <x v="6"/>
    <x v="0"/>
    <x v="12"/>
    <x v="11"/>
    <x v="3"/>
    <x v="2"/>
    <x v="1"/>
    <x v="4"/>
    <n v="6"/>
    <x v="4"/>
  </r>
  <r>
    <x v="125"/>
    <x v="931"/>
    <x v="10"/>
    <x v="0"/>
    <x v="303"/>
    <x v="8"/>
    <x v="7"/>
    <x v="0"/>
    <x v="2"/>
    <x v="4"/>
    <n v="7"/>
    <x v="4"/>
  </r>
  <r>
    <x v="125"/>
    <x v="932"/>
    <x v="10"/>
    <x v="0"/>
    <x v="353"/>
    <x v="11"/>
    <x v="3"/>
    <x v="0"/>
    <x v="2"/>
    <x v="4"/>
    <n v="7"/>
    <x v="4"/>
  </r>
  <r>
    <x v="125"/>
    <x v="933"/>
    <x v="10"/>
    <x v="0"/>
    <x v="353"/>
    <x v="11"/>
    <x v="3"/>
    <x v="0"/>
    <x v="2"/>
    <x v="4"/>
    <n v="7"/>
    <x v="4"/>
  </r>
  <r>
    <x v="125"/>
    <x v="934"/>
    <x v="10"/>
    <x v="0"/>
    <x v="354"/>
    <x v="8"/>
    <x v="7"/>
    <x v="0"/>
    <x v="2"/>
    <x v="4"/>
    <n v="7"/>
    <x v="4"/>
  </r>
  <r>
    <x v="125"/>
    <x v="935"/>
    <x v="10"/>
    <x v="0"/>
    <x v="354"/>
    <x v="8"/>
    <x v="7"/>
    <x v="0"/>
    <x v="2"/>
    <x v="4"/>
    <n v="7"/>
    <x v="4"/>
  </r>
  <r>
    <x v="125"/>
    <x v="936"/>
    <x v="8"/>
    <x v="0"/>
    <x v="355"/>
    <x v="8"/>
    <x v="1"/>
    <x v="1"/>
    <x v="2"/>
    <x v="4"/>
    <n v="7"/>
    <x v="4"/>
  </r>
  <r>
    <x v="125"/>
    <x v="937"/>
    <x v="8"/>
    <x v="0"/>
    <x v="355"/>
    <x v="8"/>
    <x v="4"/>
    <x v="1"/>
    <x v="2"/>
    <x v="4"/>
    <n v="7"/>
    <x v="4"/>
  </r>
  <r>
    <x v="125"/>
    <x v="938"/>
    <x v="9"/>
    <x v="0"/>
    <x v="356"/>
    <x v="8"/>
    <x v="0"/>
    <x v="2"/>
    <x v="2"/>
    <x v="4"/>
    <n v="7"/>
    <x v="4"/>
  </r>
  <r>
    <x v="125"/>
    <x v="939"/>
    <x v="6"/>
    <x v="0"/>
    <x v="357"/>
    <x v="8"/>
    <x v="7"/>
    <x v="2"/>
    <x v="2"/>
    <x v="4"/>
    <n v="7"/>
    <x v="4"/>
  </r>
  <r>
    <x v="125"/>
    <x v="940"/>
    <x v="12"/>
    <x v="0"/>
    <x v="358"/>
    <x v="8"/>
    <x v="1"/>
    <x v="2"/>
    <x v="2"/>
    <x v="4"/>
    <n v="7"/>
    <x v="4"/>
  </r>
  <r>
    <x v="125"/>
    <x v="941"/>
    <x v="14"/>
    <x v="0"/>
    <x v="359"/>
    <x v="11"/>
    <x v="3"/>
    <x v="2"/>
    <x v="2"/>
    <x v="4"/>
    <n v="7"/>
    <x v="4"/>
  </r>
  <r>
    <x v="126"/>
    <x v="942"/>
    <x v="11"/>
    <x v="0"/>
    <x v="360"/>
    <x v="8"/>
    <x v="0"/>
    <x v="0"/>
    <x v="3"/>
    <x v="4"/>
    <n v="1"/>
    <x v="4"/>
  </r>
  <r>
    <x v="126"/>
    <x v="943"/>
    <x v="1"/>
    <x v="0"/>
    <x v="361"/>
    <x v="14"/>
    <x v="2"/>
    <x v="1"/>
    <x v="3"/>
    <x v="4"/>
    <n v="1"/>
    <x v="4"/>
  </r>
  <r>
    <x v="126"/>
    <x v="944"/>
    <x v="8"/>
    <x v="0"/>
    <x v="362"/>
    <x v="14"/>
    <x v="2"/>
    <x v="1"/>
    <x v="3"/>
    <x v="4"/>
    <n v="1"/>
    <x v="4"/>
  </r>
  <r>
    <x v="126"/>
    <x v="945"/>
    <x v="6"/>
    <x v="0"/>
    <x v="363"/>
    <x v="11"/>
    <x v="3"/>
    <x v="2"/>
    <x v="3"/>
    <x v="4"/>
    <n v="1"/>
    <x v="4"/>
  </r>
  <r>
    <x v="126"/>
    <x v="946"/>
    <x v="14"/>
    <x v="0"/>
    <x v="19"/>
    <x v="8"/>
    <x v="0"/>
    <x v="2"/>
    <x v="3"/>
    <x v="4"/>
    <n v="1"/>
    <x v="4"/>
  </r>
  <r>
    <x v="127"/>
    <x v="947"/>
    <x v="0"/>
    <x v="0"/>
    <x v="333"/>
    <x v="11"/>
    <x v="3"/>
    <x v="0"/>
    <x v="4"/>
    <x v="4"/>
    <n v="2"/>
    <x v="4"/>
  </r>
  <r>
    <x v="127"/>
    <x v="948"/>
    <x v="0"/>
    <x v="0"/>
    <x v="276"/>
    <x v="11"/>
    <x v="3"/>
    <x v="0"/>
    <x v="4"/>
    <x v="4"/>
    <n v="2"/>
    <x v="4"/>
  </r>
  <r>
    <x v="127"/>
    <x v="949"/>
    <x v="7"/>
    <x v="0"/>
    <x v="194"/>
    <x v="11"/>
    <x v="3"/>
    <x v="0"/>
    <x v="4"/>
    <x v="4"/>
    <n v="2"/>
    <x v="4"/>
  </r>
  <r>
    <x v="127"/>
    <x v="950"/>
    <x v="7"/>
    <x v="0"/>
    <x v="194"/>
    <x v="8"/>
    <x v="7"/>
    <x v="0"/>
    <x v="4"/>
    <x v="4"/>
    <n v="2"/>
    <x v="4"/>
  </r>
  <r>
    <x v="127"/>
    <x v="951"/>
    <x v="4"/>
    <x v="0"/>
    <x v="364"/>
    <x v="11"/>
    <x v="3"/>
    <x v="1"/>
    <x v="4"/>
    <x v="4"/>
    <n v="2"/>
    <x v="4"/>
  </r>
  <r>
    <x v="128"/>
    <x v="952"/>
    <x v="7"/>
    <x v="0"/>
    <x v="365"/>
    <x v="14"/>
    <x v="2"/>
    <x v="0"/>
    <x v="5"/>
    <x v="4"/>
    <n v="3"/>
    <x v="4"/>
  </r>
  <r>
    <x v="128"/>
    <x v="953"/>
    <x v="1"/>
    <x v="0"/>
    <x v="366"/>
    <x v="11"/>
    <x v="3"/>
    <x v="1"/>
    <x v="5"/>
    <x v="4"/>
    <n v="3"/>
    <x v="4"/>
  </r>
  <r>
    <x v="128"/>
    <x v="954"/>
    <x v="14"/>
    <x v="0"/>
    <x v="328"/>
    <x v="8"/>
    <x v="0"/>
    <x v="2"/>
    <x v="5"/>
    <x v="4"/>
    <n v="3"/>
    <x v="4"/>
  </r>
  <r>
    <x v="129"/>
    <x v="955"/>
    <x v="7"/>
    <x v="0"/>
    <x v="367"/>
    <x v="8"/>
    <x v="1"/>
    <x v="0"/>
    <x v="6"/>
    <x v="4"/>
    <n v="4"/>
    <x v="4"/>
  </r>
  <r>
    <x v="129"/>
    <x v="956"/>
    <x v="4"/>
    <x v="0"/>
    <x v="368"/>
    <x v="11"/>
    <x v="3"/>
    <x v="1"/>
    <x v="6"/>
    <x v="4"/>
    <n v="4"/>
    <x v="4"/>
  </r>
  <r>
    <x v="129"/>
    <x v="957"/>
    <x v="14"/>
    <x v="0"/>
    <x v="369"/>
    <x v="8"/>
    <x v="0"/>
    <x v="2"/>
    <x v="6"/>
    <x v="4"/>
    <n v="4"/>
    <x v="4"/>
  </r>
  <r>
    <x v="129"/>
    <x v="958"/>
    <x v="14"/>
    <x v="0"/>
    <x v="370"/>
    <x v="14"/>
    <x v="2"/>
    <x v="2"/>
    <x v="6"/>
    <x v="4"/>
    <n v="4"/>
    <x v="4"/>
  </r>
  <r>
    <x v="130"/>
    <x v="959"/>
    <x v="13"/>
    <x v="0"/>
    <x v="371"/>
    <x v="14"/>
    <x v="5"/>
    <x v="0"/>
    <x v="0"/>
    <x v="4"/>
    <n v="5"/>
    <x v="4"/>
  </r>
  <r>
    <x v="130"/>
    <x v="960"/>
    <x v="7"/>
    <x v="0"/>
    <x v="372"/>
    <x v="8"/>
    <x v="1"/>
    <x v="0"/>
    <x v="0"/>
    <x v="4"/>
    <n v="5"/>
    <x v="4"/>
  </r>
  <r>
    <x v="130"/>
    <x v="961"/>
    <x v="14"/>
    <x v="0"/>
    <x v="178"/>
    <x v="8"/>
    <x v="1"/>
    <x v="2"/>
    <x v="0"/>
    <x v="4"/>
    <n v="5"/>
    <x v="4"/>
  </r>
  <r>
    <x v="130"/>
    <x v="962"/>
    <x v="14"/>
    <x v="0"/>
    <x v="177"/>
    <x v="8"/>
    <x v="1"/>
    <x v="2"/>
    <x v="0"/>
    <x v="4"/>
    <n v="5"/>
    <x v="4"/>
  </r>
  <r>
    <x v="130"/>
    <x v="963"/>
    <x v="14"/>
    <x v="0"/>
    <x v="179"/>
    <x v="8"/>
    <x v="1"/>
    <x v="2"/>
    <x v="0"/>
    <x v="4"/>
    <n v="5"/>
    <x v="4"/>
  </r>
  <r>
    <x v="131"/>
    <x v="964"/>
    <x v="0"/>
    <x v="0"/>
    <x v="365"/>
    <x v="8"/>
    <x v="0"/>
    <x v="0"/>
    <x v="1"/>
    <x v="4"/>
    <n v="6"/>
    <x v="4"/>
  </r>
  <r>
    <x v="131"/>
    <x v="965"/>
    <x v="7"/>
    <x v="0"/>
    <x v="365"/>
    <x v="8"/>
    <x v="0"/>
    <x v="0"/>
    <x v="1"/>
    <x v="4"/>
    <n v="6"/>
    <x v="4"/>
  </r>
  <r>
    <x v="132"/>
    <x v="966"/>
    <x v="0"/>
    <x v="0"/>
    <x v="373"/>
    <x v="14"/>
    <x v="2"/>
    <x v="0"/>
    <x v="2"/>
    <x v="4"/>
    <n v="7"/>
    <x v="4"/>
  </r>
  <r>
    <x v="132"/>
    <x v="967"/>
    <x v="0"/>
    <x v="0"/>
    <x v="373"/>
    <x v="11"/>
    <x v="3"/>
    <x v="0"/>
    <x v="2"/>
    <x v="4"/>
    <n v="7"/>
    <x v="4"/>
  </r>
  <r>
    <x v="132"/>
    <x v="968"/>
    <x v="0"/>
    <x v="0"/>
    <x v="373"/>
    <x v="8"/>
    <x v="7"/>
    <x v="0"/>
    <x v="2"/>
    <x v="4"/>
    <n v="7"/>
    <x v="4"/>
  </r>
  <r>
    <x v="132"/>
    <x v="969"/>
    <x v="0"/>
    <x v="0"/>
    <x v="374"/>
    <x v="8"/>
    <x v="0"/>
    <x v="0"/>
    <x v="2"/>
    <x v="4"/>
    <n v="7"/>
    <x v="4"/>
  </r>
  <r>
    <x v="132"/>
    <x v="970"/>
    <x v="7"/>
    <x v="0"/>
    <x v="375"/>
    <x v="14"/>
    <x v="2"/>
    <x v="0"/>
    <x v="2"/>
    <x v="4"/>
    <n v="7"/>
    <x v="4"/>
  </r>
  <r>
    <x v="132"/>
    <x v="971"/>
    <x v="14"/>
    <x v="0"/>
    <x v="376"/>
    <x v="8"/>
    <x v="0"/>
    <x v="2"/>
    <x v="2"/>
    <x v="4"/>
    <n v="7"/>
    <x v="4"/>
  </r>
  <r>
    <x v="133"/>
    <x v="972"/>
    <x v="11"/>
    <x v="0"/>
    <x v="377"/>
    <x v="8"/>
    <x v="7"/>
    <x v="0"/>
    <x v="3"/>
    <x v="4"/>
    <n v="1"/>
    <x v="4"/>
  </r>
  <r>
    <x v="134"/>
    <x v="973"/>
    <x v="1"/>
    <x v="0"/>
    <x v="378"/>
    <x v="11"/>
    <x v="3"/>
    <x v="1"/>
    <x v="4"/>
    <x v="4"/>
    <n v="2"/>
    <x v="4"/>
  </r>
  <r>
    <x v="134"/>
    <x v="974"/>
    <x v="6"/>
    <x v="0"/>
    <x v="367"/>
    <x v="8"/>
    <x v="1"/>
    <x v="2"/>
    <x v="4"/>
    <x v="4"/>
    <n v="2"/>
    <x v="4"/>
  </r>
  <r>
    <x v="135"/>
    <x v="975"/>
    <x v="2"/>
    <x v="0"/>
    <x v="379"/>
    <x v="11"/>
    <x v="3"/>
    <x v="1"/>
    <x v="5"/>
    <x v="4"/>
    <n v="3"/>
    <x v="4"/>
  </r>
  <r>
    <x v="136"/>
    <x v="976"/>
    <x v="7"/>
    <x v="0"/>
    <x v="380"/>
    <x v="11"/>
    <x v="3"/>
    <x v="0"/>
    <x v="6"/>
    <x v="4"/>
    <n v="4"/>
    <x v="4"/>
  </r>
  <r>
    <x v="136"/>
    <x v="977"/>
    <x v="7"/>
    <x v="0"/>
    <x v="381"/>
    <x v="15"/>
    <x v="6"/>
    <x v="0"/>
    <x v="6"/>
    <x v="4"/>
    <n v="4"/>
    <x v="4"/>
  </r>
  <r>
    <x v="136"/>
    <x v="978"/>
    <x v="7"/>
    <x v="0"/>
    <x v="59"/>
    <x v="14"/>
    <x v="2"/>
    <x v="0"/>
    <x v="6"/>
    <x v="4"/>
    <n v="4"/>
    <x v="4"/>
  </r>
  <r>
    <x v="136"/>
    <x v="979"/>
    <x v="7"/>
    <x v="0"/>
    <x v="59"/>
    <x v="14"/>
    <x v="2"/>
    <x v="0"/>
    <x v="6"/>
    <x v="4"/>
    <n v="4"/>
    <x v="4"/>
  </r>
  <r>
    <x v="136"/>
    <x v="980"/>
    <x v="7"/>
    <x v="0"/>
    <x v="59"/>
    <x v="14"/>
    <x v="5"/>
    <x v="0"/>
    <x v="6"/>
    <x v="4"/>
    <n v="4"/>
    <x v="4"/>
  </r>
  <r>
    <x v="136"/>
    <x v="981"/>
    <x v="2"/>
    <x v="0"/>
    <x v="375"/>
    <x v="8"/>
    <x v="0"/>
    <x v="1"/>
    <x v="6"/>
    <x v="4"/>
    <n v="4"/>
    <x v="4"/>
  </r>
  <r>
    <x v="136"/>
    <x v="982"/>
    <x v="5"/>
    <x v="0"/>
    <x v="382"/>
    <x v="8"/>
    <x v="7"/>
    <x v="2"/>
    <x v="6"/>
    <x v="4"/>
    <n v="4"/>
    <x v="4"/>
  </r>
  <r>
    <x v="136"/>
    <x v="983"/>
    <x v="6"/>
    <x v="0"/>
    <x v="8"/>
    <x v="8"/>
    <x v="0"/>
    <x v="2"/>
    <x v="6"/>
    <x v="4"/>
    <n v="4"/>
    <x v="4"/>
  </r>
  <r>
    <x v="136"/>
    <x v="984"/>
    <x v="15"/>
    <x v="0"/>
    <x v="383"/>
    <x v="8"/>
    <x v="1"/>
    <x v="2"/>
    <x v="6"/>
    <x v="4"/>
    <n v="4"/>
    <x v="4"/>
  </r>
  <r>
    <x v="136"/>
    <x v="985"/>
    <x v="15"/>
    <x v="0"/>
    <x v="383"/>
    <x v="8"/>
    <x v="0"/>
    <x v="2"/>
    <x v="6"/>
    <x v="4"/>
    <n v="4"/>
    <x v="4"/>
  </r>
  <r>
    <x v="136"/>
    <x v="986"/>
    <x v="15"/>
    <x v="0"/>
    <x v="384"/>
    <x v="8"/>
    <x v="0"/>
    <x v="2"/>
    <x v="6"/>
    <x v="4"/>
    <n v="4"/>
    <x v="4"/>
  </r>
  <r>
    <x v="137"/>
    <x v="987"/>
    <x v="7"/>
    <x v="0"/>
    <x v="375"/>
    <x v="14"/>
    <x v="2"/>
    <x v="0"/>
    <x v="0"/>
    <x v="4"/>
    <n v="5"/>
    <x v="4"/>
  </r>
  <r>
    <x v="137"/>
    <x v="988"/>
    <x v="7"/>
    <x v="0"/>
    <x v="385"/>
    <x v="11"/>
    <x v="3"/>
    <x v="0"/>
    <x v="0"/>
    <x v="4"/>
    <n v="5"/>
    <x v="4"/>
  </r>
  <r>
    <x v="137"/>
    <x v="989"/>
    <x v="1"/>
    <x v="0"/>
    <x v="386"/>
    <x v="8"/>
    <x v="0"/>
    <x v="1"/>
    <x v="0"/>
    <x v="4"/>
    <n v="5"/>
    <x v="4"/>
  </r>
  <r>
    <x v="137"/>
    <x v="990"/>
    <x v="1"/>
    <x v="0"/>
    <x v="386"/>
    <x v="11"/>
    <x v="3"/>
    <x v="1"/>
    <x v="0"/>
    <x v="4"/>
    <n v="5"/>
    <x v="4"/>
  </r>
  <r>
    <x v="137"/>
    <x v="991"/>
    <x v="8"/>
    <x v="0"/>
    <x v="384"/>
    <x v="8"/>
    <x v="0"/>
    <x v="1"/>
    <x v="0"/>
    <x v="4"/>
    <n v="5"/>
    <x v="4"/>
  </r>
  <r>
    <x v="137"/>
    <x v="992"/>
    <x v="8"/>
    <x v="0"/>
    <x v="384"/>
    <x v="8"/>
    <x v="4"/>
    <x v="1"/>
    <x v="0"/>
    <x v="4"/>
    <n v="5"/>
    <x v="4"/>
  </r>
  <r>
    <x v="137"/>
    <x v="993"/>
    <x v="4"/>
    <x v="0"/>
    <x v="384"/>
    <x v="8"/>
    <x v="0"/>
    <x v="1"/>
    <x v="0"/>
    <x v="4"/>
    <n v="5"/>
    <x v="4"/>
  </r>
  <r>
    <x v="137"/>
    <x v="994"/>
    <x v="4"/>
    <x v="0"/>
    <x v="384"/>
    <x v="8"/>
    <x v="0"/>
    <x v="1"/>
    <x v="0"/>
    <x v="4"/>
    <n v="5"/>
    <x v="4"/>
  </r>
  <r>
    <x v="138"/>
    <x v="995"/>
    <x v="13"/>
    <x v="0"/>
    <x v="387"/>
    <x v="14"/>
    <x v="2"/>
    <x v="0"/>
    <x v="1"/>
    <x v="4"/>
    <n v="6"/>
    <x v="4"/>
  </r>
  <r>
    <x v="138"/>
    <x v="996"/>
    <x v="13"/>
    <x v="0"/>
    <x v="387"/>
    <x v="8"/>
    <x v="0"/>
    <x v="0"/>
    <x v="1"/>
    <x v="4"/>
    <n v="6"/>
    <x v="4"/>
  </r>
  <r>
    <x v="138"/>
    <x v="997"/>
    <x v="13"/>
    <x v="0"/>
    <x v="387"/>
    <x v="14"/>
    <x v="2"/>
    <x v="0"/>
    <x v="1"/>
    <x v="4"/>
    <n v="6"/>
    <x v="4"/>
  </r>
  <r>
    <x v="138"/>
    <x v="998"/>
    <x v="10"/>
    <x v="0"/>
    <x v="388"/>
    <x v="8"/>
    <x v="0"/>
    <x v="0"/>
    <x v="1"/>
    <x v="4"/>
    <n v="6"/>
    <x v="4"/>
  </r>
  <r>
    <x v="138"/>
    <x v="999"/>
    <x v="10"/>
    <x v="0"/>
    <x v="389"/>
    <x v="8"/>
    <x v="0"/>
    <x v="0"/>
    <x v="1"/>
    <x v="4"/>
    <n v="6"/>
    <x v="4"/>
  </r>
  <r>
    <x v="138"/>
    <x v="1000"/>
    <x v="0"/>
    <x v="0"/>
    <x v="390"/>
    <x v="14"/>
    <x v="2"/>
    <x v="0"/>
    <x v="1"/>
    <x v="4"/>
    <n v="6"/>
    <x v="4"/>
  </r>
  <r>
    <x v="138"/>
    <x v="1001"/>
    <x v="3"/>
    <x v="0"/>
    <x v="391"/>
    <x v="8"/>
    <x v="0"/>
    <x v="1"/>
    <x v="1"/>
    <x v="4"/>
    <n v="6"/>
    <x v="4"/>
  </r>
  <r>
    <x v="139"/>
    <x v="1002"/>
    <x v="0"/>
    <x v="0"/>
    <x v="367"/>
    <x v="8"/>
    <x v="4"/>
    <x v="0"/>
    <x v="2"/>
    <x v="4"/>
    <n v="7"/>
    <x v="4"/>
  </r>
  <r>
    <x v="139"/>
    <x v="1003"/>
    <x v="7"/>
    <x v="0"/>
    <x v="392"/>
    <x v="8"/>
    <x v="7"/>
    <x v="0"/>
    <x v="2"/>
    <x v="4"/>
    <n v="7"/>
    <x v="4"/>
  </r>
  <r>
    <x v="139"/>
    <x v="1004"/>
    <x v="2"/>
    <x v="0"/>
    <x v="393"/>
    <x v="14"/>
    <x v="5"/>
    <x v="1"/>
    <x v="2"/>
    <x v="4"/>
    <n v="7"/>
    <x v="4"/>
  </r>
  <r>
    <x v="139"/>
    <x v="1005"/>
    <x v="2"/>
    <x v="0"/>
    <x v="394"/>
    <x v="8"/>
    <x v="0"/>
    <x v="1"/>
    <x v="2"/>
    <x v="4"/>
    <n v="7"/>
    <x v="4"/>
  </r>
  <r>
    <x v="140"/>
    <x v="1006"/>
    <x v="13"/>
    <x v="0"/>
    <x v="375"/>
    <x v="14"/>
    <x v="2"/>
    <x v="0"/>
    <x v="3"/>
    <x v="4"/>
    <n v="1"/>
    <x v="4"/>
  </r>
  <r>
    <x v="140"/>
    <x v="1007"/>
    <x v="13"/>
    <x v="0"/>
    <x v="395"/>
    <x v="14"/>
    <x v="2"/>
    <x v="0"/>
    <x v="3"/>
    <x v="4"/>
    <n v="1"/>
    <x v="4"/>
  </r>
  <r>
    <x v="140"/>
    <x v="1008"/>
    <x v="0"/>
    <x v="0"/>
    <x v="385"/>
    <x v="11"/>
    <x v="3"/>
    <x v="0"/>
    <x v="3"/>
    <x v="4"/>
    <n v="1"/>
    <x v="4"/>
  </r>
  <r>
    <x v="140"/>
    <x v="1009"/>
    <x v="4"/>
    <x v="0"/>
    <x v="396"/>
    <x v="8"/>
    <x v="0"/>
    <x v="1"/>
    <x v="3"/>
    <x v="4"/>
    <n v="1"/>
    <x v="4"/>
  </r>
  <r>
    <x v="141"/>
    <x v="1010"/>
    <x v="13"/>
    <x v="0"/>
    <x v="197"/>
    <x v="8"/>
    <x v="0"/>
    <x v="0"/>
    <x v="4"/>
    <x v="4"/>
    <n v="2"/>
    <x v="4"/>
  </r>
  <r>
    <x v="141"/>
    <x v="1011"/>
    <x v="13"/>
    <x v="0"/>
    <x v="395"/>
    <x v="14"/>
    <x v="2"/>
    <x v="0"/>
    <x v="4"/>
    <x v="4"/>
    <n v="2"/>
    <x v="4"/>
  </r>
  <r>
    <x v="141"/>
    <x v="1012"/>
    <x v="13"/>
    <x v="0"/>
    <x v="397"/>
    <x v="11"/>
    <x v="3"/>
    <x v="0"/>
    <x v="4"/>
    <x v="4"/>
    <n v="2"/>
    <x v="4"/>
  </r>
  <r>
    <x v="141"/>
    <x v="1013"/>
    <x v="13"/>
    <x v="0"/>
    <x v="398"/>
    <x v="8"/>
    <x v="4"/>
    <x v="0"/>
    <x v="4"/>
    <x v="4"/>
    <n v="2"/>
    <x v="4"/>
  </r>
  <r>
    <x v="141"/>
    <x v="1014"/>
    <x v="13"/>
    <x v="0"/>
    <x v="399"/>
    <x v="8"/>
    <x v="0"/>
    <x v="0"/>
    <x v="4"/>
    <x v="4"/>
    <n v="2"/>
    <x v="4"/>
  </r>
  <r>
    <x v="141"/>
    <x v="1015"/>
    <x v="10"/>
    <x v="0"/>
    <x v="375"/>
    <x v="14"/>
    <x v="2"/>
    <x v="0"/>
    <x v="4"/>
    <x v="4"/>
    <n v="2"/>
    <x v="4"/>
  </r>
  <r>
    <x v="141"/>
    <x v="1016"/>
    <x v="0"/>
    <x v="0"/>
    <x v="400"/>
    <x v="11"/>
    <x v="3"/>
    <x v="0"/>
    <x v="4"/>
    <x v="4"/>
    <n v="2"/>
    <x v="4"/>
  </r>
  <r>
    <x v="141"/>
    <x v="1017"/>
    <x v="3"/>
    <x v="0"/>
    <x v="401"/>
    <x v="11"/>
    <x v="3"/>
    <x v="1"/>
    <x v="4"/>
    <x v="4"/>
    <n v="2"/>
    <x v="4"/>
  </r>
  <r>
    <x v="141"/>
    <x v="1018"/>
    <x v="3"/>
    <x v="0"/>
    <x v="401"/>
    <x v="8"/>
    <x v="0"/>
    <x v="1"/>
    <x v="4"/>
    <x v="4"/>
    <n v="2"/>
    <x v="4"/>
  </r>
  <r>
    <x v="141"/>
    <x v="1019"/>
    <x v="15"/>
    <x v="0"/>
    <x v="8"/>
    <x v="8"/>
    <x v="0"/>
    <x v="2"/>
    <x v="4"/>
    <x v="4"/>
    <n v="2"/>
    <x v="4"/>
  </r>
  <r>
    <x v="141"/>
    <x v="1020"/>
    <x v="15"/>
    <x v="0"/>
    <x v="12"/>
    <x v="14"/>
    <x v="2"/>
    <x v="2"/>
    <x v="4"/>
    <x v="4"/>
    <n v="2"/>
    <x v="4"/>
  </r>
  <r>
    <x v="141"/>
    <x v="1021"/>
    <x v="15"/>
    <x v="0"/>
    <x v="12"/>
    <x v="14"/>
    <x v="2"/>
    <x v="2"/>
    <x v="4"/>
    <x v="4"/>
    <n v="2"/>
    <x v="4"/>
  </r>
  <r>
    <x v="142"/>
    <x v="1022"/>
    <x v="10"/>
    <x v="0"/>
    <x v="97"/>
    <x v="11"/>
    <x v="3"/>
    <x v="0"/>
    <x v="5"/>
    <x v="4"/>
    <n v="3"/>
    <x v="4"/>
  </r>
  <r>
    <x v="142"/>
    <x v="1023"/>
    <x v="10"/>
    <x v="0"/>
    <x v="385"/>
    <x v="11"/>
    <x v="3"/>
    <x v="0"/>
    <x v="5"/>
    <x v="4"/>
    <n v="3"/>
    <x v="4"/>
  </r>
  <r>
    <x v="142"/>
    <x v="1024"/>
    <x v="10"/>
    <x v="0"/>
    <x v="402"/>
    <x v="15"/>
    <x v="6"/>
    <x v="0"/>
    <x v="5"/>
    <x v="4"/>
    <n v="3"/>
    <x v="4"/>
  </r>
  <r>
    <x v="142"/>
    <x v="1025"/>
    <x v="7"/>
    <x v="0"/>
    <x v="379"/>
    <x v="8"/>
    <x v="7"/>
    <x v="0"/>
    <x v="5"/>
    <x v="4"/>
    <n v="3"/>
    <x v="4"/>
  </r>
  <r>
    <x v="142"/>
    <x v="1026"/>
    <x v="2"/>
    <x v="0"/>
    <x v="399"/>
    <x v="8"/>
    <x v="0"/>
    <x v="1"/>
    <x v="5"/>
    <x v="4"/>
    <n v="3"/>
    <x v="4"/>
  </r>
  <r>
    <x v="142"/>
    <x v="1027"/>
    <x v="8"/>
    <x v="0"/>
    <x v="12"/>
    <x v="15"/>
    <x v="6"/>
    <x v="1"/>
    <x v="5"/>
    <x v="4"/>
    <n v="3"/>
    <x v="4"/>
  </r>
  <r>
    <x v="142"/>
    <x v="1028"/>
    <x v="3"/>
    <x v="0"/>
    <x v="8"/>
    <x v="8"/>
    <x v="0"/>
    <x v="1"/>
    <x v="5"/>
    <x v="4"/>
    <n v="3"/>
    <x v="4"/>
  </r>
  <r>
    <x v="142"/>
    <x v="1029"/>
    <x v="6"/>
    <x v="0"/>
    <x v="205"/>
    <x v="8"/>
    <x v="7"/>
    <x v="2"/>
    <x v="5"/>
    <x v="4"/>
    <n v="3"/>
    <x v="4"/>
  </r>
  <r>
    <x v="142"/>
    <x v="1030"/>
    <x v="6"/>
    <x v="0"/>
    <x v="205"/>
    <x v="8"/>
    <x v="7"/>
    <x v="2"/>
    <x v="5"/>
    <x v="4"/>
    <n v="3"/>
    <x v="4"/>
  </r>
  <r>
    <x v="142"/>
    <x v="1031"/>
    <x v="15"/>
    <x v="0"/>
    <x v="40"/>
    <x v="11"/>
    <x v="3"/>
    <x v="2"/>
    <x v="5"/>
    <x v="4"/>
    <n v="3"/>
    <x v="4"/>
  </r>
  <r>
    <x v="142"/>
    <x v="1032"/>
    <x v="15"/>
    <x v="0"/>
    <x v="40"/>
    <x v="14"/>
    <x v="2"/>
    <x v="2"/>
    <x v="5"/>
    <x v="4"/>
    <n v="3"/>
    <x v="4"/>
  </r>
  <r>
    <x v="142"/>
    <x v="1033"/>
    <x v="15"/>
    <x v="0"/>
    <x v="12"/>
    <x v="14"/>
    <x v="2"/>
    <x v="2"/>
    <x v="5"/>
    <x v="4"/>
    <n v="3"/>
    <x v="4"/>
  </r>
  <r>
    <x v="143"/>
    <x v="1034"/>
    <x v="11"/>
    <x v="0"/>
    <x v="12"/>
    <x v="14"/>
    <x v="2"/>
    <x v="0"/>
    <x v="6"/>
    <x v="4"/>
    <n v="4"/>
    <x v="4"/>
  </r>
  <r>
    <x v="143"/>
    <x v="1035"/>
    <x v="13"/>
    <x v="0"/>
    <x v="399"/>
    <x v="8"/>
    <x v="0"/>
    <x v="0"/>
    <x v="6"/>
    <x v="4"/>
    <n v="4"/>
    <x v="4"/>
  </r>
  <r>
    <x v="143"/>
    <x v="1036"/>
    <x v="0"/>
    <x v="0"/>
    <x v="385"/>
    <x v="11"/>
    <x v="3"/>
    <x v="0"/>
    <x v="6"/>
    <x v="4"/>
    <n v="4"/>
    <x v="4"/>
  </r>
  <r>
    <x v="143"/>
    <x v="1037"/>
    <x v="7"/>
    <x v="0"/>
    <x v="375"/>
    <x v="14"/>
    <x v="2"/>
    <x v="0"/>
    <x v="6"/>
    <x v="4"/>
    <n v="4"/>
    <x v="4"/>
  </r>
  <r>
    <x v="143"/>
    <x v="1038"/>
    <x v="3"/>
    <x v="0"/>
    <x v="403"/>
    <x v="8"/>
    <x v="7"/>
    <x v="1"/>
    <x v="6"/>
    <x v="4"/>
    <n v="4"/>
    <x v="4"/>
  </r>
  <r>
    <x v="143"/>
    <x v="1039"/>
    <x v="6"/>
    <x v="0"/>
    <x v="257"/>
    <x v="8"/>
    <x v="7"/>
    <x v="2"/>
    <x v="6"/>
    <x v="4"/>
    <n v="4"/>
    <x v="4"/>
  </r>
  <r>
    <x v="143"/>
    <x v="1040"/>
    <x v="15"/>
    <x v="0"/>
    <x v="404"/>
    <x v="14"/>
    <x v="5"/>
    <x v="2"/>
    <x v="6"/>
    <x v="4"/>
    <n v="4"/>
    <x v="4"/>
  </r>
  <r>
    <x v="143"/>
    <x v="1041"/>
    <x v="15"/>
    <x v="0"/>
    <x v="404"/>
    <x v="15"/>
    <x v="6"/>
    <x v="2"/>
    <x v="6"/>
    <x v="4"/>
    <n v="4"/>
    <x v="4"/>
  </r>
  <r>
    <x v="143"/>
    <x v="1042"/>
    <x v="14"/>
    <x v="0"/>
    <x v="328"/>
    <x v="14"/>
    <x v="5"/>
    <x v="2"/>
    <x v="6"/>
    <x v="4"/>
    <n v="4"/>
    <x v="4"/>
  </r>
  <r>
    <x v="143"/>
    <x v="1043"/>
    <x v="14"/>
    <x v="0"/>
    <x v="405"/>
    <x v="8"/>
    <x v="4"/>
    <x v="2"/>
    <x v="6"/>
    <x v="4"/>
    <n v="4"/>
    <x v="4"/>
  </r>
  <r>
    <x v="144"/>
    <x v="1044"/>
    <x v="13"/>
    <x v="0"/>
    <x v="406"/>
    <x v="8"/>
    <x v="0"/>
    <x v="0"/>
    <x v="0"/>
    <x v="4"/>
    <n v="5"/>
    <x v="4"/>
  </r>
  <r>
    <x v="144"/>
    <x v="1045"/>
    <x v="10"/>
    <x v="0"/>
    <x v="97"/>
    <x v="11"/>
    <x v="3"/>
    <x v="0"/>
    <x v="0"/>
    <x v="4"/>
    <n v="5"/>
    <x v="4"/>
  </r>
  <r>
    <x v="144"/>
    <x v="1046"/>
    <x v="10"/>
    <x v="0"/>
    <x v="59"/>
    <x v="15"/>
    <x v="6"/>
    <x v="0"/>
    <x v="0"/>
    <x v="4"/>
    <n v="5"/>
    <x v="4"/>
  </r>
  <r>
    <x v="144"/>
    <x v="1047"/>
    <x v="10"/>
    <x v="0"/>
    <x v="407"/>
    <x v="14"/>
    <x v="5"/>
    <x v="0"/>
    <x v="0"/>
    <x v="4"/>
    <n v="5"/>
    <x v="4"/>
  </r>
  <r>
    <x v="144"/>
    <x v="1048"/>
    <x v="10"/>
    <x v="0"/>
    <x v="407"/>
    <x v="14"/>
    <x v="5"/>
    <x v="0"/>
    <x v="0"/>
    <x v="4"/>
    <n v="5"/>
    <x v="4"/>
  </r>
  <r>
    <x v="144"/>
    <x v="1049"/>
    <x v="10"/>
    <x v="0"/>
    <x v="408"/>
    <x v="8"/>
    <x v="0"/>
    <x v="0"/>
    <x v="0"/>
    <x v="4"/>
    <n v="5"/>
    <x v="4"/>
  </r>
  <r>
    <x v="144"/>
    <x v="1050"/>
    <x v="0"/>
    <x v="0"/>
    <x v="408"/>
    <x v="8"/>
    <x v="0"/>
    <x v="0"/>
    <x v="0"/>
    <x v="4"/>
    <n v="5"/>
    <x v="4"/>
  </r>
  <r>
    <x v="144"/>
    <x v="1051"/>
    <x v="7"/>
    <x v="0"/>
    <x v="385"/>
    <x v="11"/>
    <x v="3"/>
    <x v="0"/>
    <x v="0"/>
    <x v="4"/>
    <n v="5"/>
    <x v="4"/>
  </r>
  <r>
    <x v="144"/>
    <x v="1052"/>
    <x v="1"/>
    <x v="0"/>
    <x v="379"/>
    <x v="11"/>
    <x v="3"/>
    <x v="1"/>
    <x v="0"/>
    <x v="4"/>
    <n v="5"/>
    <x v="4"/>
  </r>
  <r>
    <x v="144"/>
    <x v="1053"/>
    <x v="1"/>
    <x v="0"/>
    <x v="339"/>
    <x v="8"/>
    <x v="7"/>
    <x v="1"/>
    <x v="0"/>
    <x v="4"/>
    <n v="5"/>
    <x v="4"/>
  </r>
  <r>
    <x v="144"/>
    <x v="1054"/>
    <x v="1"/>
    <x v="0"/>
    <x v="339"/>
    <x v="8"/>
    <x v="7"/>
    <x v="1"/>
    <x v="0"/>
    <x v="4"/>
    <n v="5"/>
    <x v="4"/>
  </r>
  <r>
    <x v="144"/>
    <x v="1055"/>
    <x v="2"/>
    <x v="0"/>
    <x v="409"/>
    <x v="8"/>
    <x v="0"/>
    <x v="1"/>
    <x v="0"/>
    <x v="4"/>
    <n v="5"/>
    <x v="4"/>
  </r>
  <r>
    <x v="144"/>
    <x v="1056"/>
    <x v="9"/>
    <x v="0"/>
    <x v="410"/>
    <x v="14"/>
    <x v="2"/>
    <x v="2"/>
    <x v="0"/>
    <x v="4"/>
    <n v="5"/>
    <x v="4"/>
  </r>
  <r>
    <x v="144"/>
    <x v="1057"/>
    <x v="9"/>
    <x v="0"/>
    <x v="411"/>
    <x v="8"/>
    <x v="7"/>
    <x v="2"/>
    <x v="0"/>
    <x v="4"/>
    <n v="5"/>
    <x v="4"/>
  </r>
  <r>
    <x v="144"/>
    <x v="1058"/>
    <x v="15"/>
    <x v="0"/>
    <x v="8"/>
    <x v="8"/>
    <x v="0"/>
    <x v="2"/>
    <x v="0"/>
    <x v="4"/>
    <n v="5"/>
    <x v="4"/>
  </r>
  <r>
    <x v="144"/>
    <x v="1059"/>
    <x v="14"/>
    <x v="0"/>
    <x v="412"/>
    <x v="11"/>
    <x v="3"/>
    <x v="2"/>
    <x v="0"/>
    <x v="4"/>
    <n v="5"/>
    <x v="4"/>
  </r>
  <r>
    <x v="145"/>
    <x v="1060"/>
    <x v="10"/>
    <x v="0"/>
    <x v="97"/>
    <x v="8"/>
    <x v="7"/>
    <x v="0"/>
    <x v="1"/>
    <x v="4"/>
    <n v="6"/>
    <x v="4"/>
  </r>
  <r>
    <x v="145"/>
    <x v="1061"/>
    <x v="7"/>
    <x v="0"/>
    <x v="413"/>
    <x v="11"/>
    <x v="3"/>
    <x v="0"/>
    <x v="1"/>
    <x v="4"/>
    <n v="6"/>
    <x v="4"/>
  </r>
  <r>
    <x v="145"/>
    <x v="1062"/>
    <x v="1"/>
    <x v="0"/>
    <x v="59"/>
    <x v="11"/>
    <x v="3"/>
    <x v="1"/>
    <x v="1"/>
    <x v="4"/>
    <n v="6"/>
    <x v="4"/>
  </r>
  <r>
    <x v="145"/>
    <x v="1063"/>
    <x v="1"/>
    <x v="0"/>
    <x v="40"/>
    <x v="15"/>
    <x v="6"/>
    <x v="1"/>
    <x v="1"/>
    <x v="4"/>
    <n v="6"/>
    <x v="4"/>
  </r>
  <r>
    <x v="145"/>
    <x v="1064"/>
    <x v="1"/>
    <x v="0"/>
    <x v="59"/>
    <x v="11"/>
    <x v="3"/>
    <x v="1"/>
    <x v="1"/>
    <x v="4"/>
    <n v="6"/>
    <x v="4"/>
  </r>
  <r>
    <x v="145"/>
    <x v="1065"/>
    <x v="8"/>
    <x v="0"/>
    <x v="225"/>
    <x v="15"/>
    <x v="6"/>
    <x v="1"/>
    <x v="1"/>
    <x v="4"/>
    <n v="6"/>
    <x v="4"/>
  </r>
  <r>
    <x v="145"/>
    <x v="1066"/>
    <x v="8"/>
    <x v="0"/>
    <x v="77"/>
    <x v="8"/>
    <x v="0"/>
    <x v="1"/>
    <x v="1"/>
    <x v="4"/>
    <n v="6"/>
    <x v="4"/>
  </r>
  <r>
    <x v="145"/>
    <x v="1067"/>
    <x v="9"/>
    <x v="0"/>
    <x v="414"/>
    <x v="8"/>
    <x v="7"/>
    <x v="2"/>
    <x v="1"/>
    <x v="4"/>
    <n v="6"/>
    <x v="4"/>
  </r>
  <r>
    <x v="145"/>
    <x v="1068"/>
    <x v="9"/>
    <x v="0"/>
    <x v="415"/>
    <x v="8"/>
    <x v="7"/>
    <x v="2"/>
    <x v="1"/>
    <x v="4"/>
    <n v="6"/>
    <x v="4"/>
  </r>
  <r>
    <x v="145"/>
    <x v="1069"/>
    <x v="9"/>
    <x v="0"/>
    <x v="416"/>
    <x v="11"/>
    <x v="3"/>
    <x v="2"/>
    <x v="1"/>
    <x v="4"/>
    <n v="6"/>
    <x v="4"/>
  </r>
  <r>
    <x v="145"/>
    <x v="1070"/>
    <x v="9"/>
    <x v="0"/>
    <x v="416"/>
    <x v="11"/>
    <x v="3"/>
    <x v="2"/>
    <x v="1"/>
    <x v="4"/>
    <n v="6"/>
    <x v="4"/>
  </r>
  <r>
    <x v="145"/>
    <x v="1071"/>
    <x v="12"/>
    <x v="0"/>
    <x v="8"/>
    <x v="8"/>
    <x v="0"/>
    <x v="2"/>
    <x v="1"/>
    <x v="4"/>
    <n v="6"/>
    <x v="4"/>
  </r>
  <r>
    <x v="145"/>
    <x v="1072"/>
    <x v="14"/>
    <x v="0"/>
    <x v="417"/>
    <x v="8"/>
    <x v="7"/>
    <x v="2"/>
    <x v="1"/>
    <x v="4"/>
    <n v="6"/>
    <x v="4"/>
  </r>
  <r>
    <x v="146"/>
    <x v="1073"/>
    <x v="7"/>
    <x v="0"/>
    <x v="12"/>
    <x v="15"/>
    <x v="6"/>
    <x v="0"/>
    <x v="2"/>
    <x v="4"/>
    <n v="7"/>
    <x v="4"/>
  </r>
  <r>
    <x v="146"/>
    <x v="1074"/>
    <x v="8"/>
    <x v="0"/>
    <x v="276"/>
    <x v="11"/>
    <x v="3"/>
    <x v="1"/>
    <x v="2"/>
    <x v="4"/>
    <n v="7"/>
    <x v="4"/>
  </r>
  <r>
    <x v="146"/>
    <x v="1075"/>
    <x v="8"/>
    <x v="0"/>
    <x v="276"/>
    <x v="8"/>
    <x v="0"/>
    <x v="1"/>
    <x v="2"/>
    <x v="4"/>
    <n v="7"/>
    <x v="4"/>
  </r>
  <r>
    <x v="147"/>
    <x v="1076"/>
    <x v="13"/>
    <x v="0"/>
    <x v="418"/>
    <x v="8"/>
    <x v="0"/>
    <x v="0"/>
    <x v="3"/>
    <x v="4"/>
    <n v="1"/>
    <x v="4"/>
  </r>
  <r>
    <x v="147"/>
    <x v="1077"/>
    <x v="10"/>
    <x v="0"/>
    <x v="12"/>
    <x v="14"/>
    <x v="2"/>
    <x v="0"/>
    <x v="3"/>
    <x v="4"/>
    <n v="1"/>
    <x v="4"/>
  </r>
  <r>
    <x v="147"/>
    <x v="1078"/>
    <x v="10"/>
    <x v="0"/>
    <x v="97"/>
    <x v="11"/>
    <x v="3"/>
    <x v="0"/>
    <x v="3"/>
    <x v="4"/>
    <n v="1"/>
    <x v="4"/>
  </r>
  <r>
    <x v="147"/>
    <x v="1079"/>
    <x v="10"/>
    <x v="0"/>
    <x v="2"/>
    <x v="14"/>
    <x v="2"/>
    <x v="0"/>
    <x v="3"/>
    <x v="4"/>
    <n v="1"/>
    <x v="4"/>
  </r>
  <r>
    <x v="147"/>
    <x v="1080"/>
    <x v="10"/>
    <x v="0"/>
    <x v="419"/>
    <x v="11"/>
    <x v="3"/>
    <x v="0"/>
    <x v="3"/>
    <x v="4"/>
    <n v="1"/>
    <x v="4"/>
  </r>
  <r>
    <x v="147"/>
    <x v="1081"/>
    <x v="10"/>
    <x v="0"/>
    <x v="420"/>
    <x v="8"/>
    <x v="7"/>
    <x v="0"/>
    <x v="3"/>
    <x v="4"/>
    <n v="1"/>
    <x v="4"/>
  </r>
  <r>
    <x v="147"/>
    <x v="1082"/>
    <x v="0"/>
    <x v="0"/>
    <x v="421"/>
    <x v="8"/>
    <x v="1"/>
    <x v="0"/>
    <x v="3"/>
    <x v="4"/>
    <n v="1"/>
    <x v="4"/>
  </r>
  <r>
    <x v="147"/>
    <x v="1083"/>
    <x v="0"/>
    <x v="0"/>
    <x v="421"/>
    <x v="8"/>
    <x v="1"/>
    <x v="0"/>
    <x v="3"/>
    <x v="4"/>
    <n v="1"/>
    <x v="4"/>
  </r>
  <r>
    <x v="147"/>
    <x v="1084"/>
    <x v="6"/>
    <x v="0"/>
    <x v="422"/>
    <x v="8"/>
    <x v="7"/>
    <x v="2"/>
    <x v="3"/>
    <x v="4"/>
    <n v="1"/>
    <x v="4"/>
  </r>
  <r>
    <x v="147"/>
    <x v="1085"/>
    <x v="6"/>
    <x v="0"/>
    <x v="99"/>
    <x v="14"/>
    <x v="2"/>
    <x v="2"/>
    <x v="3"/>
    <x v="4"/>
    <n v="1"/>
    <x v="4"/>
  </r>
  <r>
    <x v="147"/>
    <x v="1086"/>
    <x v="15"/>
    <x v="0"/>
    <x v="328"/>
    <x v="8"/>
    <x v="4"/>
    <x v="2"/>
    <x v="3"/>
    <x v="4"/>
    <n v="1"/>
    <x v="4"/>
  </r>
  <r>
    <x v="148"/>
    <x v="1087"/>
    <x v="11"/>
    <x v="0"/>
    <x v="423"/>
    <x v="11"/>
    <x v="3"/>
    <x v="0"/>
    <x v="4"/>
    <x v="4"/>
    <n v="2"/>
    <x v="4"/>
  </r>
  <r>
    <x v="148"/>
    <x v="1088"/>
    <x v="13"/>
    <x v="0"/>
    <x v="424"/>
    <x v="14"/>
    <x v="5"/>
    <x v="0"/>
    <x v="4"/>
    <x v="4"/>
    <n v="2"/>
    <x v="4"/>
  </r>
  <r>
    <x v="148"/>
    <x v="1089"/>
    <x v="13"/>
    <x v="0"/>
    <x v="425"/>
    <x v="8"/>
    <x v="7"/>
    <x v="0"/>
    <x v="4"/>
    <x v="4"/>
    <n v="2"/>
    <x v="4"/>
  </r>
  <r>
    <x v="148"/>
    <x v="1090"/>
    <x v="10"/>
    <x v="0"/>
    <x v="97"/>
    <x v="11"/>
    <x v="3"/>
    <x v="0"/>
    <x v="4"/>
    <x v="4"/>
    <n v="2"/>
    <x v="4"/>
  </r>
  <r>
    <x v="148"/>
    <x v="1091"/>
    <x v="0"/>
    <x v="0"/>
    <x v="141"/>
    <x v="14"/>
    <x v="5"/>
    <x v="0"/>
    <x v="4"/>
    <x v="4"/>
    <n v="2"/>
    <x v="4"/>
  </r>
  <r>
    <x v="148"/>
    <x v="1092"/>
    <x v="0"/>
    <x v="0"/>
    <x v="276"/>
    <x v="11"/>
    <x v="3"/>
    <x v="0"/>
    <x v="4"/>
    <x v="4"/>
    <n v="2"/>
    <x v="4"/>
  </r>
  <r>
    <x v="148"/>
    <x v="1093"/>
    <x v="0"/>
    <x v="0"/>
    <x v="250"/>
    <x v="8"/>
    <x v="0"/>
    <x v="0"/>
    <x v="4"/>
    <x v="4"/>
    <n v="2"/>
    <x v="4"/>
  </r>
  <r>
    <x v="148"/>
    <x v="1094"/>
    <x v="7"/>
    <x v="0"/>
    <x v="426"/>
    <x v="14"/>
    <x v="2"/>
    <x v="0"/>
    <x v="4"/>
    <x v="4"/>
    <n v="2"/>
    <x v="4"/>
  </r>
  <r>
    <x v="148"/>
    <x v="1095"/>
    <x v="7"/>
    <x v="0"/>
    <x v="426"/>
    <x v="15"/>
    <x v="6"/>
    <x v="0"/>
    <x v="4"/>
    <x v="4"/>
    <n v="2"/>
    <x v="4"/>
  </r>
  <r>
    <x v="148"/>
    <x v="1096"/>
    <x v="7"/>
    <x v="0"/>
    <x v="427"/>
    <x v="11"/>
    <x v="3"/>
    <x v="0"/>
    <x v="4"/>
    <x v="4"/>
    <n v="2"/>
    <x v="4"/>
  </r>
  <r>
    <x v="148"/>
    <x v="1097"/>
    <x v="7"/>
    <x v="0"/>
    <x v="428"/>
    <x v="11"/>
    <x v="3"/>
    <x v="0"/>
    <x v="4"/>
    <x v="4"/>
    <n v="2"/>
    <x v="4"/>
  </r>
  <r>
    <x v="148"/>
    <x v="1098"/>
    <x v="7"/>
    <x v="0"/>
    <x v="429"/>
    <x v="11"/>
    <x v="3"/>
    <x v="0"/>
    <x v="4"/>
    <x v="4"/>
    <n v="2"/>
    <x v="4"/>
  </r>
  <r>
    <x v="148"/>
    <x v="1099"/>
    <x v="7"/>
    <x v="0"/>
    <x v="430"/>
    <x v="11"/>
    <x v="3"/>
    <x v="0"/>
    <x v="4"/>
    <x v="4"/>
    <n v="2"/>
    <x v="4"/>
  </r>
  <r>
    <x v="148"/>
    <x v="1100"/>
    <x v="1"/>
    <x v="0"/>
    <x v="431"/>
    <x v="8"/>
    <x v="0"/>
    <x v="1"/>
    <x v="4"/>
    <x v="4"/>
    <n v="2"/>
    <x v="4"/>
  </r>
  <r>
    <x v="148"/>
    <x v="1101"/>
    <x v="3"/>
    <x v="0"/>
    <x v="432"/>
    <x v="11"/>
    <x v="3"/>
    <x v="1"/>
    <x v="4"/>
    <x v="4"/>
    <n v="2"/>
    <x v="4"/>
  </r>
  <r>
    <x v="148"/>
    <x v="1102"/>
    <x v="4"/>
    <x v="0"/>
    <x v="433"/>
    <x v="14"/>
    <x v="5"/>
    <x v="1"/>
    <x v="4"/>
    <x v="4"/>
    <n v="2"/>
    <x v="4"/>
  </r>
  <r>
    <x v="148"/>
    <x v="1103"/>
    <x v="4"/>
    <x v="0"/>
    <x v="433"/>
    <x v="11"/>
    <x v="3"/>
    <x v="1"/>
    <x v="4"/>
    <x v="4"/>
    <n v="2"/>
    <x v="4"/>
  </r>
  <r>
    <x v="148"/>
    <x v="1104"/>
    <x v="12"/>
    <x v="0"/>
    <x v="434"/>
    <x v="15"/>
    <x v="6"/>
    <x v="2"/>
    <x v="4"/>
    <x v="4"/>
    <n v="2"/>
    <x v="4"/>
  </r>
  <r>
    <x v="148"/>
    <x v="1105"/>
    <x v="12"/>
    <x v="0"/>
    <x v="97"/>
    <x v="11"/>
    <x v="3"/>
    <x v="2"/>
    <x v="4"/>
    <x v="4"/>
    <n v="2"/>
    <x v="4"/>
  </r>
  <r>
    <x v="148"/>
    <x v="1106"/>
    <x v="12"/>
    <x v="0"/>
    <x v="97"/>
    <x v="11"/>
    <x v="3"/>
    <x v="2"/>
    <x v="4"/>
    <x v="4"/>
    <n v="2"/>
    <x v="4"/>
  </r>
  <r>
    <x v="148"/>
    <x v="1107"/>
    <x v="12"/>
    <x v="0"/>
    <x v="347"/>
    <x v="11"/>
    <x v="3"/>
    <x v="2"/>
    <x v="4"/>
    <x v="4"/>
    <n v="2"/>
    <x v="4"/>
  </r>
  <r>
    <x v="148"/>
    <x v="1108"/>
    <x v="15"/>
    <x v="0"/>
    <x v="435"/>
    <x v="8"/>
    <x v="0"/>
    <x v="2"/>
    <x v="4"/>
    <x v="4"/>
    <n v="2"/>
    <x v="4"/>
  </r>
  <r>
    <x v="148"/>
    <x v="1109"/>
    <x v="14"/>
    <x v="0"/>
    <x v="436"/>
    <x v="14"/>
    <x v="2"/>
    <x v="2"/>
    <x v="4"/>
    <x v="4"/>
    <n v="2"/>
    <x v="4"/>
  </r>
  <r>
    <x v="148"/>
    <x v="1110"/>
    <x v="14"/>
    <x v="0"/>
    <x v="436"/>
    <x v="8"/>
    <x v="7"/>
    <x v="2"/>
    <x v="4"/>
    <x v="4"/>
    <n v="2"/>
    <x v="4"/>
  </r>
  <r>
    <x v="149"/>
    <x v="1111"/>
    <x v="11"/>
    <x v="0"/>
    <x v="423"/>
    <x v="11"/>
    <x v="3"/>
    <x v="0"/>
    <x v="5"/>
    <x v="4"/>
    <n v="3"/>
    <x v="4"/>
  </r>
  <r>
    <x v="149"/>
    <x v="1112"/>
    <x v="13"/>
    <x v="0"/>
    <x v="437"/>
    <x v="11"/>
    <x v="3"/>
    <x v="0"/>
    <x v="5"/>
    <x v="4"/>
    <n v="3"/>
    <x v="4"/>
  </r>
  <r>
    <x v="149"/>
    <x v="1113"/>
    <x v="13"/>
    <x v="0"/>
    <x v="437"/>
    <x v="11"/>
    <x v="3"/>
    <x v="0"/>
    <x v="5"/>
    <x v="4"/>
    <n v="3"/>
    <x v="4"/>
  </r>
  <r>
    <x v="149"/>
    <x v="1114"/>
    <x v="10"/>
    <x v="0"/>
    <x v="388"/>
    <x v="14"/>
    <x v="2"/>
    <x v="0"/>
    <x v="5"/>
    <x v="4"/>
    <n v="3"/>
    <x v="4"/>
  </r>
  <r>
    <x v="149"/>
    <x v="1115"/>
    <x v="10"/>
    <x v="0"/>
    <x v="388"/>
    <x v="14"/>
    <x v="2"/>
    <x v="0"/>
    <x v="5"/>
    <x v="4"/>
    <n v="3"/>
    <x v="4"/>
  </r>
  <r>
    <x v="149"/>
    <x v="1116"/>
    <x v="10"/>
    <x v="0"/>
    <x v="276"/>
    <x v="11"/>
    <x v="3"/>
    <x v="0"/>
    <x v="5"/>
    <x v="4"/>
    <n v="3"/>
    <x v="4"/>
  </r>
  <r>
    <x v="149"/>
    <x v="1117"/>
    <x v="2"/>
    <x v="0"/>
    <x v="384"/>
    <x v="8"/>
    <x v="4"/>
    <x v="1"/>
    <x v="5"/>
    <x v="4"/>
    <n v="3"/>
    <x v="4"/>
  </r>
  <r>
    <x v="149"/>
    <x v="1118"/>
    <x v="2"/>
    <x v="0"/>
    <x v="384"/>
    <x v="8"/>
    <x v="0"/>
    <x v="1"/>
    <x v="5"/>
    <x v="4"/>
    <n v="3"/>
    <x v="4"/>
  </r>
  <r>
    <x v="149"/>
    <x v="1119"/>
    <x v="2"/>
    <x v="0"/>
    <x v="438"/>
    <x v="11"/>
    <x v="3"/>
    <x v="1"/>
    <x v="5"/>
    <x v="4"/>
    <n v="3"/>
    <x v="4"/>
  </r>
  <r>
    <x v="149"/>
    <x v="1120"/>
    <x v="9"/>
    <x v="0"/>
    <x v="439"/>
    <x v="14"/>
    <x v="5"/>
    <x v="2"/>
    <x v="5"/>
    <x v="4"/>
    <n v="3"/>
    <x v="4"/>
  </r>
  <r>
    <x v="149"/>
    <x v="1121"/>
    <x v="5"/>
    <x v="0"/>
    <x v="440"/>
    <x v="8"/>
    <x v="0"/>
    <x v="2"/>
    <x v="5"/>
    <x v="4"/>
    <n v="3"/>
    <x v="4"/>
  </r>
  <r>
    <x v="149"/>
    <x v="1122"/>
    <x v="6"/>
    <x v="0"/>
    <x v="441"/>
    <x v="14"/>
    <x v="5"/>
    <x v="2"/>
    <x v="5"/>
    <x v="4"/>
    <n v="3"/>
    <x v="4"/>
  </r>
  <r>
    <x v="149"/>
    <x v="1123"/>
    <x v="6"/>
    <x v="0"/>
    <x v="8"/>
    <x v="8"/>
    <x v="0"/>
    <x v="2"/>
    <x v="5"/>
    <x v="4"/>
    <n v="3"/>
    <x v="4"/>
  </r>
  <r>
    <x v="149"/>
    <x v="1124"/>
    <x v="12"/>
    <x v="0"/>
    <x v="442"/>
    <x v="8"/>
    <x v="4"/>
    <x v="2"/>
    <x v="5"/>
    <x v="4"/>
    <n v="3"/>
    <x v="4"/>
  </r>
  <r>
    <x v="149"/>
    <x v="1125"/>
    <x v="12"/>
    <x v="0"/>
    <x v="443"/>
    <x v="14"/>
    <x v="5"/>
    <x v="2"/>
    <x v="5"/>
    <x v="4"/>
    <n v="3"/>
    <x v="4"/>
  </r>
  <r>
    <x v="149"/>
    <x v="1126"/>
    <x v="12"/>
    <x v="0"/>
    <x v="443"/>
    <x v="8"/>
    <x v="0"/>
    <x v="2"/>
    <x v="5"/>
    <x v="4"/>
    <n v="3"/>
    <x v="4"/>
  </r>
  <r>
    <x v="149"/>
    <x v="1127"/>
    <x v="12"/>
    <x v="0"/>
    <x v="153"/>
    <x v="8"/>
    <x v="7"/>
    <x v="2"/>
    <x v="5"/>
    <x v="4"/>
    <n v="3"/>
    <x v="4"/>
  </r>
  <r>
    <x v="149"/>
    <x v="1128"/>
    <x v="12"/>
    <x v="0"/>
    <x v="443"/>
    <x v="14"/>
    <x v="5"/>
    <x v="2"/>
    <x v="5"/>
    <x v="4"/>
    <n v="3"/>
    <x v="4"/>
  </r>
  <r>
    <x v="149"/>
    <x v="1129"/>
    <x v="12"/>
    <x v="0"/>
    <x v="40"/>
    <x v="11"/>
    <x v="3"/>
    <x v="2"/>
    <x v="5"/>
    <x v="4"/>
    <n v="3"/>
    <x v="4"/>
  </r>
  <r>
    <x v="149"/>
    <x v="1130"/>
    <x v="15"/>
    <x v="0"/>
    <x v="444"/>
    <x v="8"/>
    <x v="0"/>
    <x v="2"/>
    <x v="5"/>
    <x v="4"/>
    <n v="3"/>
    <x v="4"/>
  </r>
  <r>
    <x v="149"/>
    <x v="1131"/>
    <x v="15"/>
    <x v="0"/>
    <x v="445"/>
    <x v="8"/>
    <x v="0"/>
    <x v="2"/>
    <x v="5"/>
    <x v="4"/>
    <n v="3"/>
    <x v="4"/>
  </r>
  <r>
    <x v="149"/>
    <x v="1132"/>
    <x v="15"/>
    <x v="0"/>
    <x v="446"/>
    <x v="8"/>
    <x v="0"/>
    <x v="2"/>
    <x v="5"/>
    <x v="4"/>
    <n v="3"/>
    <x v="4"/>
  </r>
  <r>
    <x v="150"/>
    <x v="1133"/>
    <x v="11"/>
    <x v="0"/>
    <x v="423"/>
    <x v="11"/>
    <x v="3"/>
    <x v="0"/>
    <x v="6"/>
    <x v="5"/>
    <n v="4"/>
    <x v="5"/>
  </r>
  <r>
    <x v="150"/>
    <x v="1134"/>
    <x v="10"/>
    <x v="0"/>
    <x v="276"/>
    <x v="11"/>
    <x v="3"/>
    <x v="0"/>
    <x v="6"/>
    <x v="5"/>
    <n v="4"/>
    <x v="5"/>
  </r>
  <r>
    <x v="150"/>
    <x v="1135"/>
    <x v="7"/>
    <x v="0"/>
    <x v="97"/>
    <x v="11"/>
    <x v="3"/>
    <x v="0"/>
    <x v="6"/>
    <x v="5"/>
    <n v="4"/>
    <x v="5"/>
  </r>
  <r>
    <x v="150"/>
    <x v="1136"/>
    <x v="7"/>
    <x v="0"/>
    <x v="447"/>
    <x v="11"/>
    <x v="3"/>
    <x v="0"/>
    <x v="6"/>
    <x v="5"/>
    <n v="4"/>
    <x v="5"/>
  </r>
  <r>
    <x v="150"/>
    <x v="1137"/>
    <x v="2"/>
    <x v="0"/>
    <x v="448"/>
    <x v="14"/>
    <x v="5"/>
    <x v="1"/>
    <x v="6"/>
    <x v="5"/>
    <n v="4"/>
    <x v="5"/>
  </r>
  <r>
    <x v="150"/>
    <x v="1138"/>
    <x v="2"/>
    <x v="0"/>
    <x v="448"/>
    <x v="8"/>
    <x v="7"/>
    <x v="1"/>
    <x v="6"/>
    <x v="5"/>
    <n v="4"/>
    <x v="5"/>
  </r>
  <r>
    <x v="150"/>
    <x v="1139"/>
    <x v="2"/>
    <x v="0"/>
    <x v="449"/>
    <x v="8"/>
    <x v="7"/>
    <x v="1"/>
    <x v="6"/>
    <x v="5"/>
    <n v="4"/>
    <x v="5"/>
  </r>
  <r>
    <x v="150"/>
    <x v="1140"/>
    <x v="3"/>
    <x v="0"/>
    <x v="423"/>
    <x v="11"/>
    <x v="3"/>
    <x v="1"/>
    <x v="6"/>
    <x v="5"/>
    <n v="4"/>
    <x v="5"/>
  </r>
  <r>
    <x v="150"/>
    <x v="1141"/>
    <x v="4"/>
    <x v="0"/>
    <x v="450"/>
    <x v="11"/>
    <x v="3"/>
    <x v="1"/>
    <x v="6"/>
    <x v="5"/>
    <n v="4"/>
    <x v="5"/>
  </r>
  <r>
    <x v="150"/>
    <x v="1142"/>
    <x v="4"/>
    <x v="0"/>
    <x v="450"/>
    <x v="14"/>
    <x v="2"/>
    <x v="1"/>
    <x v="6"/>
    <x v="5"/>
    <n v="4"/>
    <x v="5"/>
  </r>
  <r>
    <x v="150"/>
    <x v="1143"/>
    <x v="9"/>
    <x v="0"/>
    <x v="451"/>
    <x v="14"/>
    <x v="2"/>
    <x v="2"/>
    <x v="6"/>
    <x v="5"/>
    <n v="4"/>
    <x v="5"/>
  </r>
  <r>
    <x v="150"/>
    <x v="1144"/>
    <x v="12"/>
    <x v="0"/>
    <x v="452"/>
    <x v="8"/>
    <x v="7"/>
    <x v="2"/>
    <x v="6"/>
    <x v="5"/>
    <n v="4"/>
    <x v="5"/>
  </r>
  <r>
    <x v="151"/>
    <x v="1145"/>
    <x v="10"/>
    <x v="0"/>
    <x v="453"/>
    <x v="11"/>
    <x v="3"/>
    <x v="0"/>
    <x v="0"/>
    <x v="5"/>
    <n v="5"/>
    <x v="5"/>
  </r>
  <r>
    <x v="151"/>
    <x v="1146"/>
    <x v="10"/>
    <x v="0"/>
    <x v="97"/>
    <x v="11"/>
    <x v="3"/>
    <x v="0"/>
    <x v="0"/>
    <x v="5"/>
    <n v="5"/>
    <x v="5"/>
  </r>
  <r>
    <x v="151"/>
    <x v="1147"/>
    <x v="7"/>
    <x v="0"/>
    <x v="141"/>
    <x v="14"/>
    <x v="5"/>
    <x v="0"/>
    <x v="0"/>
    <x v="5"/>
    <n v="5"/>
    <x v="5"/>
  </r>
  <r>
    <x v="151"/>
    <x v="1148"/>
    <x v="5"/>
    <x v="0"/>
    <x v="454"/>
    <x v="11"/>
    <x v="3"/>
    <x v="2"/>
    <x v="0"/>
    <x v="5"/>
    <n v="5"/>
    <x v="5"/>
  </r>
  <r>
    <x v="151"/>
    <x v="1149"/>
    <x v="15"/>
    <x v="0"/>
    <x v="8"/>
    <x v="8"/>
    <x v="0"/>
    <x v="2"/>
    <x v="0"/>
    <x v="5"/>
    <n v="5"/>
    <x v="5"/>
  </r>
  <r>
    <x v="152"/>
    <x v="1150"/>
    <x v="13"/>
    <x v="0"/>
    <x v="97"/>
    <x v="11"/>
    <x v="3"/>
    <x v="0"/>
    <x v="1"/>
    <x v="5"/>
    <n v="6"/>
    <x v="5"/>
  </r>
  <r>
    <x v="152"/>
    <x v="1151"/>
    <x v="10"/>
    <x v="0"/>
    <x v="401"/>
    <x v="11"/>
    <x v="3"/>
    <x v="0"/>
    <x v="1"/>
    <x v="5"/>
    <n v="6"/>
    <x v="5"/>
  </r>
  <r>
    <x v="152"/>
    <x v="1152"/>
    <x v="10"/>
    <x v="0"/>
    <x v="401"/>
    <x v="11"/>
    <x v="3"/>
    <x v="0"/>
    <x v="1"/>
    <x v="5"/>
    <n v="6"/>
    <x v="5"/>
  </r>
  <r>
    <x v="152"/>
    <x v="1153"/>
    <x v="0"/>
    <x v="0"/>
    <x v="304"/>
    <x v="11"/>
    <x v="3"/>
    <x v="0"/>
    <x v="1"/>
    <x v="5"/>
    <n v="6"/>
    <x v="5"/>
  </r>
  <r>
    <x v="152"/>
    <x v="1154"/>
    <x v="7"/>
    <x v="0"/>
    <x v="455"/>
    <x v="14"/>
    <x v="5"/>
    <x v="0"/>
    <x v="1"/>
    <x v="5"/>
    <n v="6"/>
    <x v="5"/>
  </r>
  <r>
    <x v="152"/>
    <x v="1155"/>
    <x v="7"/>
    <x v="0"/>
    <x v="455"/>
    <x v="14"/>
    <x v="5"/>
    <x v="0"/>
    <x v="1"/>
    <x v="5"/>
    <n v="6"/>
    <x v="5"/>
  </r>
  <r>
    <x v="152"/>
    <x v="1156"/>
    <x v="7"/>
    <x v="0"/>
    <x v="40"/>
    <x v="15"/>
    <x v="6"/>
    <x v="0"/>
    <x v="1"/>
    <x v="5"/>
    <n v="6"/>
    <x v="5"/>
  </r>
  <r>
    <x v="152"/>
    <x v="1157"/>
    <x v="7"/>
    <x v="0"/>
    <x v="40"/>
    <x v="11"/>
    <x v="3"/>
    <x v="0"/>
    <x v="1"/>
    <x v="5"/>
    <n v="6"/>
    <x v="5"/>
  </r>
  <r>
    <x v="152"/>
    <x v="1158"/>
    <x v="1"/>
    <x v="0"/>
    <x v="40"/>
    <x v="11"/>
    <x v="3"/>
    <x v="1"/>
    <x v="1"/>
    <x v="5"/>
    <n v="6"/>
    <x v="5"/>
  </r>
  <r>
    <x v="152"/>
    <x v="1159"/>
    <x v="4"/>
    <x v="0"/>
    <x v="322"/>
    <x v="11"/>
    <x v="3"/>
    <x v="1"/>
    <x v="1"/>
    <x v="5"/>
    <n v="6"/>
    <x v="5"/>
  </r>
  <r>
    <x v="152"/>
    <x v="1160"/>
    <x v="5"/>
    <x v="0"/>
    <x v="456"/>
    <x v="8"/>
    <x v="7"/>
    <x v="2"/>
    <x v="1"/>
    <x v="5"/>
    <n v="6"/>
    <x v="5"/>
  </r>
  <r>
    <x v="152"/>
    <x v="1161"/>
    <x v="15"/>
    <x v="0"/>
    <x v="457"/>
    <x v="8"/>
    <x v="0"/>
    <x v="2"/>
    <x v="1"/>
    <x v="5"/>
    <n v="6"/>
    <x v="5"/>
  </r>
  <r>
    <x v="152"/>
    <x v="1162"/>
    <x v="15"/>
    <x v="0"/>
    <x v="457"/>
    <x v="8"/>
    <x v="0"/>
    <x v="2"/>
    <x v="1"/>
    <x v="5"/>
    <n v="6"/>
    <x v="5"/>
  </r>
  <r>
    <x v="153"/>
    <x v="1163"/>
    <x v="13"/>
    <x v="0"/>
    <x v="458"/>
    <x v="8"/>
    <x v="7"/>
    <x v="0"/>
    <x v="2"/>
    <x v="5"/>
    <n v="7"/>
    <x v="5"/>
  </r>
  <r>
    <x v="153"/>
    <x v="1164"/>
    <x v="0"/>
    <x v="0"/>
    <x v="40"/>
    <x v="11"/>
    <x v="3"/>
    <x v="0"/>
    <x v="2"/>
    <x v="5"/>
    <n v="7"/>
    <x v="5"/>
  </r>
  <r>
    <x v="153"/>
    <x v="1165"/>
    <x v="7"/>
    <x v="0"/>
    <x v="258"/>
    <x v="8"/>
    <x v="7"/>
    <x v="0"/>
    <x v="2"/>
    <x v="5"/>
    <n v="7"/>
    <x v="5"/>
  </r>
  <r>
    <x v="153"/>
    <x v="1166"/>
    <x v="7"/>
    <x v="0"/>
    <x v="258"/>
    <x v="11"/>
    <x v="3"/>
    <x v="0"/>
    <x v="2"/>
    <x v="5"/>
    <n v="7"/>
    <x v="5"/>
  </r>
  <r>
    <x v="153"/>
    <x v="1167"/>
    <x v="3"/>
    <x v="0"/>
    <x v="268"/>
    <x v="8"/>
    <x v="7"/>
    <x v="1"/>
    <x v="2"/>
    <x v="5"/>
    <n v="7"/>
    <x v="5"/>
  </r>
  <r>
    <x v="153"/>
    <x v="1168"/>
    <x v="3"/>
    <x v="0"/>
    <x v="268"/>
    <x v="8"/>
    <x v="7"/>
    <x v="1"/>
    <x v="2"/>
    <x v="5"/>
    <n v="7"/>
    <x v="5"/>
  </r>
  <r>
    <x v="154"/>
    <x v="1169"/>
    <x v="13"/>
    <x v="0"/>
    <x v="459"/>
    <x v="14"/>
    <x v="5"/>
    <x v="0"/>
    <x v="3"/>
    <x v="5"/>
    <n v="1"/>
    <x v="5"/>
  </r>
  <r>
    <x v="154"/>
    <x v="1170"/>
    <x v="10"/>
    <x v="0"/>
    <x v="97"/>
    <x v="11"/>
    <x v="3"/>
    <x v="0"/>
    <x v="3"/>
    <x v="5"/>
    <n v="1"/>
    <x v="5"/>
  </r>
  <r>
    <x v="154"/>
    <x v="1171"/>
    <x v="7"/>
    <x v="0"/>
    <x v="375"/>
    <x v="14"/>
    <x v="5"/>
    <x v="0"/>
    <x v="3"/>
    <x v="5"/>
    <n v="1"/>
    <x v="5"/>
  </r>
  <r>
    <x v="154"/>
    <x v="1172"/>
    <x v="2"/>
    <x v="0"/>
    <x v="460"/>
    <x v="8"/>
    <x v="7"/>
    <x v="1"/>
    <x v="3"/>
    <x v="5"/>
    <n v="1"/>
    <x v="5"/>
  </r>
  <r>
    <x v="154"/>
    <x v="1173"/>
    <x v="4"/>
    <x v="0"/>
    <x v="461"/>
    <x v="8"/>
    <x v="0"/>
    <x v="1"/>
    <x v="3"/>
    <x v="5"/>
    <n v="1"/>
    <x v="5"/>
  </r>
  <r>
    <x v="154"/>
    <x v="1174"/>
    <x v="4"/>
    <x v="0"/>
    <x v="461"/>
    <x v="8"/>
    <x v="0"/>
    <x v="1"/>
    <x v="3"/>
    <x v="5"/>
    <n v="1"/>
    <x v="5"/>
  </r>
  <r>
    <x v="154"/>
    <x v="1175"/>
    <x v="9"/>
    <x v="0"/>
    <x v="462"/>
    <x v="8"/>
    <x v="0"/>
    <x v="2"/>
    <x v="3"/>
    <x v="5"/>
    <n v="1"/>
    <x v="5"/>
  </r>
  <r>
    <x v="154"/>
    <x v="1176"/>
    <x v="9"/>
    <x v="0"/>
    <x v="462"/>
    <x v="11"/>
    <x v="3"/>
    <x v="2"/>
    <x v="3"/>
    <x v="5"/>
    <n v="1"/>
    <x v="5"/>
  </r>
  <r>
    <x v="154"/>
    <x v="1177"/>
    <x v="6"/>
    <x v="0"/>
    <x v="19"/>
    <x v="8"/>
    <x v="0"/>
    <x v="2"/>
    <x v="3"/>
    <x v="5"/>
    <n v="1"/>
    <x v="5"/>
  </r>
  <r>
    <x v="154"/>
    <x v="1178"/>
    <x v="6"/>
    <x v="0"/>
    <x v="8"/>
    <x v="8"/>
    <x v="0"/>
    <x v="2"/>
    <x v="3"/>
    <x v="5"/>
    <n v="1"/>
    <x v="5"/>
  </r>
  <r>
    <x v="154"/>
    <x v="1179"/>
    <x v="12"/>
    <x v="0"/>
    <x v="463"/>
    <x v="8"/>
    <x v="4"/>
    <x v="2"/>
    <x v="3"/>
    <x v="5"/>
    <n v="1"/>
    <x v="5"/>
  </r>
  <r>
    <x v="154"/>
    <x v="1180"/>
    <x v="12"/>
    <x v="0"/>
    <x v="463"/>
    <x v="8"/>
    <x v="4"/>
    <x v="2"/>
    <x v="3"/>
    <x v="5"/>
    <n v="1"/>
    <x v="5"/>
  </r>
  <r>
    <x v="154"/>
    <x v="1181"/>
    <x v="14"/>
    <x v="0"/>
    <x v="464"/>
    <x v="11"/>
    <x v="3"/>
    <x v="2"/>
    <x v="3"/>
    <x v="5"/>
    <n v="1"/>
    <x v="5"/>
  </r>
  <r>
    <x v="155"/>
    <x v="1182"/>
    <x v="0"/>
    <x v="0"/>
    <x v="375"/>
    <x v="14"/>
    <x v="5"/>
    <x v="0"/>
    <x v="4"/>
    <x v="5"/>
    <n v="2"/>
    <x v="5"/>
  </r>
  <r>
    <x v="155"/>
    <x v="1183"/>
    <x v="0"/>
    <x v="0"/>
    <x v="465"/>
    <x v="8"/>
    <x v="1"/>
    <x v="0"/>
    <x v="4"/>
    <x v="5"/>
    <n v="2"/>
    <x v="5"/>
  </r>
  <r>
    <x v="155"/>
    <x v="1184"/>
    <x v="9"/>
    <x v="0"/>
    <x v="466"/>
    <x v="8"/>
    <x v="7"/>
    <x v="2"/>
    <x v="4"/>
    <x v="5"/>
    <n v="2"/>
    <x v="5"/>
  </r>
  <r>
    <x v="155"/>
    <x v="1185"/>
    <x v="9"/>
    <x v="0"/>
    <x v="466"/>
    <x v="8"/>
    <x v="0"/>
    <x v="2"/>
    <x v="4"/>
    <x v="5"/>
    <n v="2"/>
    <x v="5"/>
  </r>
  <r>
    <x v="155"/>
    <x v="1186"/>
    <x v="9"/>
    <x v="0"/>
    <x v="466"/>
    <x v="8"/>
    <x v="4"/>
    <x v="2"/>
    <x v="4"/>
    <x v="5"/>
    <n v="2"/>
    <x v="5"/>
  </r>
  <r>
    <x v="155"/>
    <x v="1187"/>
    <x v="6"/>
    <x v="0"/>
    <x v="19"/>
    <x v="8"/>
    <x v="0"/>
    <x v="2"/>
    <x v="4"/>
    <x v="5"/>
    <n v="2"/>
    <x v="5"/>
  </r>
  <r>
    <x v="155"/>
    <x v="1188"/>
    <x v="6"/>
    <x v="0"/>
    <x v="467"/>
    <x v="11"/>
    <x v="3"/>
    <x v="2"/>
    <x v="4"/>
    <x v="5"/>
    <n v="2"/>
    <x v="5"/>
  </r>
  <r>
    <x v="155"/>
    <x v="1189"/>
    <x v="12"/>
    <x v="0"/>
    <x v="468"/>
    <x v="8"/>
    <x v="0"/>
    <x v="2"/>
    <x v="4"/>
    <x v="5"/>
    <n v="2"/>
    <x v="5"/>
  </r>
  <r>
    <x v="156"/>
    <x v="1190"/>
    <x v="13"/>
    <x v="0"/>
    <x v="453"/>
    <x v="11"/>
    <x v="3"/>
    <x v="0"/>
    <x v="5"/>
    <x v="5"/>
    <n v="3"/>
    <x v="5"/>
  </r>
  <r>
    <x v="156"/>
    <x v="1191"/>
    <x v="1"/>
    <x v="0"/>
    <x v="2"/>
    <x v="14"/>
    <x v="2"/>
    <x v="1"/>
    <x v="5"/>
    <x v="5"/>
    <n v="3"/>
    <x v="5"/>
  </r>
  <r>
    <x v="156"/>
    <x v="1192"/>
    <x v="1"/>
    <x v="0"/>
    <x v="2"/>
    <x v="14"/>
    <x v="2"/>
    <x v="1"/>
    <x v="5"/>
    <x v="5"/>
    <n v="3"/>
    <x v="5"/>
  </r>
  <r>
    <x v="156"/>
    <x v="1193"/>
    <x v="2"/>
    <x v="0"/>
    <x v="469"/>
    <x v="15"/>
    <x v="6"/>
    <x v="1"/>
    <x v="5"/>
    <x v="5"/>
    <n v="3"/>
    <x v="5"/>
  </r>
  <r>
    <x v="156"/>
    <x v="1194"/>
    <x v="4"/>
    <x v="0"/>
    <x v="470"/>
    <x v="14"/>
    <x v="2"/>
    <x v="1"/>
    <x v="5"/>
    <x v="5"/>
    <n v="3"/>
    <x v="5"/>
  </r>
  <r>
    <x v="156"/>
    <x v="1195"/>
    <x v="6"/>
    <x v="0"/>
    <x v="8"/>
    <x v="8"/>
    <x v="0"/>
    <x v="2"/>
    <x v="5"/>
    <x v="5"/>
    <n v="3"/>
    <x v="5"/>
  </r>
  <r>
    <x v="156"/>
    <x v="1196"/>
    <x v="12"/>
    <x v="0"/>
    <x v="442"/>
    <x v="8"/>
    <x v="4"/>
    <x v="2"/>
    <x v="5"/>
    <x v="5"/>
    <n v="3"/>
    <x v="5"/>
  </r>
  <r>
    <x v="156"/>
    <x v="1197"/>
    <x v="15"/>
    <x v="0"/>
    <x v="328"/>
    <x v="8"/>
    <x v="7"/>
    <x v="2"/>
    <x v="5"/>
    <x v="5"/>
    <n v="3"/>
    <x v="5"/>
  </r>
  <r>
    <x v="156"/>
    <x v="1198"/>
    <x v="14"/>
    <x v="0"/>
    <x v="471"/>
    <x v="8"/>
    <x v="0"/>
    <x v="2"/>
    <x v="5"/>
    <x v="5"/>
    <n v="3"/>
    <x v="5"/>
  </r>
  <r>
    <x v="156"/>
    <x v="1199"/>
    <x v="14"/>
    <x v="0"/>
    <x v="472"/>
    <x v="8"/>
    <x v="0"/>
    <x v="2"/>
    <x v="5"/>
    <x v="5"/>
    <n v="3"/>
    <x v="5"/>
  </r>
  <r>
    <x v="157"/>
    <x v="1200"/>
    <x v="13"/>
    <x v="0"/>
    <x v="141"/>
    <x v="15"/>
    <x v="6"/>
    <x v="0"/>
    <x v="6"/>
    <x v="5"/>
    <n v="4"/>
    <x v="5"/>
  </r>
  <r>
    <x v="157"/>
    <x v="1201"/>
    <x v="13"/>
    <x v="0"/>
    <x v="141"/>
    <x v="14"/>
    <x v="5"/>
    <x v="0"/>
    <x v="6"/>
    <x v="5"/>
    <n v="4"/>
    <x v="5"/>
  </r>
  <r>
    <x v="157"/>
    <x v="1202"/>
    <x v="1"/>
    <x v="0"/>
    <x v="420"/>
    <x v="11"/>
    <x v="3"/>
    <x v="1"/>
    <x v="6"/>
    <x v="5"/>
    <n v="4"/>
    <x v="5"/>
  </r>
  <r>
    <x v="157"/>
    <x v="1203"/>
    <x v="1"/>
    <x v="0"/>
    <x v="141"/>
    <x v="14"/>
    <x v="5"/>
    <x v="1"/>
    <x v="6"/>
    <x v="5"/>
    <n v="4"/>
    <x v="5"/>
  </r>
  <r>
    <x v="157"/>
    <x v="1204"/>
    <x v="1"/>
    <x v="0"/>
    <x v="141"/>
    <x v="14"/>
    <x v="5"/>
    <x v="1"/>
    <x v="6"/>
    <x v="5"/>
    <n v="4"/>
    <x v="5"/>
  </r>
  <r>
    <x v="157"/>
    <x v="1205"/>
    <x v="4"/>
    <x v="0"/>
    <x v="473"/>
    <x v="8"/>
    <x v="7"/>
    <x v="1"/>
    <x v="6"/>
    <x v="5"/>
    <n v="4"/>
    <x v="5"/>
  </r>
  <r>
    <x v="157"/>
    <x v="1206"/>
    <x v="9"/>
    <x v="0"/>
    <x v="474"/>
    <x v="8"/>
    <x v="7"/>
    <x v="2"/>
    <x v="6"/>
    <x v="5"/>
    <n v="4"/>
    <x v="5"/>
  </r>
  <r>
    <x v="157"/>
    <x v="1207"/>
    <x v="15"/>
    <x v="0"/>
    <x v="311"/>
    <x v="11"/>
    <x v="3"/>
    <x v="2"/>
    <x v="6"/>
    <x v="5"/>
    <n v="4"/>
    <x v="5"/>
  </r>
  <r>
    <x v="158"/>
    <x v="1208"/>
    <x v="11"/>
    <x v="0"/>
    <x v="475"/>
    <x v="8"/>
    <x v="0"/>
    <x v="0"/>
    <x v="0"/>
    <x v="5"/>
    <n v="5"/>
    <x v="5"/>
  </r>
  <r>
    <x v="158"/>
    <x v="1209"/>
    <x v="10"/>
    <x v="0"/>
    <x v="476"/>
    <x v="14"/>
    <x v="2"/>
    <x v="0"/>
    <x v="0"/>
    <x v="5"/>
    <n v="5"/>
    <x v="5"/>
  </r>
  <r>
    <x v="158"/>
    <x v="1210"/>
    <x v="0"/>
    <x v="0"/>
    <x v="141"/>
    <x v="14"/>
    <x v="5"/>
    <x v="0"/>
    <x v="0"/>
    <x v="5"/>
    <n v="5"/>
    <x v="5"/>
  </r>
  <r>
    <x v="158"/>
    <x v="1211"/>
    <x v="0"/>
    <x v="0"/>
    <x v="311"/>
    <x v="11"/>
    <x v="3"/>
    <x v="0"/>
    <x v="0"/>
    <x v="5"/>
    <n v="5"/>
    <x v="5"/>
  </r>
  <r>
    <x v="158"/>
    <x v="1212"/>
    <x v="7"/>
    <x v="0"/>
    <x v="475"/>
    <x v="8"/>
    <x v="0"/>
    <x v="0"/>
    <x v="0"/>
    <x v="5"/>
    <n v="5"/>
    <x v="5"/>
  </r>
  <r>
    <x v="158"/>
    <x v="1213"/>
    <x v="7"/>
    <x v="0"/>
    <x v="477"/>
    <x v="14"/>
    <x v="2"/>
    <x v="0"/>
    <x v="0"/>
    <x v="5"/>
    <n v="5"/>
    <x v="5"/>
  </r>
  <r>
    <x v="158"/>
    <x v="1214"/>
    <x v="5"/>
    <x v="0"/>
    <x v="478"/>
    <x v="14"/>
    <x v="2"/>
    <x v="2"/>
    <x v="0"/>
    <x v="5"/>
    <n v="5"/>
    <x v="5"/>
  </r>
  <r>
    <x v="158"/>
    <x v="1215"/>
    <x v="6"/>
    <x v="0"/>
    <x v="479"/>
    <x v="8"/>
    <x v="1"/>
    <x v="2"/>
    <x v="0"/>
    <x v="5"/>
    <n v="5"/>
    <x v="5"/>
  </r>
  <r>
    <x v="159"/>
    <x v="1216"/>
    <x v="13"/>
    <x v="0"/>
    <x v="480"/>
    <x v="8"/>
    <x v="7"/>
    <x v="0"/>
    <x v="1"/>
    <x v="5"/>
    <n v="6"/>
    <x v="5"/>
  </r>
  <r>
    <x v="159"/>
    <x v="1217"/>
    <x v="13"/>
    <x v="0"/>
    <x v="480"/>
    <x v="11"/>
    <x v="3"/>
    <x v="0"/>
    <x v="1"/>
    <x v="5"/>
    <n v="6"/>
    <x v="5"/>
  </r>
  <r>
    <x v="159"/>
    <x v="1218"/>
    <x v="13"/>
    <x v="0"/>
    <x v="141"/>
    <x v="14"/>
    <x v="5"/>
    <x v="0"/>
    <x v="1"/>
    <x v="5"/>
    <n v="6"/>
    <x v="5"/>
  </r>
  <r>
    <x v="159"/>
    <x v="1219"/>
    <x v="7"/>
    <x v="0"/>
    <x v="12"/>
    <x v="14"/>
    <x v="5"/>
    <x v="0"/>
    <x v="1"/>
    <x v="5"/>
    <n v="6"/>
    <x v="5"/>
  </r>
  <r>
    <x v="159"/>
    <x v="1220"/>
    <x v="7"/>
    <x v="0"/>
    <x v="12"/>
    <x v="14"/>
    <x v="2"/>
    <x v="0"/>
    <x v="1"/>
    <x v="5"/>
    <n v="6"/>
    <x v="5"/>
  </r>
  <r>
    <x v="159"/>
    <x v="1221"/>
    <x v="1"/>
    <x v="0"/>
    <x v="481"/>
    <x v="8"/>
    <x v="0"/>
    <x v="1"/>
    <x v="1"/>
    <x v="5"/>
    <n v="6"/>
    <x v="5"/>
  </r>
  <r>
    <x v="159"/>
    <x v="1222"/>
    <x v="1"/>
    <x v="0"/>
    <x v="463"/>
    <x v="11"/>
    <x v="3"/>
    <x v="1"/>
    <x v="1"/>
    <x v="5"/>
    <n v="6"/>
    <x v="5"/>
  </r>
  <r>
    <x v="159"/>
    <x v="1223"/>
    <x v="4"/>
    <x v="0"/>
    <x v="8"/>
    <x v="8"/>
    <x v="0"/>
    <x v="1"/>
    <x v="1"/>
    <x v="5"/>
    <n v="6"/>
    <x v="5"/>
  </r>
  <r>
    <x v="159"/>
    <x v="1224"/>
    <x v="15"/>
    <x v="0"/>
    <x v="482"/>
    <x v="8"/>
    <x v="4"/>
    <x v="2"/>
    <x v="1"/>
    <x v="5"/>
    <n v="6"/>
    <x v="5"/>
  </r>
  <r>
    <x v="159"/>
    <x v="1225"/>
    <x v="15"/>
    <x v="0"/>
    <x v="482"/>
    <x v="8"/>
    <x v="4"/>
    <x v="2"/>
    <x v="1"/>
    <x v="5"/>
    <n v="6"/>
    <x v="5"/>
  </r>
  <r>
    <x v="159"/>
    <x v="1226"/>
    <x v="15"/>
    <x v="0"/>
    <x v="442"/>
    <x v="8"/>
    <x v="4"/>
    <x v="2"/>
    <x v="1"/>
    <x v="5"/>
    <n v="6"/>
    <x v="5"/>
  </r>
  <r>
    <x v="160"/>
    <x v="1227"/>
    <x v="10"/>
    <x v="0"/>
    <x v="440"/>
    <x v="8"/>
    <x v="0"/>
    <x v="0"/>
    <x v="2"/>
    <x v="5"/>
    <n v="7"/>
    <x v="5"/>
  </r>
  <r>
    <x v="160"/>
    <x v="1228"/>
    <x v="10"/>
    <x v="0"/>
    <x v="440"/>
    <x v="8"/>
    <x v="0"/>
    <x v="0"/>
    <x v="2"/>
    <x v="5"/>
    <n v="7"/>
    <x v="5"/>
  </r>
  <r>
    <x v="160"/>
    <x v="1229"/>
    <x v="0"/>
    <x v="0"/>
    <x v="347"/>
    <x v="11"/>
    <x v="3"/>
    <x v="0"/>
    <x v="2"/>
    <x v="5"/>
    <n v="7"/>
    <x v="5"/>
  </r>
  <r>
    <x v="160"/>
    <x v="1230"/>
    <x v="7"/>
    <x v="0"/>
    <x v="480"/>
    <x v="8"/>
    <x v="7"/>
    <x v="0"/>
    <x v="2"/>
    <x v="5"/>
    <n v="7"/>
    <x v="5"/>
  </r>
  <r>
    <x v="160"/>
    <x v="1231"/>
    <x v="7"/>
    <x v="0"/>
    <x v="480"/>
    <x v="11"/>
    <x v="3"/>
    <x v="0"/>
    <x v="2"/>
    <x v="5"/>
    <n v="7"/>
    <x v="5"/>
  </r>
  <r>
    <x v="160"/>
    <x v="1232"/>
    <x v="1"/>
    <x v="0"/>
    <x v="141"/>
    <x v="14"/>
    <x v="5"/>
    <x v="1"/>
    <x v="2"/>
    <x v="5"/>
    <n v="7"/>
    <x v="5"/>
  </r>
  <r>
    <x v="160"/>
    <x v="1233"/>
    <x v="3"/>
    <x v="0"/>
    <x v="483"/>
    <x v="8"/>
    <x v="0"/>
    <x v="1"/>
    <x v="2"/>
    <x v="5"/>
    <n v="7"/>
    <x v="5"/>
  </r>
  <r>
    <x v="160"/>
    <x v="1234"/>
    <x v="3"/>
    <x v="0"/>
    <x v="484"/>
    <x v="11"/>
    <x v="3"/>
    <x v="1"/>
    <x v="2"/>
    <x v="5"/>
    <n v="7"/>
    <x v="5"/>
  </r>
  <r>
    <x v="160"/>
    <x v="1235"/>
    <x v="3"/>
    <x v="0"/>
    <x v="484"/>
    <x v="8"/>
    <x v="4"/>
    <x v="1"/>
    <x v="2"/>
    <x v="5"/>
    <n v="7"/>
    <x v="5"/>
  </r>
  <r>
    <x v="160"/>
    <x v="1236"/>
    <x v="4"/>
    <x v="0"/>
    <x v="414"/>
    <x v="8"/>
    <x v="7"/>
    <x v="1"/>
    <x v="2"/>
    <x v="5"/>
    <n v="7"/>
    <x v="5"/>
  </r>
  <r>
    <x v="160"/>
    <x v="1237"/>
    <x v="4"/>
    <x v="0"/>
    <x v="485"/>
    <x v="15"/>
    <x v="6"/>
    <x v="1"/>
    <x v="2"/>
    <x v="5"/>
    <n v="7"/>
    <x v="5"/>
  </r>
  <r>
    <x v="160"/>
    <x v="1238"/>
    <x v="15"/>
    <x v="0"/>
    <x v="486"/>
    <x v="14"/>
    <x v="5"/>
    <x v="2"/>
    <x v="2"/>
    <x v="5"/>
    <n v="7"/>
    <x v="5"/>
  </r>
  <r>
    <x v="160"/>
    <x v="1239"/>
    <x v="15"/>
    <x v="0"/>
    <x v="475"/>
    <x v="8"/>
    <x v="0"/>
    <x v="2"/>
    <x v="2"/>
    <x v="5"/>
    <n v="7"/>
    <x v="5"/>
  </r>
  <r>
    <x v="160"/>
    <x v="1240"/>
    <x v="15"/>
    <x v="0"/>
    <x v="487"/>
    <x v="8"/>
    <x v="0"/>
    <x v="2"/>
    <x v="2"/>
    <x v="5"/>
    <n v="7"/>
    <x v="5"/>
  </r>
  <r>
    <x v="160"/>
    <x v="1241"/>
    <x v="14"/>
    <x v="0"/>
    <x v="488"/>
    <x v="8"/>
    <x v="7"/>
    <x v="2"/>
    <x v="2"/>
    <x v="5"/>
    <n v="7"/>
    <x v="5"/>
  </r>
  <r>
    <x v="161"/>
    <x v="1242"/>
    <x v="13"/>
    <x v="0"/>
    <x v="367"/>
    <x v="8"/>
    <x v="1"/>
    <x v="0"/>
    <x v="3"/>
    <x v="5"/>
    <n v="1"/>
    <x v="5"/>
  </r>
  <r>
    <x v="161"/>
    <x v="1243"/>
    <x v="7"/>
    <x v="0"/>
    <x v="489"/>
    <x v="11"/>
    <x v="3"/>
    <x v="0"/>
    <x v="3"/>
    <x v="5"/>
    <n v="1"/>
    <x v="5"/>
  </r>
  <r>
    <x v="161"/>
    <x v="1244"/>
    <x v="7"/>
    <x v="0"/>
    <x v="490"/>
    <x v="14"/>
    <x v="2"/>
    <x v="0"/>
    <x v="3"/>
    <x v="5"/>
    <n v="1"/>
    <x v="5"/>
  </r>
  <r>
    <x v="161"/>
    <x v="1245"/>
    <x v="7"/>
    <x v="0"/>
    <x v="490"/>
    <x v="8"/>
    <x v="0"/>
    <x v="0"/>
    <x v="3"/>
    <x v="5"/>
    <n v="1"/>
    <x v="5"/>
  </r>
  <r>
    <x v="161"/>
    <x v="1246"/>
    <x v="7"/>
    <x v="0"/>
    <x v="491"/>
    <x v="8"/>
    <x v="0"/>
    <x v="0"/>
    <x v="3"/>
    <x v="5"/>
    <n v="1"/>
    <x v="5"/>
  </r>
  <r>
    <x v="161"/>
    <x v="1247"/>
    <x v="8"/>
    <x v="0"/>
    <x v="492"/>
    <x v="15"/>
    <x v="6"/>
    <x v="1"/>
    <x v="3"/>
    <x v="5"/>
    <n v="1"/>
    <x v="5"/>
  </r>
  <r>
    <x v="161"/>
    <x v="1248"/>
    <x v="8"/>
    <x v="0"/>
    <x v="492"/>
    <x v="11"/>
    <x v="3"/>
    <x v="1"/>
    <x v="3"/>
    <x v="5"/>
    <n v="1"/>
    <x v="5"/>
  </r>
  <r>
    <x v="161"/>
    <x v="1249"/>
    <x v="3"/>
    <x v="0"/>
    <x v="493"/>
    <x v="11"/>
    <x v="3"/>
    <x v="1"/>
    <x v="3"/>
    <x v="5"/>
    <n v="1"/>
    <x v="5"/>
  </r>
  <r>
    <x v="161"/>
    <x v="1250"/>
    <x v="5"/>
    <x v="0"/>
    <x v="97"/>
    <x v="11"/>
    <x v="3"/>
    <x v="2"/>
    <x v="3"/>
    <x v="5"/>
    <n v="1"/>
    <x v="5"/>
  </r>
  <r>
    <x v="161"/>
    <x v="1251"/>
    <x v="15"/>
    <x v="0"/>
    <x v="97"/>
    <x v="11"/>
    <x v="3"/>
    <x v="2"/>
    <x v="3"/>
    <x v="5"/>
    <n v="1"/>
    <x v="5"/>
  </r>
  <r>
    <x v="161"/>
    <x v="1252"/>
    <x v="15"/>
    <x v="0"/>
    <x v="494"/>
    <x v="8"/>
    <x v="0"/>
    <x v="2"/>
    <x v="3"/>
    <x v="5"/>
    <n v="1"/>
    <x v="5"/>
  </r>
  <r>
    <x v="161"/>
    <x v="1253"/>
    <x v="14"/>
    <x v="0"/>
    <x v="134"/>
    <x v="8"/>
    <x v="7"/>
    <x v="2"/>
    <x v="3"/>
    <x v="5"/>
    <n v="1"/>
    <x v="5"/>
  </r>
  <r>
    <x v="161"/>
    <x v="1254"/>
    <x v="14"/>
    <x v="0"/>
    <x v="134"/>
    <x v="8"/>
    <x v="7"/>
    <x v="2"/>
    <x v="3"/>
    <x v="5"/>
    <n v="1"/>
    <x v="5"/>
  </r>
  <r>
    <x v="162"/>
    <x v="1255"/>
    <x v="13"/>
    <x v="0"/>
    <x v="495"/>
    <x v="11"/>
    <x v="3"/>
    <x v="0"/>
    <x v="4"/>
    <x v="5"/>
    <n v="2"/>
    <x v="5"/>
  </r>
  <r>
    <x v="162"/>
    <x v="1256"/>
    <x v="10"/>
    <x v="0"/>
    <x v="97"/>
    <x v="11"/>
    <x v="3"/>
    <x v="0"/>
    <x v="4"/>
    <x v="5"/>
    <n v="2"/>
    <x v="5"/>
  </r>
  <r>
    <x v="162"/>
    <x v="1257"/>
    <x v="10"/>
    <x v="0"/>
    <x v="385"/>
    <x v="11"/>
    <x v="3"/>
    <x v="0"/>
    <x v="4"/>
    <x v="5"/>
    <n v="2"/>
    <x v="5"/>
  </r>
  <r>
    <x v="162"/>
    <x v="1258"/>
    <x v="0"/>
    <x v="0"/>
    <x v="141"/>
    <x v="14"/>
    <x v="5"/>
    <x v="0"/>
    <x v="4"/>
    <x v="5"/>
    <n v="2"/>
    <x v="5"/>
  </r>
  <r>
    <x v="162"/>
    <x v="1259"/>
    <x v="7"/>
    <x v="0"/>
    <x v="496"/>
    <x v="8"/>
    <x v="0"/>
    <x v="0"/>
    <x v="4"/>
    <x v="5"/>
    <n v="2"/>
    <x v="5"/>
  </r>
  <r>
    <x v="162"/>
    <x v="1260"/>
    <x v="2"/>
    <x v="0"/>
    <x v="497"/>
    <x v="11"/>
    <x v="3"/>
    <x v="1"/>
    <x v="4"/>
    <x v="5"/>
    <n v="2"/>
    <x v="5"/>
  </r>
  <r>
    <x v="162"/>
    <x v="1261"/>
    <x v="8"/>
    <x v="0"/>
    <x v="494"/>
    <x v="8"/>
    <x v="0"/>
    <x v="1"/>
    <x v="4"/>
    <x v="5"/>
    <n v="2"/>
    <x v="5"/>
  </r>
  <r>
    <x v="162"/>
    <x v="1262"/>
    <x v="3"/>
    <x v="0"/>
    <x v="498"/>
    <x v="8"/>
    <x v="7"/>
    <x v="1"/>
    <x v="4"/>
    <x v="5"/>
    <n v="2"/>
    <x v="5"/>
  </r>
  <r>
    <x v="162"/>
    <x v="1263"/>
    <x v="3"/>
    <x v="0"/>
    <x v="97"/>
    <x v="11"/>
    <x v="3"/>
    <x v="1"/>
    <x v="4"/>
    <x v="5"/>
    <n v="2"/>
    <x v="5"/>
  </r>
  <r>
    <x v="162"/>
    <x v="1264"/>
    <x v="12"/>
    <x v="0"/>
    <x v="499"/>
    <x v="8"/>
    <x v="0"/>
    <x v="2"/>
    <x v="4"/>
    <x v="5"/>
    <n v="2"/>
    <x v="5"/>
  </r>
  <r>
    <x v="162"/>
    <x v="1265"/>
    <x v="12"/>
    <x v="0"/>
    <x v="499"/>
    <x v="8"/>
    <x v="4"/>
    <x v="2"/>
    <x v="4"/>
    <x v="5"/>
    <n v="2"/>
    <x v="5"/>
  </r>
  <r>
    <x v="162"/>
    <x v="1266"/>
    <x v="12"/>
    <x v="0"/>
    <x v="500"/>
    <x v="8"/>
    <x v="7"/>
    <x v="2"/>
    <x v="4"/>
    <x v="5"/>
    <n v="2"/>
    <x v="5"/>
  </r>
  <r>
    <x v="162"/>
    <x v="1267"/>
    <x v="15"/>
    <x v="0"/>
    <x v="501"/>
    <x v="14"/>
    <x v="5"/>
    <x v="2"/>
    <x v="4"/>
    <x v="5"/>
    <n v="2"/>
    <x v="5"/>
  </r>
  <r>
    <x v="163"/>
    <x v="1268"/>
    <x v="11"/>
    <x v="0"/>
    <x v="475"/>
    <x v="8"/>
    <x v="0"/>
    <x v="0"/>
    <x v="5"/>
    <x v="5"/>
    <n v="3"/>
    <x v="5"/>
  </r>
  <r>
    <x v="163"/>
    <x v="1269"/>
    <x v="11"/>
    <x v="0"/>
    <x v="472"/>
    <x v="8"/>
    <x v="7"/>
    <x v="0"/>
    <x v="5"/>
    <x v="5"/>
    <n v="3"/>
    <x v="5"/>
  </r>
  <r>
    <x v="163"/>
    <x v="1270"/>
    <x v="0"/>
    <x v="0"/>
    <x v="141"/>
    <x v="14"/>
    <x v="5"/>
    <x v="0"/>
    <x v="5"/>
    <x v="5"/>
    <n v="3"/>
    <x v="5"/>
  </r>
  <r>
    <x v="163"/>
    <x v="1271"/>
    <x v="7"/>
    <x v="0"/>
    <x v="95"/>
    <x v="15"/>
    <x v="6"/>
    <x v="0"/>
    <x v="5"/>
    <x v="5"/>
    <n v="3"/>
    <x v="5"/>
  </r>
  <r>
    <x v="163"/>
    <x v="1272"/>
    <x v="1"/>
    <x v="0"/>
    <x v="502"/>
    <x v="14"/>
    <x v="2"/>
    <x v="1"/>
    <x v="5"/>
    <x v="5"/>
    <n v="3"/>
    <x v="5"/>
  </r>
  <r>
    <x v="163"/>
    <x v="1273"/>
    <x v="1"/>
    <x v="0"/>
    <x v="450"/>
    <x v="14"/>
    <x v="2"/>
    <x v="1"/>
    <x v="5"/>
    <x v="5"/>
    <n v="3"/>
    <x v="5"/>
  </r>
  <r>
    <x v="163"/>
    <x v="1274"/>
    <x v="3"/>
    <x v="0"/>
    <x v="503"/>
    <x v="8"/>
    <x v="0"/>
    <x v="1"/>
    <x v="5"/>
    <x v="5"/>
    <n v="3"/>
    <x v="5"/>
  </r>
  <r>
    <x v="163"/>
    <x v="1275"/>
    <x v="9"/>
    <x v="0"/>
    <x v="504"/>
    <x v="14"/>
    <x v="2"/>
    <x v="2"/>
    <x v="5"/>
    <x v="5"/>
    <n v="3"/>
    <x v="5"/>
  </r>
  <r>
    <x v="163"/>
    <x v="1276"/>
    <x v="5"/>
    <x v="0"/>
    <x v="505"/>
    <x v="14"/>
    <x v="5"/>
    <x v="2"/>
    <x v="5"/>
    <x v="5"/>
    <n v="3"/>
    <x v="5"/>
  </r>
  <r>
    <x v="163"/>
    <x v="1277"/>
    <x v="5"/>
    <x v="0"/>
    <x v="506"/>
    <x v="11"/>
    <x v="3"/>
    <x v="2"/>
    <x v="5"/>
    <x v="5"/>
    <n v="3"/>
    <x v="5"/>
  </r>
  <r>
    <x v="163"/>
    <x v="1278"/>
    <x v="6"/>
    <x v="0"/>
    <x v="12"/>
    <x v="8"/>
    <x v="0"/>
    <x v="2"/>
    <x v="5"/>
    <x v="5"/>
    <n v="3"/>
    <x v="5"/>
  </r>
  <r>
    <x v="163"/>
    <x v="1279"/>
    <x v="6"/>
    <x v="0"/>
    <x v="12"/>
    <x v="14"/>
    <x v="5"/>
    <x v="2"/>
    <x v="5"/>
    <x v="5"/>
    <n v="3"/>
    <x v="5"/>
  </r>
  <r>
    <x v="163"/>
    <x v="1280"/>
    <x v="15"/>
    <x v="0"/>
    <x v="507"/>
    <x v="8"/>
    <x v="0"/>
    <x v="2"/>
    <x v="5"/>
    <x v="5"/>
    <n v="3"/>
    <x v="5"/>
  </r>
  <r>
    <x v="164"/>
    <x v="1281"/>
    <x v="10"/>
    <x v="0"/>
    <x v="141"/>
    <x v="14"/>
    <x v="5"/>
    <x v="0"/>
    <x v="6"/>
    <x v="5"/>
    <n v="4"/>
    <x v="5"/>
  </r>
  <r>
    <x v="164"/>
    <x v="1282"/>
    <x v="10"/>
    <x v="0"/>
    <x v="508"/>
    <x v="8"/>
    <x v="7"/>
    <x v="0"/>
    <x v="6"/>
    <x v="5"/>
    <n v="4"/>
    <x v="5"/>
  </r>
  <r>
    <x v="164"/>
    <x v="1283"/>
    <x v="10"/>
    <x v="0"/>
    <x v="509"/>
    <x v="8"/>
    <x v="1"/>
    <x v="0"/>
    <x v="6"/>
    <x v="5"/>
    <n v="4"/>
    <x v="5"/>
  </r>
  <r>
    <x v="164"/>
    <x v="1284"/>
    <x v="10"/>
    <x v="0"/>
    <x v="509"/>
    <x v="8"/>
    <x v="0"/>
    <x v="0"/>
    <x v="6"/>
    <x v="5"/>
    <n v="4"/>
    <x v="5"/>
  </r>
  <r>
    <x v="164"/>
    <x v="1285"/>
    <x v="1"/>
    <x v="0"/>
    <x v="232"/>
    <x v="8"/>
    <x v="0"/>
    <x v="1"/>
    <x v="6"/>
    <x v="5"/>
    <n v="4"/>
    <x v="5"/>
  </r>
  <r>
    <x v="164"/>
    <x v="1286"/>
    <x v="2"/>
    <x v="0"/>
    <x v="510"/>
    <x v="8"/>
    <x v="0"/>
    <x v="1"/>
    <x v="6"/>
    <x v="5"/>
    <n v="4"/>
    <x v="5"/>
  </r>
  <r>
    <x v="164"/>
    <x v="1287"/>
    <x v="8"/>
    <x v="0"/>
    <x v="12"/>
    <x v="14"/>
    <x v="2"/>
    <x v="1"/>
    <x v="6"/>
    <x v="5"/>
    <n v="4"/>
    <x v="5"/>
  </r>
  <r>
    <x v="164"/>
    <x v="1288"/>
    <x v="8"/>
    <x v="0"/>
    <x v="12"/>
    <x v="15"/>
    <x v="6"/>
    <x v="1"/>
    <x v="6"/>
    <x v="5"/>
    <n v="4"/>
    <x v="5"/>
  </r>
  <r>
    <x v="164"/>
    <x v="1289"/>
    <x v="9"/>
    <x v="0"/>
    <x v="511"/>
    <x v="11"/>
    <x v="3"/>
    <x v="2"/>
    <x v="6"/>
    <x v="5"/>
    <n v="4"/>
    <x v="5"/>
  </r>
  <r>
    <x v="164"/>
    <x v="1290"/>
    <x v="6"/>
    <x v="0"/>
    <x v="512"/>
    <x v="8"/>
    <x v="1"/>
    <x v="2"/>
    <x v="6"/>
    <x v="5"/>
    <n v="4"/>
    <x v="5"/>
  </r>
  <r>
    <x v="164"/>
    <x v="1291"/>
    <x v="6"/>
    <x v="0"/>
    <x v="512"/>
    <x v="11"/>
    <x v="3"/>
    <x v="2"/>
    <x v="6"/>
    <x v="5"/>
    <n v="4"/>
    <x v="5"/>
  </r>
  <r>
    <x v="164"/>
    <x v="1292"/>
    <x v="6"/>
    <x v="0"/>
    <x v="513"/>
    <x v="11"/>
    <x v="3"/>
    <x v="2"/>
    <x v="6"/>
    <x v="5"/>
    <n v="4"/>
    <x v="5"/>
  </r>
  <r>
    <x v="164"/>
    <x v="1293"/>
    <x v="6"/>
    <x v="0"/>
    <x v="513"/>
    <x v="14"/>
    <x v="2"/>
    <x v="2"/>
    <x v="6"/>
    <x v="5"/>
    <n v="4"/>
    <x v="5"/>
  </r>
  <r>
    <x v="164"/>
    <x v="1294"/>
    <x v="12"/>
    <x v="0"/>
    <x v="514"/>
    <x v="8"/>
    <x v="7"/>
    <x v="2"/>
    <x v="6"/>
    <x v="5"/>
    <n v="4"/>
    <x v="5"/>
  </r>
  <r>
    <x v="164"/>
    <x v="1295"/>
    <x v="15"/>
    <x v="0"/>
    <x v="40"/>
    <x v="15"/>
    <x v="6"/>
    <x v="2"/>
    <x v="6"/>
    <x v="5"/>
    <n v="4"/>
    <x v="5"/>
  </r>
  <r>
    <x v="164"/>
    <x v="1296"/>
    <x v="15"/>
    <x v="0"/>
    <x v="40"/>
    <x v="11"/>
    <x v="3"/>
    <x v="2"/>
    <x v="6"/>
    <x v="5"/>
    <n v="4"/>
    <x v="5"/>
  </r>
  <r>
    <x v="165"/>
    <x v="1297"/>
    <x v="1"/>
    <x v="0"/>
    <x v="513"/>
    <x v="8"/>
    <x v="0"/>
    <x v="1"/>
    <x v="0"/>
    <x v="5"/>
    <n v="5"/>
    <x v="5"/>
  </r>
  <r>
    <x v="165"/>
    <x v="1298"/>
    <x v="1"/>
    <x v="0"/>
    <x v="515"/>
    <x v="14"/>
    <x v="2"/>
    <x v="1"/>
    <x v="0"/>
    <x v="5"/>
    <n v="5"/>
    <x v="5"/>
  </r>
  <r>
    <x v="165"/>
    <x v="1299"/>
    <x v="2"/>
    <x v="0"/>
    <x v="429"/>
    <x v="11"/>
    <x v="3"/>
    <x v="1"/>
    <x v="0"/>
    <x v="5"/>
    <n v="5"/>
    <x v="5"/>
  </r>
  <r>
    <x v="165"/>
    <x v="1300"/>
    <x v="3"/>
    <x v="0"/>
    <x v="12"/>
    <x v="15"/>
    <x v="6"/>
    <x v="1"/>
    <x v="0"/>
    <x v="5"/>
    <n v="5"/>
    <x v="5"/>
  </r>
  <r>
    <x v="165"/>
    <x v="1301"/>
    <x v="3"/>
    <x v="0"/>
    <x v="12"/>
    <x v="15"/>
    <x v="6"/>
    <x v="1"/>
    <x v="0"/>
    <x v="5"/>
    <n v="5"/>
    <x v="5"/>
  </r>
  <r>
    <x v="166"/>
    <x v="1302"/>
    <x v="10"/>
    <x v="0"/>
    <x v="97"/>
    <x v="11"/>
    <x v="3"/>
    <x v="0"/>
    <x v="1"/>
    <x v="5"/>
    <n v="6"/>
    <x v="5"/>
  </r>
  <r>
    <x v="166"/>
    <x v="1303"/>
    <x v="10"/>
    <x v="0"/>
    <x v="516"/>
    <x v="8"/>
    <x v="7"/>
    <x v="0"/>
    <x v="1"/>
    <x v="5"/>
    <n v="6"/>
    <x v="5"/>
  </r>
  <r>
    <x v="166"/>
    <x v="1304"/>
    <x v="0"/>
    <x v="0"/>
    <x v="517"/>
    <x v="11"/>
    <x v="3"/>
    <x v="0"/>
    <x v="1"/>
    <x v="5"/>
    <n v="6"/>
    <x v="5"/>
  </r>
  <r>
    <x v="166"/>
    <x v="1305"/>
    <x v="7"/>
    <x v="0"/>
    <x v="141"/>
    <x v="14"/>
    <x v="5"/>
    <x v="0"/>
    <x v="1"/>
    <x v="5"/>
    <n v="6"/>
    <x v="5"/>
  </r>
  <r>
    <x v="166"/>
    <x v="1306"/>
    <x v="7"/>
    <x v="0"/>
    <x v="141"/>
    <x v="14"/>
    <x v="5"/>
    <x v="0"/>
    <x v="1"/>
    <x v="5"/>
    <n v="6"/>
    <x v="5"/>
  </r>
  <r>
    <x v="166"/>
    <x v="1307"/>
    <x v="2"/>
    <x v="0"/>
    <x v="518"/>
    <x v="11"/>
    <x v="3"/>
    <x v="1"/>
    <x v="1"/>
    <x v="5"/>
    <n v="6"/>
    <x v="5"/>
  </r>
  <r>
    <x v="166"/>
    <x v="1308"/>
    <x v="4"/>
    <x v="0"/>
    <x v="277"/>
    <x v="14"/>
    <x v="5"/>
    <x v="1"/>
    <x v="1"/>
    <x v="5"/>
    <n v="6"/>
    <x v="5"/>
  </r>
  <r>
    <x v="166"/>
    <x v="1309"/>
    <x v="4"/>
    <x v="0"/>
    <x v="192"/>
    <x v="8"/>
    <x v="0"/>
    <x v="1"/>
    <x v="1"/>
    <x v="5"/>
    <n v="6"/>
    <x v="5"/>
  </r>
  <r>
    <x v="166"/>
    <x v="1310"/>
    <x v="5"/>
    <x v="0"/>
    <x v="456"/>
    <x v="8"/>
    <x v="7"/>
    <x v="2"/>
    <x v="1"/>
    <x v="5"/>
    <n v="6"/>
    <x v="5"/>
  </r>
  <r>
    <x v="166"/>
    <x v="1311"/>
    <x v="15"/>
    <x v="0"/>
    <x v="40"/>
    <x v="11"/>
    <x v="3"/>
    <x v="2"/>
    <x v="1"/>
    <x v="5"/>
    <n v="6"/>
    <x v="5"/>
  </r>
  <r>
    <x v="166"/>
    <x v="1312"/>
    <x v="14"/>
    <x v="0"/>
    <x v="519"/>
    <x v="8"/>
    <x v="0"/>
    <x v="2"/>
    <x v="1"/>
    <x v="5"/>
    <n v="6"/>
    <x v="5"/>
  </r>
  <r>
    <x v="167"/>
    <x v="1313"/>
    <x v="13"/>
    <x v="0"/>
    <x v="520"/>
    <x v="8"/>
    <x v="7"/>
    <x v="0"/>
    <x v="2"/>
    <x v="5"/>
    <n v="7"/>
    <x v="5"/>
  </r>
  <r>
    <x v="167"/>
    <x v="1314"/>
    <x v="13"/>
    <x v="0"/>
    <x v="521"/>
    <x v="8"/>
    <x v="7"/>
    <x v="0"/>
    <x v="2"/>
    <x v="5"/>
    <n v="7"/>
    <x v="5"/>
  </r>
  <r>
    <x v="167"/>
    <x v="1315"/>
    <x v="13"/>
    <x v="0"/>
    <x v="141"/>
    <x v="14"/>
    <x v="5"/>
    <x v="0"/>
    <x v="2"/>
    <x v="5"/>
    <n v="7"/>
    <x v="5"/>
  </r>
  <r>
    <x v="167"/>
    <x v="1316"/>
    <x v="13"/>
    <x v="0"/>
    <x v="522"/>
    <x v="11"/>
    <x v="3"/>
    <x v="0"/>
    <x v="2"/>
    <x v="5"/>
    <n v="7"/>
    <x v="5"/>
  </r>
  <r>
    <x v="167"/>
    <x v="1317"/>
    <x v="1"/>
    <x v="0"/>
    <x v="463"/>
    <x v="8"/>
    <x v="7"/>
    <x v="1"/>
    <x v="2"/>
    <x v="5"/>
    <n v="7"/>
    <x v="5"/>
  </r>
  <r>
    <x v="167"/>
    <x v="1318"/>
    <x v="8"/>
    <x v="0"/>
    <x v="40"/>
    <x v="11"/>
    <x v="3"/>
    <x v="1"/>
    <x v="2"/>
    <x v="5"/>
    <n v="7"/>
    <x v="5"/>
  </r>
  <r>
    <x v="167"/>
    <x v="1319"/>
    <x v="5"/>
    <x v="0"/>
    <x v="523"/>
    <x v="11"/>
    <x v="3"/>
    <x v="2"/>
    <x v="2"/>
    <x v="5"/>
    <n v="7"/>
    <x v="5"/>
  </r>
  <r>
    <x v="167"/>
    <x v="1320"/>
    <x v="5"/>
    <x v="0"/>
    <x v="523"/>
    <x v="11"/>
    <x v="3"/>
    <x v="2"/>
    <x v="2"/>
    <x v="5"/>
    <n v="7"/>
    <x v="5"/>
  </r>
  <r>
    <x v="167"/>
    <x v="1321"/>
    <x v="5"/>
    <x v="0"/>
    <x v="523"/>
    <x v="14"/>
    <x v="2"/>
    <x v="2"/>
    <x v="2"/>
    <x v="5"/>
    <n v="7"/>
    <x v="5"/>
  </r>
  <r>
    <x v="167"/>
    <x v="1322"/>
    <x v="5"/>
    <x v="0"/>
    <x v="523"/>
    <x v="14"/>
    <x v="2"/>
    <x v="2"/>
    <x v="2"/>
    <x v="5"/>
    <n v="7"/>
    <x v="5"/>
  </r>
  <r>
    <x v="168"/>
    <x v="1323"/>
    <x v="3"/>
    <x v="0"/>
    <x v="524"/>
    <x v="11"/>
    <x v="3"/>
    <x v="1"/>
    <x v="3"/>
    <x v="5"/>
    <n v="1"/>
    <x v="5"/>
  </r>
  <r>
    <x v="168"/>
    <x v="1324"/>
    <x v="3"/>
    <x v="0"/>
    <x v="524"/>
    <x v="11"/>
    <x v="3"/>
    <x v="1"/>
    <x v="3"/>
    <x v="5"/>
    <n v="1"/>
    <x v="5"/>
  </r>
  <r>
    <x v="168"/>
    <x v="1325"/>
    <x v="15"/>
    <x v="0"/>
    <x v="507"/>
    <x v="8"/>
    <x v="0"/>
    <x v="2"/>
    <x v="3"/>
    <x v="5"/>
    <n v="1"/>
    <x v="5"/>
  </r>
  <r>
    <x v="168"/>
    <x v="1326"/>
    <x v="15"/>
    <x v="0"/>
    <x v="491"/>
    <x v="8"/>
    <x v="4"/>
    <x v="2"/>
    <x v="3"/>
    <x v="5"/>
    <n v="1"/>
    <x v="5"/>
  </r>
  <r>
    <x v="169"/>
    <x v="1327"/>
    <x v="13"/>
    <x v="0"/>
    <x v="141"/>
    <x v="14"/>
    <x v="5"/>
    <x v="0"/>
    <x v="4"/>
    <x v="5"/>
    <n v="2"/>
    <x v="5"/>
  </r>
  <r>
    <x v="169"/>
    <x v="1328"/>
    <x v="13"/>
    <x v="0"/>
    <x v="525"/>
    <x v="8"/>
    <x v="0"/>
    <x v="0"/>
    <x v="4"/>
    <x v="5"/>
    <n v="2"/>
    <x v="5"/>
  </r>
  <r>
    <x v="169"/>
    <x v="1329"/>
    <x v="13"/>
    <x v="0"/>
    <x v="526"/>
    <x v="15"/>
    <x v="6"/>
    <x v="0"/>
    <x v="4"/>
    <x v="5"/>
    <n v="2"/>
    <x v="5"/>
  </r>
  <r>
    <x v="169"/>
    <x v="1330"/>
    <x v="13"/>
    <x v="0"/>
    <x v="526"/>
    <x v="14"/>
    <x v="5"/>
    <x v="0"/>
    <x v="4"/>
    <x v="5"/>
    <n v="2"/>
    <x v="5"/>
  </r>
  <r>
    <x v="169"/>
    <x v="1331"/>
    <x v="10"/>
    <x v="0"/>
    <x v="97"/>
    <x v="11"/>
    <x v="3"/>
    <x v="0"/>
    <x v="4"/>
    <x v="5"/>
    <n v="2"/>
    <x v="5"/>
  </r>
  <r>
    <x v="169"/>
    <x v="1332"/>
    <x v="7"/>
    <x v="0"/>
    <x v="527"/>
    <x v="14"/>
    <x v="2"/>
    <x v="0"/>
    <x v="4"/>
    <x v="5"/>
    <n v="2"/>
    <x v="5"/>
  </r>
  <r>
    <x v="169"/>
    <x v="1333"/>
    <x v="7"/>
    <x v="0"/>
    <x v="528"/>
    <x v="14"/>
    <x v="2"/>
    <x v="0"/>
    <x v="4"/>
    <x v="5"/>
    <n v="2"/>
    <x v="5"/>
  </r>
  <r>
    <x v="169"/>
    <x v="1334"/>
    <x v="7"/>
    <x v="0"/>
    <x v="529"/>
    <x v="14"/>
    <x v="2"/>
    <x v="0"/>
    <x v="4"/>
    <x v="5"/>
    <n v="2"/>
    <x v="5"/>
  </r>
  <r>
    <x v="169"/>
    <x v="1335"/>
    <x v="7"/>
    <x v="0"/>
    <x v="141"/>
    <x v="8"/>
    <x v="0"/>
    <x v="0"/>
    <x v="4"/>
    <x v="5"/>
    <n v="2"/>
    <x v="5"/>
  </r>
  <r>
    <x v="169"/>
    <x v="1336"/>
    <x v="12"/>
    <x v="0"/>
    <x v="530"/>
    <x v="8"/>
    <x v="0"/>
    <x v="2"/>
    <x v="4"/>
    <x v="5"/>
    <n v="2"/>
    <x v="5"/>
  </r>
  <r>
    <x v="169"/>
    <x v="1337"/>
    <x v="12"/>
    <x v="0"/>
    <x v="531"/>
    <x v="8"/>
    <x v="0"/>
    <x v="2"/>
    <x v="4"/>
    <x v="5"/>
    <n v="2"/>
    <x v="5"/>
  </r>
  <r>
    <x v="169"/>
    <x v="1338"/>
    <x v="12"/>
    <x v="0"/>
    <x v="531"/>
    <x v="8"/>
    <x v="0"/>
    <x v="2"/>
    <x v="4"/>
    <x v="5"/>
    <n v="2"/>
    <x v="5"/>
  </r>
  <r>
    <x v="169"/>
    <x v="1339"/>
    <x v="12"/>
    <x v="0"/>
    <x v="532"/>
    <x v="8"/>
    <x v="0"/>
    <x v="2"/>
    <x v="4"/>
    <x v="5"/>
    <n v="2"/>
    <x v="5"/>
  </r>
  <r>
    <x v="170"/>
    <x v="1340"/>
    <x v="11"/>
    <x v="0"/>
    <x v="533"/>
    <x v="11"/>
    <x v="3"/>
    <x v="0"/>
    <x v="5"/>
    <x v="5"/>
    <n v="3"/>
    <x v="5"/>
  </r>
  <r>
    <x v="170"/>
    <x v="1341"/>
    <x v="13"/>
    <x v="0"/>
    <x v="141"/>
    <x v="14"/>
    <x v="5"/>
    <x v="0"/>
    <x v="5"/>
    <x v="5"/>
    <n v="3"/>
    <x v="5"/>
  </r>
  <r>
    <x v="170"/>
    <x v="1342"/>
    <x v="0"/>
    <x v="0"/>
    <x v="375"/>
    <x v="14"/>
    <x v="2"/>
    <x v="0"/>
    <x v="5"/>
    <x v="5"/>
    <n v="3"/>
    <x v="5"/>
  </r>
  <r>
    <x v="170"/>
    <x v="1343"/>
    <x v="0"/>
    <x v="0"/>
    <x v="276"/>
    <x v="11"/>
    <x v="3"/>
    <x v="0"/>
    <x v="5"/>
    <x v="5"/>
    <n v="3"/>
    <x v="5"/>
  </r>
  <r>
    <x v="170"/>
    <x v="1344"/>
    <x v="7"/>
    <x v="0"/>
    <x v="141"/>
    <x v="14"/>
    <x v="5"/>
    <x v="0"/>
    <x v="5"/>
    <x v="5"/>
    <n v="3"/>
    <x v="5"/>
  </r>
  <r>
    <x v="170"/>
    <x v="1345"/>
    <x v="2"/>
    <x v="0"/>
    <x v="534"/>
    <x v="8"/>
    <x v="0"/>
    <x v="1"/>
    <x v="5"/>
    <x v="5"/>
    <n v="3"/>
    <x v="5"/>
  </r>
  <r>
    <x v="170"/>
    <x v="1346"/>
    <x v="6"/>
    <x v="0"/>
    <x v="507"/>
    <x v="8"/>
    <x v="0"/>
    <x v="2"/>
    <x v="5"/>
    <x v="5"/>
    <n v="3"/>
    <x v="5"/>
  </r>
  <r>
    <x v="171"/>
    <x v="1347"/>
    <x v="10"/>
    <x v="0"/>
    <x v="141"/>
    <x v="14"/>
    <x v="5"/>
    <x v="0"/>
    <x v="6"/>
    <x v="5"/>
    <n v="4"/>
    <x v="5"/>
  </r>
  <r>
    <x v="171"/>
    <x v="1348"/>
    <x v="0"/>
    <x v="0"/>
    <x v="419"/>
    <x v="11"/>
    <x v="3"/>
    <x v="0"/>
    <x v="6"/>
    <x v="5"/>
    <n v="4"/>
    <x v="5"/>
  </r>
  <r>
    <x v="171"/>
    <x v="1349"/>
    <x v="0"/>
    <x v="0"/>
    <x v="535"/>
    <x v="11"/>
    <x v="3"/>
    <x v="0"/>
    <x v="6"/>
    <x v="5"/>
    <n v="4"/>
    <x v="5"/>
  </r>
  <r>
    <x v="171"/>
    <x v="1350"/>
    <x v="8"/>
    <x v="0"/>
    <x v="510"/>
    <x v="8"/>
    <x v="0"/>
    <x v="1"/>
    <x v="6"/>
    <x v="5"/>
    <n v="4"/>
    <x v="5"/>
  </r>
  <r>
    <x v="171"/>
    <x v="1351"/>
    <x v="8"/>
    <x v="0"/>
    <x v="536"/>
    <x v="8"/>
    <x v="0"/>
    <x v="1"/>
    <x v="6"/>
    <x v="5"/>
    <n v="4"/>
    <x v="5"/>
  </r>
  <r>
    <x v="171"/>
    <x v="1352"/>
    <x v="3"/>
    <x v="0"/>
    <x v="537"/>
    <x v="8"/>
    <x v="7"/>
    <x v="1"/>
    <x v="6"/>
    <x v="5"/>
    <n v="4"/>
    <x v="5"/>
  </r>
  <r>
    <x v="171"/>
    <x v="1353"/>
    <x v="3"/>
    <x v="0"/>
    <x v="538"/>
    <x v="14"/>
    <x v="2"/>
    <x v="1"/>
    <x v="6"/>
    <x v="5"/>
    <n v="4"/>
    <x v="5"/>
  </r>
  <r>
    <x v="172"/>
    <x v="1354"/>
    <x v="11"/>
    <x v="0"/>
    <x v="475"/>
    <x v="8"/>
    <x v="0"/>
    <x v="0"/>
    <x v="0"/>
    <x v="5"/>
    <n v="5"/>
    <x v="5"/>
  </r>
  <r>
    <x v="172"/>
    <x v="1355"/>
    <x v="13"/>
    <x v="0"/>
    <x v="141"/>
    <x v="14"/>
    <x v="5"/>
    <x v="0"/>
    <x v="0"/>
    <x v="5"/>
    <n v="5"/>
    <x v="5"/>
  </r>
  <r>
    <x v="172"/>
    <x v="1356"/>
    <x v="13"/>
    <x v="0"/>
    <x v="425"/>
    <x v="8"/>
    <x v="0"/>
    <x v="0"/>
    <x v="0"/>
    <x v="5"/>
    <n v="5"/>
    <x v="5"/>
  </r>
  <r>
    <x v="172"/>
    <x v="1357"/>
    <x v="13"/>
    <x v="0"/>
    <x v="225"/>
    <x v="14"/>
    <x v="2"/>
    <x v="0"/>
    <x v="0"/>
    <x v="5"/>
    <n v="5"/>
    <x v="5"/>
  </r>
  <r>
    <x v="172"/>
    <x v="1358"/>
    <x v="13"/>
    <x v="0"/>
    <x v="225"/>
    <x v="14"/>
    <x v="2"/>
    <x v="0"/>
    <x v="0"/>
    <x v="5"/>
    <n v="5"/>
    <x v="5"/>
  </r>
  <r>
    <x v="172"/>
    <x v="1359"/>
    <x v="10"/>
    <x v="0"/>
    <x v="419"/>
    <x v="11"/>
    <x v="3"/>
    <x v="0"/>
    <x v="0"/>
    <x v="5"/>
    <n v="5"/>
    <x v="5"/>
  </r>
  <r>
    <x v="172"/>
    <x v="1360"/>
    <x v="0"/>
    <x v="0"/>
    <x v="539"/>
    <x v="8"/>
    <x v="4"/>
    <x v="0"/>
    <x v="0"/>
    <x v="5"/>
    <n v="5"/>
    <x v="5"/>
  </r>
  <r>
    <x v="172"/>
    <x v="1361"/>
    <x v="0"/>
    <x v="0"/>
    <x v="539"/>
    <x v="14"/>
    <x v="2"/>
    <x v="0"/>
    <x v="0"/>
    <x v="5"/>
    <n v="5"/>
    <x v="5"/>
  </r>
  <r>
    <x v="172"/>
    <x v="1362"/>
    <x v="0"/>
    <x v="0"/>
    <x v="141"/>
    <x v="14"/>
    <x v="5"/>
    <x v="0"/>
    <x v="0"/>
    <x v="5"/>
    <n v="5"/>
    <x v="5"/>
  </r>
  <r>
    <x v="172"/>
    <x v="1363"/>
    <x v="7"/>
    <x v="0"/>
    <x v="540"/>
    <x v="8"/>
    <x v="1"/>
    <x v="0"/>
    <x v="0"/>
    <x v="5"/>
    <n v="5"/>
    <x v="5"/>
  </r>
  <r>
    <x v="172"/>
    <x v="1364"/>
    <x v="2"/>
    <x v="0"/>
    <x v="541"/>
    <x v="14"/>
    <x v="2"/>
    <x v="1"/>
    <x v="0"/>
    <x v="5"/>
    <n v="5"/>
    <x v="5"/>
  </r>
  <r>
    <x v="172"/>
    <x v="1365"/>
    <x v="3"/>
    <x v="0"/>
    <x v="542"/>
    <x v="14"/>
    <x v="2"/>
    <x v="1"/>
    <x v="0"/>
    <x v="5"/>
    <n v="5"/>
    <x v="5"/>
  </r>
  <r>
    <x v="172"/>
    <x v="1366"/>
    <x v="6"/>
    <x v="0"/>
    <x v="507"/>
    <x v="8"/>
    <x v="0"/>
    <x v="2"/>
    <x v="0"/>
    <x v="5"/>
    <n v="5"/>
    <x v="5"/>
  </r>
  <r>
    <x v="173"/>
    <x v="1367"/>
    <x v="13"/>
    <x v="0"/>
    <x v="141"/>
    <x v="14"/>
    <x v="5"/>
    <x v="0"/>
    <x v="1"/>
    <x v="5"/>
    <n v="6"/>
    <x v="5"/>
  </r>
  <r>
    <x v="173"/>
    <x v="1368"/>
    <x v="13"/>
    <x v="0"/>
    <x v="141"/>
    <x v="14"/>
    <x v="5"/>
    <x v="0"/>
    <x v="1"/>
    <x v="5"/>
    <n v="6"/>
    <x v="5"/>
  </r>
  <r>
    <x v="173"/>
    <x v="1369"/>
    <x v="13"/>
    <x v="0"/>
    <x v="543"/>
    <x v="14"/>
    <x v="5"/>
    <x v="0"/>
    <x v="1"/>
    <x v="5"/>
    <n v="6"/>
    <x v="5"/>
  </r>
  <r>
    <x v="173"/>
    <x v="1370"/>
    <x v="0"/>
    <x v="0"/>
    <x v="544"/>
    <x v="15"/>
    <x v="6"/>
    <x v="0"/>
    <x v="1"/>
    <x v="5"/>
    <n v="6"/>
    <x v="5"/>
  </r>
  <r>
    <x v="173"/>
    <x v="1371"/>
    <x v="0"/>
    <x v="0"/>
    <x v="544"/>
    <x v="15"/>
    <x v="6"/>
    <x v="0"/>
    <x v="1"/>
    <x v="5"/>
    <n v="6"/>
    <x v="5"/>
  </r>
  <r>
    <x v="173"/>
    <x v="1372"/>
    <x v="0"/>
    <x v="0"/>
    <x v="544"/>
    <x v="14"/>
    <x v="2"/>
    <x v="0"/>
    <x v="1"/>
    <x v="5"/>
    <n v="6"/>
    <x v="5"/>
  </r>
  <r>
    <x v="174"/>
    <x v="1373"/>
    <x v="13"/>
    <x v="0"/>
    <x v="141"/>
    <x v="14"/>
    <x v="5"/>
    <x v="0"/>
    <x v="2"/>
    <x v="5"/>
    <n v="7"/>
    <x v="5"/>
  </r>
  <r>
    <x v="174"/>
    <x v="1374"/>
    <x v="13"/>
    <x v="0"/>
    <x v="408"/>
    <x v="14"/>
    <x v="2"/>
    <x v="0"/>
    <x v="2"/>
    <x v="5"/>
    <n v="7"/>
    <x v="5"/>
  </r>
  <r>
    <x v="174"/>
    <x v="1375"/>
    <x v="13"/>
    <x v="0"/>
    <x v="408"/>
    <x v="14"/>
    <x v="2"/>
    <x v="0"/>
    <x v="2"/>
    <x v="5"/>
    <n v="7"/>
    <x v="5"/>
  </r>
  <r>
    <x v="174"/>
    <x v="1376"/>
    <x v="10"/>
    <x v="0"/>
    <x v="545"/>
    <x v="8"/>
    <x v="7"/>
    <x v="0"/>
    <x v="2"/>
    <x v="5"/>
    <n v="7"/>
    <x v="5"/>
  </r>
  <r>
    <x v="174"/>
    <x v="1377"/>
    <x v="1"/>
    <x v="0"/>
    <x v="546"/>
    <x v="8"/>
    <x v="7"/>
    <x v="1"/>
    <x v="2"/>
    <x v="5"/>
    <n v="7"/>
    <x v="5"/>
  </r>
  <r>
    <x v="174"/>
    <x v="1378"/>
    <x v="8"/>
    <x v="0"/>
    <x v="77"/>
    <x v="8"/>
    <x v="0"/>
    <x v="1"/>
    <x v="2"/>
    <x v="5"/>
    <n v="7"/>
    <x v="5"/>
  </r>
  <r>
    <x v="175"/>
    <x v="1379"/>
    <x v="13"/>
    <x v="0"/>
    <x v="141"/>
    <x v="14"/>
    <x v="5"/>
    <x v="0"/>
    <x v="3"/>
    <x v="5"/>
    <n v="1"/>
    <x v="5"/>
  </r>
  <r>
    <x v="175"/>
    <x v="1380"/>
    <x v="13"/>
    <x v="0"/>
    <x v="408"/>
    <x v="14"/>
    <x v="2"/>
    <x v="0"/>
    <x v="3"/>
    <x v="5"/>
    <n v="1"/>
    <x v="5"/>
  </r>
  <r>
    <x v="175"/>
    <x v="1381"/>
    <x v="13"/>
    <x v="0"/>
    <x v="408"/>
    <x v="14"/>
    <x v="2"/>
    <x v="0"/>
    <x v="3"/>
    <x v="5"/>
    <n v="1"/>
    <x v="5"/>
  </r>
  <r>
    <x v="175"/>
    <x v="1382"/>
    <x v="10"/>
    <x v="0"/>
    <x v="97"/>
    <x v="11"/>
    <x v="3"/>
    <x v="0"/>
    <x v="3"/>
    <x v="5"/>
    <n v="1"/>
    <x v="5"/>
  </r>
  <r>
    <x v="175"/>
    <x v="1383"/>
    <x v="0"/>
    <x v="0"/>
    <x v="547"/>
    <x v="8"/>
    <x v="0"/>
    <x v="0"/>
    <x v="3"/>
    <x v="5"/>
    <n v="1"/>
    <x v="5"/>
  </r>
  <r>
    <x v="175"/>
    <x v="1384"/>
    <x v="0"/>
    <x v="0"/>
    <x v="548"/>
    <x v="8"/>
    <x v="7"/>
    <x v="0"/>
    <x v="3"/>
    <x v="5"/>
    <n v="1"/>
    <x v="5"/>
  </r>
  <r>
    <x v="175"/>
    <x v="1385"/>
    <x v="1"/>
    <x v="0"/>
    <x v="2"/>
    <x v="14"/>
    <x v="2"/>
    <x v="1"/>
    <x v="3"/>
    <x v="5"/>
    <n v="1"/>
    <x v="5"/>
  </r>
  <r>
    <x v="175"/>
    <x v="1386"/>
    <x v="1"/>
    <x v="0"/>
    <x v="2"/>
    <x v="14"/>
    <x v="2"/>
    <x v="1"/>
    <x v="3"/>
    <x v="5"/>
    <n v="1"/>
    <x v="5"/>
  </r>
  <r>
    <x v="175"/>
    <x v="1387"/>
    <x v="5"/>
    <x v="0"/>
    <x v="549"/>
    <x v="11"/>
    <x v="3"/>
    <x v="2"/>
    <x v="3"/>
    <x v="5"/>
    <n v="1"/>
    <x v="5"/>
  </r>
  <r>
    <x v="175"/>
    <x v="1388"/>
    <x v="5"/>
    <x v="0"/>
    <x v="549"/>
    <x v="8"/>
    <x v="0"/>
    <x v="2"/>
    <x v="3"/>
    <x v="5"/>
    <n v="1"/>
    <x v="5"/>
  </r>
  <r>
    <x v="175"/>
    <x v="1389"/>
    <x v="14"/>
    <x v="0"/>
    <x v="550"/>
    <x v="11"/>
    <x v="3"/>
    <x v="2"/>
    <x v="3"/>
    <x v="5"/>
    <n v="1"/>
    <x v="5"/>
  </r>
  <r>
    <x v="176"/>
    <x v="1390"/>
    <x v="0"/>
    <x v="0"/>
    <x v="375"/>
    <x v="8"/>
    <x v="0"/>
    <x v="0"/>
    <x v="4"/>
    <x v="5"/>
    <n v="2"/>
    <x v="5"/>
  </r>
  <r>
    <x v="177"/>
    <x v="1391"/>
    <x v="1"/>
    <x v="0"/>
    <x v="551"/>
    <x v="11"/>
    <x v="3"/>
    <x v="1"/>
    <x v="5"/>
    <x v="5"/>
    <n v="3"/>
    <x v="5"/>
  </r>
  <r>
    <x v="177"/>
    <x v="1392"/>
    <x v="1"/>
    <x v="0"/>
    <x v="551"/>
    <x v="8"/>
    <x v="7"/>
    <x v="1"/>
    <x v="5"/>
    <x v="5"/>
    <n v="3"/>
    <x v="5"/>
  </r>
  <r>
    <x v="177"/>
    <x v="1393"/>
    <x v="1"/>
    <x v="0"/>
    <x v="375"/>
    <x v="14"/>
    <x v="2"/>
    <x v="1"/>
    <x v="5"/>
    <x v="5"/>
    <n v="3"/>
    <x v="5"/>
  </r>
  <r>
    <x v="177"/>
    <x v="1394"/>
    <x v="2"/>
    <x v="0"/>
    <x v="552"/>
    <x v="11"/>
    <x v="3"/>
    <x v="1"/>
    <x v="5"/>
    <x v="5"/>
    <n v="3"/>
    <x v="5"/>
  </r>
  <r>
    <x v="178"/>
    <x v="1395"/>
    <x v="11"/>
    <x v="0"/>
    <x v="553"/>
    <x v="14"/>
    <x v="2"/>
    <x v="0"/>
    <x v="6"/>
    <x v="5"/>
    <n v="4"/>
    <x v="5"/>
  </r>
  <r>
    <x v="179"/>
    <x v="1396"/>
    <x v="9"/>
    <x v="0"/>
    <x v="554"/>
    <x v="8"/>
    <x v="0"/>
    <x v="2"/>
    <x v="0"/>
    <x v="5"/>
    <n v="5"/>
    <x v="5"/>
  </r>
  <r>
    <x v="179"/>
    <x v="1397"/>
    <x v="9"/>
    <x v="0"/>
    <x v="554"/>
    <x v="11"/>
    <x v="3"/>
    <x v="2"/>
    <x v="0"/>
    <x v="5"/>
    <n v="5"/>
    <x v="5"/>
  </r>
  <r>
    <x v="179"/>
    <x v="1398"/>
    <x v="9"/>
    <x v="0"/>
    <x v="554"/>
    <x v="11"/>
    <x v="3"/>
    <x v="2"/>
    <x v="0"/>
    <x v="5"/>
    <n v="5"/>
    <x v="5"/>
  </r>
  <r>
    <x v="180"/>
    <x v="1399"/>
    <x v="10"/>
    <x v="0"/>
    <x v="371"/>
    <x v="14"/>
    <x v="5"/>
    <x v="0"/>
    <x v="1"/>
    <x v="5"/>
    <n v="6"/>
    <x v="5"/>
  </r>
  <r>
    <x v="180"/>
    <x v="1400"/>
    <x v="0"/>
    <x v="0"/>
    <x v="555"/>
    <x v="11"/>
    <x v="3"/>
    <x v="0"/>
    <x v="1"/>
    <x v="5"/>
    <n v="6"/>
    <x v="5"/>
  </r>
  <r>
    <x v="180"/>
    <x v="1401"/>
    <x v="0"/>
    <x v="0"/>
    <x v="556"/>
    <x v="15"/>
    <x v="6"/>
    <x v="0"/>
    <x v="1"/>
    <x v="5"/>
    <n v="6"/>
    <x v="5"/>
  </r>
  <r>
    <x v="180"/>
    <x v="1402"/>
    <x v="7"/>
    <x v="0"/>
    <x v="557"/>
    <x v="11"/>
    <x v="3"/>
    <x v="0"/>
    <x v="1"/>
    <x v="5"/>
    <n v="6"/>
    <x v="5"/>
  </r>
  <r>
    <x v="180"/>
    <x v="1403"/>
    <x v="7"/>
    <x v="0"/>
    <x v="141"/>
    <x v="14"/>
    <x v="5"/>
    <x v="0"/>
    <x v="1"/>
    <x v="5"/>
    <n v="6"/>
    <x v="5"/>
  </r>
  <r>
    <x v="180"/>
    <x v="1404"/>
    <x v="7"/>
    <x v="0"/>
    <x v="141"/>
    <x v="14"/>
    <x v="5"/>
    <x v="0"/>
    <x v="1"/>
    <x v="5"/>
    <n v="6"/>
    <x v="5"/>
  </r>
  <r>
    <x v="181"/>
    <x v="1405"/>
    <x v="10"/>
    <x v="0"/>
    <x v="141"/>
    <x v="14"/>
    <x v="5"/>
    <x v="0"/>
    <x v="2"/>
    <x v="6"/>
    <n v="7"/>
    <x v="6"/>
  </r>
  <r>
    <x v="181"/>
    <x v="1406"/>
    <x v="1"/>
    <x v="0"/>
    <x v="558"/>
    <x v="8"/>
    <x v="7"/>
    <x v="1"/>
    <x v="2"/>
    <x v="6"/>
    <n v="7"/>
    <x v="6"/>
  </r>
  <r>
    <x v="181"/>
    <x v="1407"/>
    <x v="1"/>
    <x v="0"/>
    <x v="181"/>
    <x v="11"/>
    <x v="3"/>
    <x v="1"/>
    <x v="2"/>
    <x v="6"/>
    <n v="7"/>
    <x v="6"/>
  </r>
  <r>
    <x v="181"/>
    <x v="1408"/>
    <x v="1"/>
    <x v="0"/>
    <x v="181"/>
    <x v="14"/>
    <x v="2"/>
    <x v="1"/>
    <x v="2"/>
    <x v="6"/>
    <n v="7"/>
    <x v="6"/>
  </r>
  <r>
    <x v="181"/>
    <x v="1409"/>
    <x v="1"/>
    <x v="0"/>
    <x v="559"/>
    <x v="11"/>
    <x v="3"/>
    <x v="1"/>
    <x v="2"/>
    <x v="6"/>
    <n v="7"/>
    <x v="6"/>
  </r>
  <r>
    <x v="181"/>
    <x v="1410"/>
    <x v="2"/>
    <x v="0"/>
    <x v="560"/>
    <x v="8"/>
    <x v="0"/>
    <x v="1"/>
    <x v="2"/>
    <x v="6"/>
    <n v="7"/>
    <x v="6"/>
  </r>
  <r>
    <x v="181"/>
    <x v="1411"/>
    <x v="8"/>
    <x v="0"/>
    <x v="385"/>
    <x v="11"/>
    <x v="3"/>
    <x v="1"/>
    <x v="2"/>
    <x v="6"/>
    <n v="7"/>
    <x v="6"/>
  </r>
  <r>
    <x v="181"/>
    <x v="1412"/>
    <x v="9"/>
    <x v="0"/>
    <x v="561"/>
    <x v="8"/>
    <x v="0"/>
    <x v="2"/>
    <x v="2"/>
    <x v="6"/>
    <n v="7"/>
    <x v="6"/>
  </r>
  <r>
    <x v="181"/>
    <x v="1413"/>
    <x v="9"/>
    <x v="0"/>
    <x v="562"/>
    <x v="8"/>
    <x v="0"/>
    <x v="2"/>
    <x v="2"/>
    <x v="6"/>
    <n v="7"/>
    <x v="6"/>
  </r>
  <r>
    <x v="181"/>
    <x v="1414"/>
    <x v="9"/>
    <x v="0"/>
    <x v="563"/>
    <x v="8"/>
    <x v="0"/>
    <x v="2"/>
    <x v="2"/>
    <x v="6"/>
    <n v="7"/>
    <x v="6"/>
  </r>
  <r>
    <x v="182"/>
    <x v="1415"/>
    <x v="13"/>
    <x v="0"/>
    <x v="425"/>
    <x v="8"/>
    <x v="0"/>
    <x v="0"/>
    <x v="3"/>
    <x v="6"/>
    <n v="1"/>
    <x v="6"/>
  </r>
  <r>
    <x v="182"/>
    <x v="1416"/>
    <x v="13"/>
    <x v="0"/>
    <x v="564"/>
    <x v="11"/>
    <x v="3"/>
    <x v="0"/>
    <x v="3"/>
    <x v="6"/>
    <n v="1"/>
    <x v="6"/>
  </r>
  <r>
    <x v="182"/>
    <x v="1417"/>
    <x v="13"/>
    <x v="0"/>
    <x v="565"/>
    <x v="8"/>
    <x v="0"/>
    <x v="0"/>
    <x v="3"/>
    <x v="6"/>
    <n v="1"/>
    <x v="6"/>
  </r>
  <r>
    <x v="182"/>
    <x v="1418"/>
    <x v="8"/>
    <x v="0"/>
    <x v="566"/>
    <x v="11"/>
    <x v="3"/>
    <x v="1"/>
    <x v="3"/>
    <x v="6"/>
    <n v="1"/>
    <x v="6"/>
  </r>
  <r>
    <x v="182"/>
    <x v="1419"/>
    <x v="12"/>
    <x v="0"/>
    <x v="567"/>
    <x v="8"/>
    <x v="7"/>
    <x v="2"/>
    <x v="3"/>
    <x v="6"/>
    <n v="1"/>
    <x v="6"/>
  </r>
  <r>
    <x v="182"/>
    <x v="1420"/>
    <x v="12"/>
    <x v="0"/>
    <x v="179"/>
    <x v="8"/>
    <x v="4"/>
    <x v="2"/>
    <x v="3"/>
    <x v="6"/>
    <n v="1"/>
    <x v="6"/>
  </r>
  <r>
    <x v="182"/>
    <x v="1421"/>
    <x v="12"/>
    <x v="0"/>
    <x v="568"/>
    <x v="14"/>
    <x v="2"/>
    <x v="2"/>
    <x v="3"/>
    <x v="6"/>
    <n v="1"/>
    <x v="6"/>
  </r>
  <r>
    <x v="182"/>
    <x v="1422"/>
    <x v="12"/>
    <x v="0"/>
    <x v="568"/>
    <x v="14"/>
    <x v="2"/>
    <x v="2"/>
    <x v="3"/>
    <x v="6"/>
    <n v="1"/>
    <x v="6"/>
  </r>
  <r>
    <x v="183"/>
    <x v="1423"/>
    <x v="13"/>
    <x v="0"/>
    <x v="569"/>
    <x v="8"/>
    <x v="4"/>
    <x v="0"/>
    <x v="4"/>
    <x v="6"/>
    <n v="2"/>
    <x v="6"/>
  </r>
  <r>
    <x v="183"/>
    <x v="1424"/>
    <x v="13"/>
    <x v="0"/>
    <x v="168"/>
    <x v="8"/>
    <x v="7"/>
    <x v="0"/>
    <x v="4"/>
    <x v="6"/>
    <n v="2"/>
    <x v="6"/>
  </r>
  <r>
    <x v="183"/>
    <x v="1425"/>
    <x v="13"/>
    <x v="0"/>
    <x v="570"/>
    <x v="8"/>
    <x v="0"/>
    <x v="0"/>
    <x v="4"/>
    <x v="6"/>
    <n v="2"/>
    <x v="6"/>
  </r>
  <r>
    <x v="183"/>
    <x v="1426"/>
    <x v="10"/>
    <x v="0"/>
    <x v="571"/>
    <x v="11"/>
    <x v="3"/>
    <x v="0"/>
    <x v="4"/>
    <x v="6"/>
    <n v="2"/>
    <x v="6"/>
  </r>
  <r>
    <x v="183"/>
    <x v="1427"/>
    <x v="10"/>
    <x v="0"/>
    <x v="571"/>
    <x v="8"/>
    <x v="7"/>
    <x v="0"/>
    <x v="4"/>
    <x v="6"/>
    <n v="2"/>
    <x v="6"/>
  </r>
  <r>
    <x v="183"/>
    <x v="1428"/>
    <x v="10"/>
    <x v="0"/>
    <x v="572"/>
    <x v="8"/>
    <x v="4"/>
    <x v="0"/>
    <x v="4"/>
    <x v="6"/>
    <n v="2"/>
    <x v="6"/>
  </r>
  <r>
    <x v="183"/>
    <x v="1429"/>
    <x v="10"/>
    <x v="0"/>
    <x v="572"/>
    <x v="8"/>
    <x v="4"/>
    <x v="0"/>
    <x v="4"/>
    <x v="6"/>
    <n v="2"/>
    <x v="6"/>
  </r>
  <r>
    <x v="183"/>
    <x v="1430"/>
    <x v="10"/>
    <x v="0"/>
    <x v="385"/>
    <x v="11"/>
    <x v="3"/>
    <x v="0"/>
    <x v="4"/>
    <x v="6"/>
    <n v="2"/>
    <x v="6"/>
  </r>
  <r>
    <x v="183"/>
    <x v="1431"/>
    <x v="10"/>
    <x v="0"/>
    <x v="573"/>
    <x v="11"/>
    <x v="3"/>
    <x v="0"/>
    <x v="4"/>
    <x v="6"/>
    <n v="2"/>
    <x v="6"/>
  </r>
  <r>
    <x v="183"/>
    <x v="1432"/>
    <x v="10"/>
    <x v="0"/>
    <x v="574"/>
    <x v="8"/>
    <x v="0"/>
    <x v="0"/>
    <x v="4"/>
    <x v="6"/>
    <n v="2"/>
    <x v="6"/>
  </r>
  <r>
    <x v="183"/>
    <x v="1433"/>
    <x v="10"/>
    <x v="0"/>
    <x v="575"/>
    <x v="8"/>
    <x v="4"/>
    <x v="0"/>
    <x v="4"/>
    <x v="6"/>
    <n v="2"/>
    <x v="6"/>
  </r>
  <r>
    <x v="183"/>
    <x v="1434"/>
    <x v="1"/>
    <x v="0"/>
    <x v="576"/>
    <x v="14"/>
    <x v="5"/>
    <x v="1"/>
    <x v="4"/>
    <x v="6"/>
    <n v="2"/>
    <x v="6"/>
  </r>
  <r>
    <x v="183"/>
    <x v="1435"/>
    <x v="8"/>
    <x v="0"/>
    <x v="333"/>
    <x v="11"/>
    <x v="3"/>
    <x v="1"/>
    <x v="4"/>
    <x v="6"/>
    <n v="2"/>
    <x v="6"/>
  </r>
  <r>
    <x v="183"/>
    <x v="1436"/>
    <x v="8"/>
    <x v="0"/>
    <x v="333"/>
    <x v="11"/>
    <x v="3"/>
    <x v="1"/>
    <x v="4"/>
    <x v="6"/>
    <n v="2"/>
    <x v="6"/>
  </r>
  <r>
    <x v="183"/>
    <x v="1437"/>
    <x v="5"/>
    <x v="0"/>
    <x v="333"/>
    <x v="11"/>
    <x v="3"/>
    <x v="2"/>
    <x v="4"/>
    <x v="6"/>
    <n v="2"/>
    <x v="6"/>
  </r>
  <r>
    <x v="183"/>
    <x v="1438"/>
    <x v="6"/>
    <x v="0"/>
    <x v="467"/>
    <x v="8"/>
    <x v="0"/>
    <x v="2"/>
    <x v="4"/>
    <x v="6"/>
    <n v="2"/>
    <x v="6"/>
  </r>
  <r>
    <x v="183"/>
    <x v="1439"/>
    <x v="6"/>
    <x v="0"/>
    <x v="467"/>
    <x v="11"/>
    <x v="3"/>
    <x v="2"/>
    <x v="4"/>
    <x v="6"/>
    <n v="2"/>
    <x v="6"/>
  </r>
  <r>
    <x v="184"/>
    <x v="1440"/>
    <x v="7"/>
    <x v="0"/>
    <x v="577"/>
    <x v="11"/>
    <x v="3"/>
    <x v="0"/>
    <x v="5"/>
    <x v="6"/>
    <n v="3"/>
    <x v="6"/>
  </r>
  <r>
    <x v="184"/>
    <x v="1441"/>
    <x v="7"/>
    <x v="0"/>
    <x v="510"/>
    <x v="8"/>
    <x v="0"/>
    <x v="0"/>
    <x v="5"/>
    <x v="6"/>
    <n v="3"/>
    <x v="6"/>
  </r>
  <r>
    <x v="184"/>
    <x v="1442"/>
    <x v="7"/>
    <x v="0"/>
    <x v="19"/>
    <x v="14"/>
    <x v="2"/>
    <x v="0"/>
    <x v="5"/>
    <x v="6"/>
    <n v="3"/>
    <x v="6"/>
  </r>
  <r>
    <x v="184"/>
    <x v="1443"/>
    <x v="7"/>
    <x v="0"/>
    <x v="578"/>
    <x v="11"/>
    <x v="3"/>
    <x v="0"/>
    <x v="5"/>
    <x v="6"/>
    <n v="3"/>
    <x v="6"/>
  </r>
  <r>
    <x v="184"/>
    <x v="1444"/>
    <x v="1"/>
    <x v="0"/>
    <x v="565"/>
    <x v="8"/>
    <x v="0"/>
    <x v="1"/>
    <x v="5"/>
    <x v="6"/>
    <n v="3"/>
    <x v="6"/>
  </r>
  <r>
    <x v="184"/>
    <x v="1445"/>
    <x v="2"/>
    <x v="0"/>
    <x v="579"/>
    <x v="8"/>
    <x v="0"/>
    <x v="1"/>
    <x v="5"/>
    <x v="6"/>
    <n v="3"/>
    <x v="6"/>
  </r>
  <r>
    <x v="184"/>
    <x v="1446"/>
    <x v="2"/>
    <x v="0"/>
    <x v="579"/>
    <x v="11"/>
    <x v="3"/>
    <x v="1"/>
    <x v="5"/>
    <x v="6"/>
    <n v="3"/>
    <x v="6"/>
  </r>
  <r>
    <x v="184"/>
    <x v="1447"/>
    <x v="5"/>
    <x v="0"/>
    <x v="580"/>
    <x v="8"/>
    <x v="7"/>
    <x v="2"/>
    <x v="5"/>
    <x v="6"/>
    <n v="3"/>
    <x v="6"/>
  </r>
  <r>
    <x v="184"/>
    <x v="1448"/>
    <x v="6"/>
    <x v="0"/>
    <x v="97"/>
    <x v="11"/>
    <x v="3"/>
    <x v="2"/>
    <x v="5"/>
    <x v="6"/>
    <n v="3"/>
    <x v="6"/>
  </r>
  <r>
    <x v="184"/>
    <x v="1449"/>
    <x v="15"/>
    <x v="0"/>
    <x v="494"/>
    <x v="8"/>
    <x v="0"/>
    <x v="2"/>
    <x v="5"/>
    <x v="6"/>
    <n v="3"/>
    <x v="6"/>
  </r>
  <r>
    <x v="185"/>
    <x v="1450"/>
    <x v="10"/>
    <x v="0"/>
    <x v="385"/>
    <x v="11"/>
    <x v="3"/>
    <x v="0"/>
    <x v="6"/>
    <x v="6"/>
    <n v="4"/>
    <x v="6"/>
  </r>
  <r>
    <x v="185"/>
    <x v="1451"/>
    <x v="0"/>
    <x v="0"/>
    <x v="581"/>
    <x v="11"/>
    <x v="3"/>
    <x v="0"/>
    <x v="6"/>
    <x v="6"/>
    <n v="4"/>
    <x v="6"/>
  </r>
  <r>
    <x v="185"/>
    <x v="1452"/>
    <x v="7"/>
    <x v="0"/>
    <x v="19"/>
    <x v="14"/>
    <x v="2"/>
    <x v="0"/>
    <x v="6"/>
    <x v="6"/>
    <n v="4"/>
    <x v="6"/>
  </r>
  <r>
    <x v="185"/>
    <x v="1453"/>
    <x v="8"/>
    <x v="0"/>
    <x v="582"/>
    <x v="8"/>
    <x v="0"/>
    <x v="1"/>
    <x v="6"/>
    <x v="6"/>
    <n v="4"/>
    <x v="6"/>
  </r>
  <r>
    <x v="185"/>
    <x v="1454"/>
    <x v="3"/>
    <x v="0"/>
    <x v="583"/>
    <x v="8"/>
    <x v="0"/>
    <x v="1"/>
    <x v="6"/>
    <x v="6"/>
    <n v="4"/>
    <x v="6"/>
  </r>
  <r>
    <x v="185"/>
    <x v="1455"/>
    <x v="4"/>
    <x v="0"/>
    <x v="584"/>
    <x v="14"/>
    <x v="2"/>
    <x v="1"/>
    <x v="6"/>
    <x v="6"/>
    <n v="4"/>
    <x v="6"/>
  </r>
  <r>
    <x v="185"/>
    <x v="1456"/>
    <x v="4"/>
    <x v="0"/>
    <x v="585"/>
    <x v="11"/>
    <x v="3"/>
    <x v="1"/>
    <x v="6"/>
    <x v="6"/>
    <n v="4"/>
    <x v="6"/>
  </r>
  <r>
    <x v="185"/>
    <x v="1457"/>
    <x v="9"/>
    <x v="0"/>
    <x v="586"/>
    <x v="8"/>
    <x v="7"/>
    <x v="2"/>
    <x v="6"/>
    <x v="6"/>
    <n v="4"/>
    <x v="6"/>
  </r>
  <r>
    <x v="185"/>
    <x v="1458"/>
    <x v="9"/>
    <x v="0"/>
    <x v="586"/>
    <x v="8"/>
    <x v="7"/>
    <x v="2"/>
    <x v="6"/>
    <x v="6"/>
    <n v="4"/>
    <x v="6"/>
  </r>
  <r>
    <x v="185"/>
    <x v="1459"/>
    <x v="12"/>
    <x v="0"/>
    <x v="587"/>
    <x v="8"/>
    <x v="7"/>
    <x v="2"/>
    <x v="6"/>
    <x v="6"/>
    <n v="4"/>
    <x v="6"/>
  </r>
  <r>
    <x v="185"/>
    <x v="1460"/>
    <x v="12"/>
    <x v="0"/>
    <x v="588"/>
    <x v="14"/>
    <x v="2"/>
    <x v="2"/>
    <x v="6"/>
    <x v="6"/>
    <n v="4"/>
    <x v="6"/>
  </r>
  <r>
    <x v="185"/>
    <x v="1461"/>
    <x v="12"/>
    <x v="0"/>
    <x v="588"/>
    <x v="8"/>
    <x v="7"/>
    <x v="2"/>
    <x v="6"/>
    <x v="6"/>
    <n v="4"/>
    <x v="6"/>
  </r>
  <r>
    <x v="185"/>
    <x v="1462"/>
    <x v="15"/>
    <x v="0"/>
    <x v="40"/>
    <x v="11"/>
    <x v="3"/>
    <x v="2"/>
    <x v="6"/>
    <x v="6"/>
    <n v="4"/>
    <x v="6"/>
  </r>
  <r>
    <x v="185"/>
    <x v="1463"/>
    <x v="15"/>
    <x v="0"/>
    <x v="40"/>
    <x v="11"/>
    <x v="3"/>
    <x v="2"/>
    <x v="6"/>
    <x v="6"/>
    <n v="4"/>
    <x v="6"/>
  </r>
  <r>
    <x v="186"/>
    <x v="1464"/>
    <x v="13"/>
    <x v="0"/>
    <x v="582"/>
    <x v="8"/>
    <x v="7"/>
    <x v="0"/>
    <x v="0"/>
    <x v="6"/>
    <n v="5"/>
    <x v="6"/>
  </r>
  <r>
    <x v="186"/>
    <x v="1465"/>
    <x v="13"/>
    <x v="0"/>
    <x v="425"/>
    <x v="8"/>
    <x v="0"/>
    <x v="0"/>
    <x v="0"/>
    <x v="6"/>
    <n v="5"/>
    <x v="6"/>
  </r>
  <r>
    <x v="186"/>
    <x v="1466"/>
    <x v="13"/>
    <x v="0"/>
    <x v="589"/>
    <x v="14"/>
    <x v="2"/>
    <x v="0"/>
    <x v="0"/>
    <x v="6"/>
    <n v="5"/>
    <x v="6"/>
  </r>
  <r>
    <x v="186"/>
    <x v="1467"/>
    <x v="10"/>
    <x v="0"/>
    <x v="590"/>
    <x v="15"/>
    <x v="6"/>
    <x v="0"/>
    <x v="0"/>
    <x v="6"/>
    <n v="5"/>
    <x v="6"/>
  </r>
  <r>
    <x v="186"/>
    <x v="1468"/>
    <x v="10"/>
    <x v="0"/>
    <x v="590"/>
    <x v="8"/>
    <x v="0"/>
    <x v="0"/>
    <x v="0"/>
    <x v="6"/>
    <n v="5"/>
    <x v="6"/>
  </r>
  <r>
    <x v="186"/>
    <x v="1469"/>
    <x v="0"/>
    <x v="0"/>
    <x v="591"/>
    <x v="8"/>
    <x v="1"/>
    <x v="0"/>
    <x v="0"/>
    <x v="6"/>
    <n v="5"/>
    <x v="6"/>
  </r>
  <r>
    <x v="186"/>
    <x v="1470"/>
    <x v="7"/>
    <x v="0"/>
    <x v="95"/>
    <x v="15"/>
    <x v="6"/>
    <x v="0"/>
    <x v="0"/>
    <x v="6"/>
    <n v="5"/>
    <x v="6"/>
  </r>
  <r>
    <x v="186"/>
    <x v="1471"/>
    <x v="7"/>
    <x v="0"/>
    <x v="467"/>
    <x v="15"/>
    <x v="6"/>
    <x v="0"/>
    <x v="0"/>
    <x v="6"/>
    <n v="5"/>
    <x v="6"/>
  </r>
  <r>
    <x v="186"/>
    <x v="1472"/>
    <x v="12"/>
    <x v="0"/>
    <x v="283"/>
    <x v="8"/>
    <x v="0"/>
    <x v="2"/>
    <x v="0"/>
    <x v="6"/>
    <n v="5"/>
    <x v="6"/>
  </r>
  <r>
    <x v="186"/>
    <x v="1473"/>
    <x v="15"/>
    <x v="0"/>
    <x v="507"/>
    <x v="8"/>
    <x v="0"/>
    <x v="2"/>
    <x v="0"/>
    <x v="6"/>
    <n v="5"/>
    <x v="6"/>
  </r>
  <r>
    <x v="187"/>
    <x v="1474"/>
    <x v="13"/>
    <x v="0"/>
    <x v="592"/>
    <x v="8"/>
    <x v="0"/>
    <x v="0"/>
    <x v="1"/>
    <x v="6"/>
    <n v="6"/>
    <x v="6"/>
  </r>
  <r>
    <x v="187"/>
    <x v="1475"/>
    <x v="10"/>
    <x v="0"/>
    <x v="543"/>
    <x v="14"/>
    <x v="5"/>
    <x v="0"/>
    <x v="1"/>
    <x v="6"/>
    <n v="6"/>
    <x v="6"/>
  </r>
  <r>
    <x v="187"/>
    <x v="1476"/>
    <x v="10"/>
    <x v="0"/>
    <x v="543"/>
    <x v="14"/>
    <x v="5"/>
    <x v="0"/>
    <x v="1"/>
    <x v="6"/>
    <n v="6"/>
    <x v="6"/>
  </r>
  <r>
    <x v="187"/>
    <x v="1477"/>
    <x v="10"/>
    <x v="0"/>
    <x v="593"/>
    <x v="14"/>
    <x v="5"/>
    <x v="0"/>
    <x v="1"/>
    <x v="6"/>
    <n v="6"/>
    <x v="6"/>
  </r>
  <r>
    <x v="187"/>
    <x v="1478"/>
    <x v="10"/>
    <x v="0"/>
    <x v="276"/>
    <x v="11"/>
    <x v="3"/>
    <x v="0"/>
    <x v="1"/>
    <x v="6"/>
    <n v="6"/>
    <x v="6"/>
  </r>
  <r>
    <x v="187"/>
    <x v="1479"/>
    <x v="10"/>
    <x v="0"/>
    <x v="276"/>
    <x v="11"/>
    <x v="3"/>
    <x v="0"/>
    <x v="1"/>
    <x v="6"/>
    <n v="6"/>
    <x v="6"/>
  </r>
  <r>
    <x v="187"/>
    <x v="1480"/>
    <x v="0"/>
    <x v="0"/>
    <x v="141"/>
    <x v="14"/>
    <x v="5"/>
    <x v="0"/>
    <x v="1"/>
    <x v="6"/>
    <n v="6"/>
    <x v="6"/>
  </r>
  <r>
    <x v="187"/>
    <x v="1481"/>
    <x v="0"/>
    <x v="0"/>
    <x v="594"/>
    <x v="14"/>
    <x v="2"/>
    <x v="0"/>
    <x v="1"/>
    <x v="6"/>
    <n v="6"/>
    <x v="6"/>
  </r>
  <r>
    <x v="187"/>
    <x v="1482"/>
    <x v="0"/>
    <x v="0"/>
    <x v="595"/>
    <x v="15"/>
    <x v="6"/>
    <x v="0"/>
    <x v="1"/>
    <x v="6"/>
    <n v="6"/>
    <x v="6"/>
  </r>
  <r>
    <x v="187"/>
    <x v="1483"/>
    <x v="0"/>
    <x v="0"/>
    <x v="595"/>
    <x v="15"/>
    <x v="6"/>
    <x v="0"/>
    <x v="1"/>
    <x v="6"/>
    <n v="6"/>
    <x v="6"/>
  </r>
  <r>
    <x v="187"/>
    <x v="1484"/>
    <x v="0"/>
    <x v="0"/>
    <x v="596"/>
    <x v="8"/>
    <x v="0"/>
    <x v="0"/>
    <x v="1"/>
    <x v="6"/>
    <n v="6"/>
    <x v="6"/>
  </r>
  <r>
    <x v="187"/>
    <x v="1485"/>
    <x v="7"/>
    <x v="0"/>
    <x v="12"/>
    <x v="11"/>
    <x v="3"/>
    <x v="0"/>
    <x v="1"/>
    <x v="6"/>
    <n v="6"/>
    <x v="6"/>
  </r>
  <r>
    <x v="187"/>
    <x v="1486"/>
    <x v="7"/>
    <x v="0"/>
    <x v="19"/>
    <x v="14"/>
    <x v="2"/>
    <x v="0"/>
    <x v="1"/>
    <x v="6"/>
    <n v="6"/>
    <x v="6"/>
  </r>
  <r>
    <x v="187"/>
    <x v="1487"/>
    <x v="7"/>
    <x v="0"/>
    <x v="12"/>
    <x v="15"/>
    <x v="6"/>
    <x v="0"/>
    <x v="1"/>
    <x v="6"/>
    <n v="6"/>
    <x v="6"/>
  </r>
  <r>
    <x v="187"/>
    <x v="1488"/>
    <x v="3"/>
    <x v="0"/>
    <x v="597"/>
    <x v="8"/>
    <x v="0"/>
    <x v="1"/>
    <x v="1"/>
    <x v="6"/>
    <n v="6"/>
    <x v="6"/>
  </r>
  <r>
    <x v="187"/>
    <x v="1489"/>
    <x v="4"/>
    <x v="0"/>
    <x v="19"/>
    <x v="14"/>
    <x v="2"/>
    <x v="1"/>
    <x v="1"/>
    <x v="6"/>
    <n v="6"/>
    <x v="6"/>
  </r>
  <r>
    <x v="187"/>
    <x v="1490"/>
    <x v="4"/>
    <x v="0"/>
    <x v="12"/>
    <x v="15"/>
    <x v="6"/>
    <x v="1"/>
    <x v="1"/>
    <x v="6"/>
    <n v="6"/>
    <x v="6"/>
  </r>
  <r>
    <x v="187"/>
    <x v="1491"/>
    <x v="6"/>
    <x v="0"/>
    <x v="283"/>
    <x v="8"/>
    <x v="4"/>
    <x v="2"/>
    <x v="1"/>
    <x v="6"/>
    <n v="6"/>
    <x v="6"/>
  </r>
  <r>
    <x v="187"/>
    <x v="1492"/>
    <x v="6"/>
    <x v="0"/>
    <x v="283"/>
    <x v="8"/>
    <x v="0"/>
    <x v="2"/>
    <x v="1"/>
    <x v="6"/>
    <n v="6"/>
    <x v="6"/>
  </r>
  <r>
    <x v="187"/>
    <x v="1493"/>
    <x v="6"/>
    <x v="0"/>
    <x v="283"/>
    <x v="8"/>
    <x v="0"/>
    <x v="2"/>
    <x v="1"/>
    <x v="6"/>
    <n v="6"/>
    <x v="6"/>
  </r>
  <r>
    <x v="187"/>
    <x v="1494"/>
    <x v="12"/>
    <x v="0"/>
    <x v="598"/>
    <x v="8"/>
    <x v="0"/>
    <x v="2"/>
    <x v="1"/>
    <x v="6"/>
    <n v="6"/>
    <x v="6"/>
  </r>
  <r>
    <x v="187"/>
    <x v="1495"/>
    <x v="12"/>
    <x v="0"/>
    <x v="598"/>
    <x v="8"/>
    <x v="0"/>
    <x v="2"/>
    <x v="1"/>
    <x v="6"/>
    <n v="6"/>
    <x v="6"/>
  </r>
  <r>
    <x v="188"/>
    <x v="1496"/>
    <x v="13"/>
    <x v="0"/>
    <x v="141"/>
    <x v="14"/>
    <x v="5"/>
    <x v="0"/>
    <x v="2"/>
    <x v="6"/>
    <n v="7"/>
    <x v="6"/>
  </r>
  <r>
    <x v="188"/>
    <x v="1497"/>
    <x v="10"/>
    <x v="0"/>
    <x v="543"/>
    <x v="14"/>
    <x v="5"/>
    <x v="0"/>
    <x v="2"/>
    <x v="6"/>
    <n v="7"/>
    <x v="6"/>
  </r>
  <r>
    <x v="188"/>
    <x v="1498"/>
    <x v="10"/>
    <x v="0"/>
    <x v="543"/>
    <x v="14"/>
    <x v="5"/>
    <x v="0"/>
    <x v="2"/>
    <x v="6"/>
    <n v="7"/>
    <x v="6"/>
  </r>
  <r>
    <x v="188"/>
    <x v="1499"/>
    <x v="0"/>
    <x v="0"/>
    <x v="543"/>
    <x v="14"/>
    <x v="5"/>
    <x v="0"/>
    <x v="2"/>
    <x v="6"/>
    <n v="7"/>
    <x v="6"/>
  </r>
  <r>
    <x v="188"/>
    <x v="1500"/>
    <x v="1"/>
    <x v="0"/>
    <x v="486"/>
    <x v="14"/>
    <x v="5"/>
    <x v="1"/>
    <x v="2"/>
    <x v="6"/>
    <n v="7"/>
    <x v="6"/>
  </r>
  <r>
    <x v="188"/>
    <x v="1501"/>
    <x v="12"/>
    <x v="0"/>
    <x v="347"/>
    <x v="14"/>
    <x v="2"/>
    <x v="2"/>
    <x v="2"/>
    <x v="6"/>
    <n v="7"/>
    <x v="6"/>
  </r>
  <r>
    <x v="189"/>
    <x v="1502"/>
    <x v="11"/>
    <x v="0"/>
    <x v="599"/>
    <x v="8"/>
    <x v="0"/>
    <x v="0"/>
    <x v="3"/>
    <x v="6"/>
    <n v="1"/>
    <x v="6"/>
  </r>
  <r>
    <x v="189"/>
    <x v="1503"/>
    <x v="11"/>
    <x v="0"/>
    <x v="582"/>
    <x v="8"/>
    <x v="7"/>
    <x v="0"/>
    <x v="3"/>
    <x v="6"/>
    <n v="1"/>
    <x v="6"/>
  </r>
  <r>
    <x v="189"/>
    <x v="1504"/>
    <x v="11"/>
    <x v="0"/>
    <x v="599"/>
    <x v="11"/>
    <x v="3"/>
    <x v="0"/>
    <x v="3"/>
    <x v="6"/>
    <n v="1"/>
    <x v="6"/>
  </r>
  <r>
    <x v="189"/>
    <x v="1505"/>
    <x v="11"/>
    <x v="0"/>
    <x v="570"/>
    <x v="8"/>
    <x v="0"/>
    <x v="0"/>
    <x v="3"/>
    <x v="6"/>
    <n v="1"/>
    <x v="6"/>
  </r>
  <r>
    <x v="189"/>
    <x v="1506"/>
    <x v="10"/>
    <x v="0"/>
    <x v="583"/>
    <x v="8"/>
    <x v="0"/>
    <x v="0"/>
    <x v="3"/>
    <x v="6"/>
    <n v="1"/>
    <x v="6"/>
  </r>
  <r>
    <x v="189"/>
    <x v="1507"/>
    <x v="10"/>
    <x v="0"/>
    <x v="583"/>
    <x v="8"/>
    <x v="1"/>
    <x v="0"/>
    <x v="3"/>
    <x v="6"/>
    <n v="1"/>
    <x v="6"/>
  </r>
  <r>
    <x v="189"/>
    <x v="1508"/>
    <x v="10"/>
    <x v="0"/>
    <x v="494"/>
    <x v="8"/>
    <x v="0"/>
    <x v="0"/>
    <x v="3"/>
    <x v="6"/>
    <n v="1"/>
    <x v="6"/>
  </r>
  <r>
    <x v="189"/>
    <x v="1509"/>
    <x v="7"/>
    <x v="0"/>
    <x v="600"/>
    <x v="11"/>
    <x v="3"/>
    <x v="0"/>
    <x v="3"/>
    <x v="6"/>
    <n v="1"/>
    <x v="6"/>
  </r>
  <r>
    <x v="189"/>
    <x v="1510"/>
    <x v="7"/>
    <x v="0"/>
    <x v="601"/>
    <x v="11"/>
    <x v="3"/>
    <x v="0"/>
    <x v="3"/>
    <x v="6"/>
    <n v="1"/>
    <x v="6"/>
  </r>
  <r>
    <x v="189"/>
    <x v="1511"/>
    <x v="7"/>
    <x v="0"/>
    <x v="602"/>
    <x v="8"/>
    <x v="0"/>
    <x v="0"/>
    <x v="3"/>
    <x v="6"/>
    <n v="1"/>
    <x v="6"/>
  </r>
  <r>
    <x v="189"/>
    <x v="1512"/>
    <x v="1"/>
    <x v="0"/>
    <x v="603"/>
    <x v="15"/>
    <x v="6"/>
    <x v="1"/>
    <x v="3"/>
    <x v="6"/>
    <n v="1"/>
    <x v="6"/>
  </r>
  <r>
    <x v="189"/>
    <x v="1513"/>
    <x v="3"/>
    <x v="0"/>
    <x v="604"/>
    <x v="8"/>
    <x v="0"/>
    <x v="1"/>
    <x v="3"/>
    <x v="6"/>
    <n v="1"/>
    <x v="6"/>
  </r>
  <r>
    <x v="189"/>
    <x v="1514"/>
    <x v="3"/>
    <x v="0"/>
    <x v="604"/>
    <x v="14"/>
    <x v="2"/>
    <x v="1"/>
    <x v="3"/>
    <x v="6"/>
    <n v="1"/>
    <x v="6"/>
  </r>
  <r>
    <x v="189"/>
    <x v="1515"/>
    <x v="9"/>
    <x v="0"/>
    <x v="605"/>
    <x v="8"/>
    <x v="0"/>
    <x v="2"/>
    <x v="3"/>
    <x v="6"/>
    <n v="1"/>
    <x v="6"/>
  </r>
  <r>
    <x v="189"/>
    <x v="1516"/>
    <x v="5"/>
    <x v="0"/>
    <x v="507"/>
    <x v="8"/>
    <x v="0"/>
    <x v="2"/>
    <x v="3"/>
    <x v="6"/>
    <n v="1"/>
    <x v="6"/>
  </r>
  <r>
    <x v="189"/>
    <x v="1517"/>
    <x v="12"/>
    <x v="0"/>
    <x v="268"/>
    <x v="8"/>
    <x v="7"/>
    <x v="2"/>
    <x v="3"/>
    <x v="6"/>
    <n v="1"/>
    <x v="6"/>
  </r>
  <r>
    <x v="189"/>
    <x v="1518"/>
    <x v="12"/>
    <x v="0"/>
    <x v="606"/>
    <x v="8"/>
    <x v="0"/>
    <x v="2"/>
    <x v="3"/>
    <x v="6"/>
    <n v="1"/>
    <x v="6"/>
  </r>
  <r>
    <x v="190"/>
    <x v="1519"/>
    <x v="13"/>
    <x v="0"/>
    <x v="607"/>
    <x v="8"/>
    <x v="1"/>
    <x v="0"/>
    <x v="4"/>
    <x v="6"/>
    <n v="2"/>
    <x v="6"/>
  </r>
  <r>
    <x v="190"/>
    <x v="1520"/>
    <x v="10"/>
    <x v="0"/>
    <x v="608"/>
    <x v="8"/>
    <x v="7"/>
    <x v="0"/>
    <x v="4"/>
    <x v="6"/>
    <n v="2"/>
    <x v="6"/>
  </r>
  <r>
    <x v="190"/>
    <x v="1521"/>
    <x v="3"/>
    <x v="0"/>
    <x v="543"/>
    <x v="14"/>
    <x v="5"/>
    <x v="1"/>
    <x v="4"/>
    <x v="6"/>
    <n v="2"/>
    <x v="6"/>
  </r>
  <r>
    <x v="190"/>
    <x v="1522"/>
    <x v="3"/>
    <x v="0"/>
    <x v="543"/>
    <x v="14"/>
    <x v="5"/>
    <x v="1"/>
    <x v="4"/>
    <x v="6"/>
    <n v="2"/>
    <x v="6"/>
  </r>
  <r>
    <x v="190"/>
    <x v="1523"/>
    <x v="5"/>
    <x v="0"/>
    <x v="609"/>
    <x v="8"/>
    <x v="7"/>
    <x v="2"/>
    <x v="4"/>
    <x v="6"/>
    <n v="2"/>
    <x v="6"/>
  </r>
  <r>
    <x v="190"/>
    <x v="1524"/>
    <x v="5"/>
    <x v="0"/>
    <x v="610"/>
    <x v="11"/>
    <x v="3"/>
    <x v="2"/>
    <x v="4"/>
    <x v="6"/>
    <n v="2"/>
    <x v="6"/>
  </r>
  <r>
    <x v="190"/>
    <x v="1525"/>
    <x v="6"/>
    <x v="0"/>
    <x v="611"/>
    <x v="8"/>
    <x v="0"/>
    <x v="2"/>
    <x v="4"/>
    <x v="6"/>
    <n v="2"/>
    <x v="6"/>
  </r>
  <r>
    <x v="190"/>
    <x v="1526"/>
    <x v="6"/>
    <x v="0"/>
    <x v="611"/>
    <x v="8"/>
    <x v="0"/>
    <x v="2"/>
    <x v="4"/>
    <x v="6"/>
    <n v="2"/>
    <x v="6"/>
  </r>
  <r>
    <x v="190"/>
    <x v="1527"/>
    <x v="15"/>
    <x v="0"/>
    <x v="12"/>
    <x v="11"/>
    <x v="3"/>
    <x v="2"/>
    <x v="4"/>
    <x v="6"/>
    <n v="2"/>
    <x v="6"/>
  </r>
  <r>
    <x v="190"/>
    <x v="1528"/>
    <x v="15"/>
    <x v="0"/>
    <x v="12"/>
    <x v="14"/>
    <x v="2"/>
    <x v="2"/>
    <x v="4"/>
    <x v="6"/>
    <n v="2"/>
    <x v="6"/>
  </r>
  <r>
    <x v="191"/>
    <x v="1529"/>
    <x v="13"/>
    <x v="0"/>
    <x v="612"/>
    <x v="8"/>
    <x v="0"/>
    <x v="0"/>
    <x v="5"/>
    <x v="6"/>
    <n v="3"/>
    <x v="6"/>
  </r>
  <r>
    <x v="191"/>
    <x v="1530"/>
    <x v="10"/>
    <x v="0"/>
    <x v="97"/>
    <x v="11"/>
    <x v="3"/>
    <x v="0"/>
    <x v="5"/>
    <x v="6"/>
    <n v="3"/>
    <x v="6"/>
  </r>
  <r>
    <x v="191"/>
    <x v="1531"/>
    <x v="0"/>
    <x v="0"/>
    <x v="613"/>
    <x v="8"/>
    <x v="0"/>
    <x v="0"/>
    <x v="5"/>
    <x v="6"/>
    <n v="3"/>
    <x v="6"/>
  </r>
  <r>
    <x v="191"/>
    <x v="1532"/>
    <x v="6"/>
    <x v="0"/>
    <x v="614"/>
    <x v="8"/>
    <x v="7"/>
    <x v="2"/>
    <x v="5"/>
    <x v="6"/>
    <n v="3"/>
    <x v="6"/>
  </r>
  <r>
    <x v="191"/>
    <x v="1533"/>
    <x v="12"/>
    <x v="0"/>
    <x v="531"/>
    <x v="11"/>
    <x v="3"/>
    <x v="2"/>
    <x v="5"/>
    <x v="6"/>
    <n v="3"/>
    <x v="6"/>
  </r>
  <r>
    <x v="191"/>
    <x v="1534"/>
    <x v="12"/>
    <x v="0"/>
    <x v="531"/>
    <x v="8"/>
    <x v="0"/>
    <x v="2"/>
    <x v="5"/>
    <x v="6"/>
    <n v="3"/>
    <x v="6"/>
  </r>
  <r>
    <x v="191"/>
    <x v="1535"/>
    <x v="12"/>
    <x v="0"/>
    <x v="531"/>
    <x v="8"/>
    <x v="0"/>
    <x v="2"/>
    <x v="5"/>
    <x v="6"/>
    <n v="3"/>
    <x v="6"/>
  </r>
  <r>
    <x v="191"/>
    <x v="1536"/>
    <x v="15"/>
    <x v="0"/>
    <x v="584"/>
    <x v="14"/>
    <x v="5"/>
    <x v="2"/>
    <x v="5"/>
    <x v="6"/>
    <n v="3"/>
    <x v="6"/>
  </r>
  <r>
    <x v="192"/>
    <x v="1537"/>
    <x v="0"/>
    <x v="0"/>
    <x v="347"/>
    <x v="15"/>
    <x v="6"/>
    <x v="0"/>
    <x v="6"/>
    <x v="6"/>
    <n v="4"/>
    <x v="6"/>
  </r>
  <r>
    <x v="192"/>
    <x v="1538"/>
    <x v="0"/>
    <x v="0"/>
    <x v="347"/>
    <x v="11"/>
    <x v="3"/>
    <x v="0"/>
    <x v="6"/>
    <x v="6"/>
    <n v="4"/>
    <x v="6"/>
  </r>
  <r>
    <x v="192"/>
    <x v="1539"/>
    <x v="7"/>
    <x v="0"/>
    <x v="615"/>
    <x v="11"/>
    <x v="3"/>
    <x v="0"/>
    <x v="6"/>
    <x v="6"/>
    <n v="4"/>
    <x v="6"/>
  </r>
  <r>
    <x v="192"/>
    <x v="1540"/>
    <x v="1"/>
    <x v="0"/>
    <x v="565"/>
    <x v="8"/>
    <x v="7"/>
    <x v="1"/>
    <x v="6"/>
    <x v="6"/>
    <n v="4"/>
    <x v="6"/>
  </r>
  <r>
    <x v="192"/>
    <x v="1541"/>
    <x v="1"/>
    <x v="0"/>
    <x v="616"/>
    <x v="14"/>
    <x v="5"/>
    <x v="1"/>
    <x v="6"/>
    <x v="6"/>
    <n v="4"/>
    <x v="6"/>
  </r>
  <r>
    <x v="192"/>
    <x v="1542"/>
    <x v="1"/>
    <x v="0"/>
    <x v="616"/>
    <x v="14"/>
    <x v="5"/>
    <x v="1"/>
    <x v="6"/>
    <x v="6"/>
    <n v="4"/>
    <x v="6"/>
  </r>
  <r>
    <x v="192"/>
    <x v="1543"/>
    <x v="1"/>
    <x v="0"/>
    <x v="141"/>
    <x v="14"/>
    <x v="5"/>
    <x v="1"/>
    <x v="6"/>
    <x v="6"/>
    <n v="4"/>
    <x v="6"/>
  </r>
  <r>
    <x v="192"/>
    <x v="1544"/>
    <x v="1"/>
    <x v="0"/>
    <x v="141"/>
    <x v="14"/>
    <x v="5"/>
    <x v="1"/>
    <x v="6"/>
    <x v="6"/>
    <n v="4"/>
    <x v="6"/>
  </r>
  <r>
    <x v="192"/>
    <x v="1545"/>
    <x v="9"/>
    <x v="0"/>
    <x v="617"/>
    <x v="8"/>
    <x v="0"/>
    <x v="2"/>
    <x v="6"/>
    <x v="6"/>
    <n v="4"/>
    <x v="6"/>
  </r>
  <r>
    <x v="192"/>
    <x v="1546"/>
    <x v="15"/>
    <x v="0"/>
    <x v="618"/>
    <x v="14"/>
    <x v="2"/>
    <x v="2"/>
    <x v="6"/>
    <x v="6"/>
    <n v="4"/>
    <x v="6"/>
  </r>
  <r>
    <x v="192"/>
    <x v="1547"/>
    <x v="15"/>
    <x v="0"/>
    <x v="618"/>
    <x v="8"/>
    <x v="7"/>
    <x v="2"/>
    <x v="6"/>
    <x v="6"/>
    <n v="4"/>
    <x v="6"/>
  </r>
  <r>
    <x v="192"/>
    <x v="1548"/>
    <x v="15"/>
    <x v="0"/>
    <x v="319"/>
    <x v="14"/>
    <x v="5"/>
    <x v="2"/>
    <x v="6"/>
    <x v="6"/>
    <n v="4"/>
    <x v="6"/>
  </r>
  <r>
    <x v="193"/>
    <x v="1549"/>
    <x v="11"/>
    <x v="0"/>
    <x v="570"/>
    <x v="8"/>
    <x v="0"/>
    <x v="0"/>
    <x v="0"/>
    <x v="6"/>
    <n v="5"/>
    <x v="6"/>
  </r>
  <r>
    <x v="193"/>
    <x v="1550"/>
    <x v="13"/>
    <x v="0"/>
    <x v="425"/>
    <x v="8"/>
    <x v="0"/>
    <x v="0"/>
    <x v="0"/>
    <x v="6"/>
    <n v="5"/>
    <x v="6"/>
  </r>
  <r>
    <x v="193"/>
    <x v="1551"/>
    <x v="13"/>
    <x v="0"/>
    <x v="375"/>
    <x v="8"/>
    <x v="0"/>
    <x v="0"/>
    <x v="0"/>
    <x v="6"/>
    <n v="5"/>
    <x v="6"/>
  </r>
  <r>
    <x v="193"/>
    <x v="1552"/>
    <x v="10"/>
    <x v="0"/>
    <x v="619"/>
    <x v="8"/>
    <x v="0"/>
    <x v="0"/>
    <x v="0"/>
    <x v="6"/>
    <n v="5"/>
    <x v="6"/>
  </r>
  <r>
    <x v="193"/>
    <x v="1553"/>
    <x v="3"/>
    <x v="0"/>
    <x v="242"/>
    <x v="11"/>
    <x v="3"/>
    <x v="1"/>
    <x v="0"/>
    <x v="6"/>
    <n v="5"/>
    <x v="6"/>
  </r>
  <r>
    <x v="193"/>
    <x v="1554"/>
    <x v="3"/>
    <x v="0"/>
    <x v="552"/>
    <x v="11"/>
    <x v="3"/>
    <x v="1"/>
    <x v="0"/>
    <x v="6"/>
    <n v="5"/>
    <x v="6"/>
  </r>
  <r>
    <x v="194"/>
    <x v="1555"/>
    <x v="4"/>
    <x v="0"/>
    <x v="543"/>
    <x v="8"/>
    <x v="7"/>
    <x v="1"/>
    <x v="1"/>
    <x v="6"/>
    <n v="6"/>
    <x v="6"/>
  </r>
  <r>
    <x v="194"/>
    <x v="1556"/>
    <x v="4"/>
    <x v="0"/>
    <x v="543"/>
    <x v="8"/>
    <x v="7"/>
    <x v="1"/>
    <x v="1"/>
    <x v="6"/>
    <n v="6"/>
    <x v="6"/>
  </r>
  <r>
    <x v="195"/>
    <x v="1557"/>
    <x v="13"/>
    <x v="0"/>
    <x v="347"/>
    <x v="15"/>
    <x v="6"/>
    <x v="0"/>
    <x v="2"/>
    <x v="6"/>
    <n v="7"/>
    <x v="6"/>
  </r>
  <r>
    <x v="195"/>
    <x v="1558"/>
    <x v="10"/>
    <x v="0"/>
    <x v="620"/>
    <x v="11"/>
    <x v="3"/>
    <x v="0"/>
    <x v="2"/>
    <x v="6"/>
    <n v="7"/>
    <x v="6"/>
  </r>
  <r>
    <x v="195"/>
    <x v="1559"/>
    <x v="2"/>
    <x v="0"/>
    <x v="304"/>
    <x v="14"/>
    <x v="2"/>
    <x v="1"/>
    <x v="2"/>
    <x v="6"/>
    <n v="7"/>
    <x v="6"/>
  </r>
  <r>
    <x v="195"/>
    <x v="1560"/>
    <x v="8"/>
    <x v="0"/>
    <x v="141"/>
    <x v="14"/>
    <x v="5"/>
    <x v="1"/>
    <x v="2"/>
    <x v="6"/>
    <n v="7"/>
    <x v="6"/>
  </r>
  <r>
    <x v="195"/>
    <x v="1561"/>
    <x v="8"/>
    <x v="0"/>
    <x v="141"/>
    <x v="14"/>
    <x v="5"/>
    <x v="1"/>
    <x v="2"/>
    <x v="6"/>
    <n v="7"/>
    <x v="6"/>
  </r>
  <r>
    <x v="195"/>
    <x v="1562"/>
    <x v="8"/>
    <x v="0"/>
    <x v="543"/>
    <x v="8"/>
    <x v="7"/>
    <x v="1"/>
    <x v="2"/>
    <x v="6"/>
    <n v="7"/>
    <x v="6"/>
  </r>
  <r>
    <x v="196"/>
    <x v="1563"/>
    <x v="2"/>
    <x v="0"/>
    <x v="621"/>
    <x v="8"/>
    <x v="0"/>
    <x v="1"/>
    <x v="3"/>
    <x v="6"/>
    <n v="1"/>
    <x v="6"/>
  </r>
  <r>
    <x v="196"/>
    <x v="1564"/>
    <x v="2"/>
    <x v="0"/>
    <x v="584"/>
    <x v="11"/>
    <x v="3"/>
    <x v="1"/>
    <x v="3"/>
    <x v="6"/>
    <n v="1"/>
    <x v="6"/>
  </r>
  <r>
    <x v="196"/>
    <x v="1565"/>
    <x v="3"/>
    <x v="0"/>
    <x v="621"/>
    <x v="8"/>
    <x v="0"/>
    <x v="1"/>
    <x v="3"/>
    <x v="6"/>
    <n v="1"/>
    <x v="6"/>
  </r>
  <r>
    <x v="196"/>
    <x v="1566"/>
    <x v="9"/>
    <x v="0"/>
    <x v="622"/>
    <x v="11"/>
    <x v="3"/>
    <x v="2"/>
    <x v="3"/>
    <x v="6"/>
    <n v="1"/>
    <x v="6"/>
  </r>
  <r>
    <x v="196"/>
    <x v="1567"/>
    <x v="9"/>
    <x v="0"/>
    <x v="623"/>
    <x v="8"/>
    <x v="0"/>
    <x v="2"/>
    <x v="3"/>
    <x v="6"/>
    <n v="1"/>
    <x v="6"/>
  </r>
  <r>
    <x v="196"/>
    <x v="1568"/>
    <x v="5"/>
    <x v="0"/>
    <x v="624"/>
    <x v="8"/>
    <x v="0"/>
    <x v="2"/>
    <x v="3"/>
    <x v="6"/>
    <n v="1"/>
    <x v="6"/>
  </r>
  <r>
    <x v="196"/>
    <x v="1569"/>
    <x v="5"/>
    <x v="0"/>
    <x v="625"/>
    <x v="8"/>
    <x v="0"/>
    <x v="2"/>
    <x v="3"/>
    <x v="6"/>
    <n v="1"/>
    <x v="6"/>
  </r>
  <r>
    <x v="196"/>
    <x v="1570"/>
    <x v="15"/>
    <x v="0"/>
    <x v="626"/>
    <x v="11"/>
    <x v="3"/>
    <x v="2"/>
    <x v="3"/>
    <x v="6"/>
    <n v="1"/>
    <x v="6"/>
  </r>
  <r>
    <x v="196"/>
    <x v="1571"/>
    <x v="15"/>
    <x v="0"/>
    <x v="626"/>
    <x v="8"/>
    <x v="0"/>
    <x v="2"/>
    <x v="3"/>
    <x v="6"/>
    <n v="1"/>
    <x v="6"/>
  </r>
  <r>
    <x v="196"/>
    <x v="1572"/>
    <x v="15"/>
    <x v="0"/>
    <x v="287"/>
    <x v="11"/>
    <x v="3"/>
    <x v="2"/>
    <x v="3"/>
    <x v="6"/>
    <n v="1"/>
    <x v="6"/>
  </r>
  <r>
    <x v="196"/>
    <x v="1573"/>
    <x v="15"/>
    <x v="0"/>
    <x v="97"/>
    <x v="11"/>
    <x v="3"/>
    <x v="2"/>
    <x v="3"/>
    <x v="6"/>
    <n v="1"/>
    <x v="6"/>
  </r>
  <r>
    <x v="197"/>
    <x v="1574"/>
    <x v="11"/>
    <x v="0"/>
    <x v="627"/>
    <x v="14"/>
    <x v="5"/>
    <x v="0"/>
    <x v="4"/>
    <x v="6"/>
    <n v="2"/>
    <x v="6"/>
  </r>
  <r>
    <x v="197"/>
    <x v="1575"/>
    <x v="13"/>
    <x v="0"/>
    <x v="621"/>
    <x v="8"/>
    <x v="0"/>
    <x v="0"/>
    <x v="4"/>
    <x v="6"/>
    <n v="2"/>
    <x v="6"/>
  </r>
  <r>
    <x v="197"/>
    <x v="1576"/>
    <x v="13"/>
    <x v="0"/>
    <x v="276"/>
    <x v="11"/>
    <x v="3"/>
    <x v="0"/>
    <x v="4"/>
    <x v="6"/>
    <n v="2"/>
    <x v="6"/>
  </r>
  <r>
    <x v="197"/>
    <x v="1577"/>
    <x v="13"/>
    <x v="0"/>
    <x v="141"/>
    <x v="14"/>
    <x v="5"/>
    <x v="0"/>
    <x v="4"/>
    <x v="6"/>
    <n v="2"/>
    <x v="6"/>
  </r>
  <r>
    <x v="197"/>
    <x v="1578"/>
    <x v="10"/>
    <x v="0"/>
    <x v="554"/>
    <x v="8"/>
    <x v="7"/>
    <x v="0"/>
    <x v="4"/>
    <x v="6"/>
    <n v="2"/>
    <x v="6"/>
  </r>
  <r>
    <x v="197"/>
    <x v="1579"/>
    <x v="10"/>
    <x v="0"/>
    <x v="554"/>
    <x v="11"/>
    <x v="3"/>
    <x v="0"/>
    <x v="4"/>
    <x v="6"/>
    <n v="2"/>
    <x v="6"/>
  </r>
  <r>
    <x v="197"/>
    <x v="1580"/>
    <x v="10"/>
    <x v="0"/>
    <x v="620"/>
    <x v="11"/>
    <x v="3"/>
    <x v="0"/>
    <x v="4"/>
    <x v="6"/>
    <n v="2"/>
    <x v="6"/>
  </r>
  <r>
    <x v="197"/>
    <x v="1581"/>
    <x v="1"/>
    <x v="0"/>
    <x v="628"/>
    <x v="15"/>
    <x v="6"/>
    <x v="1"/>
    <x v="4"/>
    <x v="6"/>
    <n v="2"/>
    <x v="6"/>
  </r>
  <r>
    <x v="197"/>
    <x v="1582"/>
    <x v="1"/>
    <x v="0"/>
    <x v="628"/>
    <x v="11"/>
    <x v="3"/>
    <x v="1"/>
    <x v="4"/>
    <x v="6"/>
    <n v="2"/>
    <x v="6"/>
  </r>
  <r>
    <x v="197"/>
    <x v="1583"/>
    <x v="1"/>
    <x v="0"/>
    <x v="629"/>
    <x v="8"/>
    <x v="0"/>
    <x v="1"/>
    <x v="4"/>
    <x v="6"/>
    <n v="2"/>
    <x v="6"/>
  </r>
  <r>
    <x v="197"/>
    <x v="1584"/>
    <x v="2"/>
    <x v="0"/>
    <x v="554"/>
    <x v="11"/>
    <x v="3"/>
    <x v="1"/>
    <x v="4"/>
    <x v="6"/>
    <n v="2"/>
    <x v="6"/>
  </r>
  <r>
    <x v="197"/>
    <x v="1585"/>
    <x v="2"/>
    <x v="0"/>
    <x v="630"/>
    <x v="14"/>
    <x v="5"/>
    <x v="1"/>
    <x v="4"/>
    <x v="6"/>
    <n v="2"/>
    <x v="6"/>
  </r>
  <r>
    <x v="197"/>
    <x v="1586"/>
    <x v="4"/>
    <x v="0"/>
    <x v="554"/>
    <x v="8"/>
    <x v="7"/>
    <x v="1"/>
    <x v="4"/>
    <x v="6"/>
    <n v="2"/>
    <x v="6"/>
  </r>
  <r>
    <x v="197"/>
    <x v="1587"/>
    <x v="4"/>
    <x v="0"/>
    <x v="630"/>
    <x v="8"/>
    <x v="0"/>
    <x v="1"/>
    <x v="4"/>
    <x v="6"/>
    <n v="2"/>
    <x v="6"/>
  </r>
  <r>
    <x v="197"/>
    <x v="1588"/>
    <x v="5"/>
    <x v="0"/>
    <x v="631"/>
    <x v="8"/>
    <x v="1"/>
    <x v="2"/>
    <x v="4"/>
    <x v="6"/>
    <n v="2"/>
    <x v="6"/>
  </r>
  <r>
    <x v="197"/>
    <x v="1589"/>
    <x v="6"/>
    <x v="0"/>
    <x v="632"/>
    <x v="11"/>
    <x v="3"/>
    <x v="2"/>
    <x v="4"/>
    <x v="6"/>
    <n v="2"/>
    <x v="6"/>
  </r>
  <r>
    <x v="197"/>
    <x v="1590"/>
    <x v="6"/>
    <x v="0"/>
    <x v="633"/>
    <x v="11"/>
    <x v="3"/>
    <x v="2"/>
    <x v="4"/>
    <x v="6"/>
    <n v="2"/>
    <x v="6"/>
  </r>
  <r>
    <x v="197"/>
    <x v="1591"/>
    <x v="6"/>
    <x v="0"/>
    <x v="634"/>
    <x v="8"/>
    <x v="0"/>
    <x v="2"/>
    <x v="4"/>
    <x v="6"/>
    <n v="2"/>
    <x v="6"/>
  </r>
  <r>
    <x v="197"/>
    <x v="1592"/>
    <x v="6"/>
    <x v="0"/>
    <x v="634"/>
    <x v="11"/>
    <x v="3"/>
    <x v="2"/>
    <x v="4"/>
    <x v="6"/>
    <n v="2"/>
    <x v="6"/>
  </r>
  <r>
    <x v="197"/>
    <x v="1593"/>
    <x v="6"/>
    <x v="0"/>
    <x v="634"/>
    <x v="11"/>
    <x v="3"/>
    <x v="2"/>
    <x v="4"/>
    <x v="6"/>
    <n v="2"/>
    <x v="6"/>
  </r>
  <r>
    <x v="197"/>
    <x v="1594"/>
    <x v="6"/>
    <x v="0"/>
    <x v="635"/>
    <x v="11"/>
    <x v="3"/>
    <x v="2"/>
    <x v="4"/>
    <x v="6"/>
    <n v="2"/>
    <x v="6"/>
  </r>
  <r>
    <x v="197"/>
    <x v="1595"/>
    <x v="14"/>
    <x v="0"/>
    <x v="636"/>
    <x v="8"/>
    <x v="1"/>
    <x v="2"/>
    <x v="4"/>
    <x v="6"/>
    <n v="2"/>
    <x v="6"/>
  </r>
  <r>
    <x v="197"/>
    <x v="1596"/>
    <x v="14"/>
    <x v="0"/>
    <x v="637"/>
    <x v="8"/>
    <x v="1"/>
    <x v="2"/>
    <x v="4"/>
    <x v="6"/>
    <n v="2"/>
    <x v="6"/>
  </r>
  <r>
    <x v="198"/>
    <x v="1597"/>
    <x v="8"/>
    <x v="0"/>
    <x v="638"/>
    <x v="8"/>
    <x v="0"/>
    <x v="1"/>
    <x v="5"/>
    <x v="6"/>
    <n v="3"/>
    <x v="6"/>
  </r>
  <r>
    <x v="198"/>
    <x v="1598"/>
    <x v="9"/>
    <x v="0"/>
    <x v="639"/>
    <x v="8"/>
    <x v="0"/>
    <x v="2"/>
    <x v="5"/>
    <x v="6"/>
    <n v="3"/>
    <x v="6"/>
  </r>
  <r>
    <x v="198"/>
    <x v="1599"/>
    <x v="15"/>
    <x v="0"/>
    <x v="40"/>
    <x v="11"/>
    <x v="3"/>
    <x v="2"/>
    <x v="5"/>
    <x v="6"/>
    <n v="3"/>
    <x v="6"/>
  </r>
  <r>
    <x v="198"/>
    <x v="1600"/>
    <x v="15"/>
    <x v="0"/>
    <x v="40"/>
    <x v="11"/>
    <x v="3"/>
    <x v="2"/>
    <x v="5"/>
    <x v="6"/>
    <n v="3"/>
    <x v="6"/>
  </r>
  <r>
    <x v="199"/>
    <x v="1601"/>
    <x v="13"/>
    <x v="0"/>
    <x v="276"/>
    <x v="11"/>
    <x v="3"/>
    <x v="0"/>
    <x v="6"/>
    <x v="6"/>
    <n v="4"/>
    <x v="6"/>
  </r>
  <r>
    <x v="199"/>
    <x v="1602"/>
    <x v="13"/>
    <x v="0"/>
    <x v="627"/>
    <x v="14"/>
    <x v="5"/>
    <x v="0"/>
    <x v="6"/>
    <x v="6"/>
    <n v="4"/>
    <x v="6"/>
  </r>
  <r>
    <x v="199"/>
    <x v="1603"/>
    <x v="0"/>
    <x v="0"/>
    <x v="494"/>
    <x v="8"/>
    <x v="0"/>
    <x v="0"/>
    <x v="6"/>
    <x v="6"/>
    <n v="4"/>
    <x v="6"/>
  </r>
  <r>
    <x v="199"/>
    <x v="1604"/>
    <x v="1"/>
    <x v="0"/>
    <x v="3"/>
    <x v="14"/>
    <x v="2"/>
    <x v="1"/>
    <x v="6"/>
    <x v="6"/>
    <n v="4"/>
    <x v="6"/>
  </r>
  <r>
    <x v="199"/>
    <x v="1605"/>
    <x v="2"/>
    <x v="0"/>
    <x v="3"/>
    <x v="11"/>
    <x v="3"/>
    <x v="1"/>
    <x v="6"/>
    <x v="6"/>
    <n v="4"/>
    <x v="6"/>
  </r>
  <r>
    <x v="199"/>
    <x v="1606"/>
    <x v="2"/>
    <x v="0"/>
    <x v="640"/>
    <x v="14"/>
    <x v="5"/>
    <x v="1"/>
    <x v="6"/>
    <x v="6"/>
    <n v="4"/>
    <x v="6"/>
  </r>
  <r>
    <x v="200"/>
    <x v="1607"/>
    <x v="13"/>
    <x v="0"/>
    <x v="276"/>
    <x v="11"/>
    <x v="3"/>
    <x v="0"/>
    <x v="0"/>
    <x v="6"/>
    <n v="5"/>
    <x v="6"/>
  </r>
  <r>
    <x v="200"/>
    <x v="1608"/>
    <x v="10"/>
    <x v="0"/>
    <x v="641"/>
    <x v="11"/>
    <x v="3"/>
    <x v="0"/>
    <x v="0"/>
    <x v="6"/>
    <n v="5"/>
    <x v="6"/>
  </r>
  <r>
    <x v="200"/>
    <x v="1609"/>
    <x v="2"/>
    <x v="0"/>
    <x v="333"/>
    <x v="11"/>
    <x v="3"/>
    <x v="1"/>
    <x v="0"/>
    <x v="6"/>
    <n v="5"/>
    <x v="6"/>
  </r>
  <r>
    <x v="200"/>
    <x v="1610"/>
    <x v="4"/>
    <x v="0"/>
    <x v="642"/>
    <x v="8"/>
    <x v="0"/>
    <x v="1"/>
    <x v="0"/>
    <x v="6"/>
    <n v="5"/>
    <x v="6"/>
  </r>
  <r>
    <x v="200"/>
    <x v="1611"/>
    <x v="12"/>
    <x v="0"/>
    <x v="643"/>
    <x v="14"/>
    <x v="2"/>
    <x v="2"/>
    <x v="0"/>
    <x v="6"/>
    <n v="5"/>
    <x v="6"/>
  </r>
  <r>
    <x v="200"/>
    <x v="1612"/>
    <x v="15"/>
    <x v="0"/>
    <x v="287"/>
    <x v="11"/>
    <x v="3"/>
    <x v="2"/>
    <x v="0"/>
    <x v="6"/>
    <n v="5"/>
    <x v="6"/>
  </r>
  <r>
    <x v="200"/>
    <x v="1613"/>
    <x v="15"/>
    <x v="0"/>
    <x v="287"/>
    <x v="11"/>
    <x v="3"/>
    <x v="2"/>
    <x v="0"/>
    <x v="6"/>
    <n v="5"/>
    <x v="6"/>
  </r>
  <r>
    <x v="201"/>
    <x v="1614"/>
    <x v="7"/>
    <x v="0"/>
    <x v="644"/>
    <x v="8"/>
    <x v="0"/>
    <x v="0"/>
    <x v="1"/>
    <x v="6"/>
    <n v="6"/>
    <x v="6"/>
  </r>
  <r>
    <x v="201"/>
    <x v="1615"/>
    <x v="7"/>
    <x v="0"/>
    <x v="644"/>
    <x v="8"/>
    <x v="4"/>
    <x v="0"/>
    <x v="1"/>
    <x v="6"/>
    <n v="6"/>
    <x v="6"/>
  </r>
  <r>
    <x v="201"/>
    <x v="1616"/>
    <x v="7"/>
    <x v="0"/>
    <x v="543"/>
    <x v="14"/>
    <x v="5"/>
    <x v="0"/>
    <x v="1"/>
    <x v="6"/>
    <n v="6"/>
    <x v="6"/>
  </r>
  <r>
    <x v="201"/>
    <x v="1617"/>
    <x v="7"/>
    <x v="0"/>
    <x v="543"/>
    <x v="14"/>
    <x v="5"/>
    <x v="0"/>
    <x v="1"/>
    <x v="6"/>
    <n v="6"/>
    <x v="6"/>
  </r>
  <r>
    <x v="201"/>
    <x v="1618"/>
    <x v="3"/>
    <x v="0"/>
    <x v="645"/>
    <x v="8"/>
    <x v="7"/>
    <x v="1"/>
    <x v="1"/>
    <x v="6"/>
    <n v="6"/>
    <x v="6"/>
  </r>
  <r>
    <x v="201"/>
    <x v="1619"/>
    <x v="3"/>
    <x v="0"/>
    <x v="646"/>
    <x v="8"/>
    <x v="0"/>
    <x v="1"/>
    <x v="1"/>
    <x v="6"/>
    <n v="6"/>
    <x v="6"/>
  </r>
  <r>
    <x v="201"/>
    <x v="1620"/>
    <x v="5"/>
    <x v="0"/>
    <x v="507"/>
    <x v="8"/>
    <x v="0"/>
    <x v="2"/>
    <x v="1"/>
    <x v="6"/>
    <n v="6"/>
    <x v="6"/>
  </r>
  <r>
    <x v="201"/>
    <x v="1621"/>
    <x v="5"/>
    <x v="0"/>
    <x v="507"/>
    <x v="8"/>
    <x v="0"/>
    <x v="2"/>
    <x v="1"/>
    <x v="6"/>
    <n v="6"/>
    <x v="6"/>
  </r>
  <r>
    <x v="201"/>
    <x v="1622"/>
    <x v="12"/>
    <x v="0"/>
    <x v="40"/>
    <x v="14"/>
    <x v="2"/>
    <x v="2"/>
    <x v="1"/>
    <x v="6"/>
    <n v="6"/>
    <x v="6"/>
  </r>
  <r>
    <x v="201"/>
    <x v="1623"/>
    <x v="12"/>
    <x v="0"/>
    <x v="40"/>
    <x v="14"/>
    <x v="2"/>
    <x v="2"/>
    <x v="1"/>
    <x v="6"/>
    <n v="6"/>
    <x v="6"/>
  </r>
  <r>
    <x v="201"/>
    <x v="1624"/>
    <x v="12"/>
    <x v="0"/>
    <x v="602"/>
    <x v="8"/>
    <x v="0"/>
    <x v="2"/>
    <x v="1"/>
    <x v="6"/>
    <n v="6"/>
    <x v="6"/>
  </r>
  <r>
    <x v="201"/>
    <x v="1625"/>
    <x v="12"/>
    <x v="0"/>
    <x v="602"/>
    <x v="8"/>
    <x v="0"/>
    <x v="2"/>
    <x v="1"/>
    <x v="6"/>
    <n v="6"/>
    <x v="6"/>
  </r>
  <r>
    <x v="201"/>
    <x v="1626"/>
    <x v="14"/>
    <x v="0"/>
    <x v="647"/>
    <x v="11"/>
    <x v="3"/>
    <x v="2"/>
    <x v="1"/>
    <x v="6"/>
    <n v="6"/>
    <x v="6"/>
  </r>
  <r>
    <x v="201"/>
    <x v="1627"/>
    <x v="14"/>
    <x v="0"/>
    <x v="647"/>
    <x v="14"/>
    <x v="2"/>
    <x v="2"/>
    <x v="1"/>
    <x v="6"/>
    <n v="6"/>
    <x v="6"/>
  </r>
  <r>
    <x v="201"/>
    <x v="1628"/>
    <x v="14"/>
    <x v="0"/>
    <x v="647"/>
    <x v="14"/>
    <x v="2"/>
    <x v="2"/>
    <x v="1"/>
    <x v="6"/>
    <n v="6"/>
    <x v="6"/>
  </r>
  <r>
    <x v="202"/>
    <x v="1629"/>
    <x v="13"/>
    <x v="0"/>
    <x v="648"/>
    <x v="14"/>
    <x v="2"/>
    <x v="0"/>
    <x v="2"/>
    <x v="6"/>
    <n v="7"/>
    <x v="6"/>
  </r>
  <r>
    <x v="202"/>
    <x v="1630"/>
    <x v="0"/>
    <x v="0"/>
    <x v="649"/>
    <x v="11"/>
    <x v="3"/>
    <x v="0"/>
    <x v="2"/>
    <x v="6"/>
    <n v="7"/>
    <x v="6"/>
  </r>
  <r>
    <x v="202"/>
    <x v="1631"/>
    <x v="0"/>
    <x v="0"/>
    <x v="649"/>
    <x v="8"/>
    <x v="0"/>
    <x v="0"/>
    <x v="2"/>
    <x v="6"/>
    <n v="7"/>
    <x v="6"/>
  </r>
  <r>
    <x v="202"/>
    <x v="1632"/>
    <x v="7"/>
    <x v="0"/>
    <x v="650"/>
    <x v="14"/>
    <x v="5"/>
    <x v="0"/>
    <x v="2"/>
    <x v="6"/>
    <n v="7"/>
    <x v="6"/>
  </r>
  <r>
    <x v="202"/>
    <x v="1633"/>
    <x v="7"/>
    <x v="0"/>
    <x v="650"/>
    <x v="14"/>
    <x v="5"/>
    <x v="0"/>
    <x v="2"/>
    <x v="6"/>
    <n v="7"/>
    <x v="6"/>
  </r>
  <r>
    <x v="202"/>
    <x v="1634"/>
    <x v="7"/>
    <x v="0"/>
    <x v="651"/>
    <x v="11"/>
    <x v="3"/>
    <x v="0"/>
    <x v="2"/>
    <x v="6"/>
    <n v="7"/>
    <x v="6"/>
  </r>
  <r>
    <x v="202"/>
    <x v="1635"/>
    <x v="7"/>
    <x v="0"/>
    <x v="99"/>
    <x v="14"/>
    <x v="2"/>
    <x v="0"/>
    <x v="2"/>
    <x v="6"/>
    <n v="7"/>
    <x v="6"/>
  </r>
  <r>
    <x v="202"/>
    <x v="1636"/>
    <x v="1"/>
    <x v="0"/>
    <x v="276"/>
    <x v="11"/>
    <x v="3"/>
    <x v="1"/>
    <x v="2"/>
    <x v="6"/>
    <n v="7"/>
    <x v="6"/>
  </r>
  <r>
    <x v="202"/>
    <x v="1637"/>
    <x v="2"/>
    <x v="0"/>
    <x v="333"/>
    <x v="11"/>
    <x v="3"/>
    <x v="1"/>
    <x v="2"/>
    <x v="6"/>
    <n v="7"/>
    <x v="6"/>
  </r>
  <r>
    <x v="202"/>
    <x v="1638"/>
    <x v="2"/>
    <x v="0"/>
    <x v="333"/>
    <x v="11"/>
    <x v="3"/>
    <x v="1"/>
    <x v="2"/>
    <x v="6"/>
    <n v="7"/>
    <x v="6"/>
  </r>
  <r>
    <x v="202"/>
    <x v="1639"/>
    <x v="2"/>
    <x v="0"/>
    <x v="510"/>
    <x v="11"/>
    <x v="3"/>
    <x v="1"/>
    <x v="2"/>
    <x v="6"/>
    <n v="7"/>
    <x v="6"/>
  </r>
  <r>
    <x v="202"/>
    <x v="1640"/>
    <x v="3"/>
    <x v="0"/>
    <x v="652"/>
    <x v="8"/>
    <x v="0"/>
    <x v="1"/>
    <x v="2"/>
    <x v="6"/>
    <n v="7"/>
    <x v="6"/>
  </r>
  <r>
    <x v="202"/>
    <x v="1641"/>
    <x v="3"/>
    <x v="0"/>
    <x v="652"/>
    <x v="11"/>
    <x v="3"/>
    <x v="1"/>
    <x v="2"/>
    <x v="6"/>
    <n v="7"/>
    <x v="6"/>
  </r>
  <r>
    <x v="202"/>
    <x v="1642"/>
    <x v="4"/>
    <x v="0"/>
    <x v="653"/>
    <x v="8"/>
    <x v="4"/>
    <x v="1"/>
    <x v="2"/>
    <x v="6"/>
    <n v="7"/>
    <x v="6"/>
  </r>
  <r>
    <x v="202"/>
    <x v="1643"/>
    <x v="12"/>
    <x v="0"/>
    <x v="654"/>
    <x v="8"/>
    <x v="0"/>
    <x v="2"/>
    <x v="2"/>
    <x v="6"/>
    <n v="7"/>
    <x v="6"/>
  </r>
  <r>
    <x v="202"/>
    <x v="1644"/>
    <x v="12"/>
    <x v="0"/>
    <x v="654"/>
    <x v="8"/>
    <x v="7"/>
    <x v="2"/>
    <x v="2"/>
    <x v="6"/>
    <n v="7"/>
    <x v="6"/>
  </r>
  <r>
    <x v="202"/>
    <x v="1645"/>
    <x v="12"/>
    <x v="0"/>
    <x v="455"/>
    <x v="11"/>
    <x v="3"/>
    <x v="2"/>
    <x v="2"/>
    <x v="6"/>
    <n v="7"/>
    <x v="6"/>
  </r>
  <r>
    <x v="202"/>
    <x v="1646"/>
    <x v="12"/>
    <x v="0"/>
    <x v="455"/>
    <x v="11"/>
    <x v="3"/>
    <x v="2"/>
    <x v="2"/>
    <x v="6"/>
    <n v="7"/>
    <x v="6"/>
  </r>
  <r>
    <x v="202"/>
    <x v="1647"/>
    <x v="15"/>
    <x v="0"/>
    <x v="655"/>
    <x v="11"/>
    <x v="3"/>
    <x v="2"/>
    <x v="2"/>
    <x v="6"/>
    <n v="7"/>
    <x v="6"/>
  </r>
  <r>
    <x v="202"/>
    <x v="1648"/>
    <x v="15"/>
    <x v="0"/>
    <x v="655"/>
    <x v="11"/>
    <x v="3"/>
    <x v="2"/>
    <x v="2"/>
    <x v="6"/>
    <n v="7"/>
    <x v="6"/>
  </r>
  <r>
    <x v="202"/>
    <x v="1649"/>
    <x v="15"/>
    <x v="0"/>
    <x v="637"/>
    <x v="8"/>
    <x v="1"/>
    <x v="2"/>
    <x v="2"/>
    <x v="6"/>
    <n v="7"/>
    <x v="6"/>
  </r>
  <r>
    <x v="202"/>
    <x v="1650"/>
    <x v="15"/>
    <x v="0"/>
    <x v="637"/>
    <x v="8"/>
    <x v="1"/>
    <x v="2"/>
    <x v="2"/>
    <x v="6"/>
    <n v="7"/>
    <x v="6"/>
  </r>
  <r>
    <x v="202"/>
    <x v="1651"/>
    <x v="14"/>
    <x v="0"/>
    <x v="656"/>
    <x v="14"/>
    <x v="2"/>
    <x v="2"/>
    <x v="2"/>
    <x v="6"/>
    <n v="7"/>
    <x v="6"/>
  </r>
  <r>
    <x v="202"/>
    <x v="1652"/>
    <x v="14"/>
    <x v="0"/>
    <x v="657"/>
    <x v="11"/>
    <x v="3"/>
    <x v="2"/>
    <x v="2"/>
    <x v="6"/>
    <n v="7"/>
    <x v="6"/>
  </r>
  <r>
    <x v="203"/>
    <x v="1653"/>
    <x v="10"/>
    <x v="0"/>
    <x v="276"/>
    <x v="11"/>
    <x v="3"/>
    <x v="0"/>
    <x v="3"/>
    <x v="6"/>
    <n v="1"/>
    <x v="6"/>
  </r>
  <r>
    <x v="203"/>
    <x v="1654"/>
    <x v="0"/>
    <x v="0"/>
    <x v="141"/>
    <x v="14"/>
    <x v="5"/>
    <x v="0"/>
    <x v="3"/>
    <x v="6"/>
    <n v="1"/>
    <x v="6"/>
  </r>
  <r>
    <x v="203"/>
    <x v="1655"/>
    <x v="1"/>
    <x v="0"/>
    <x v="584"/>
    <x v="14"/>
    <x v="2"/>
    <x v="1"/>
    <x v="3"/>
    <x v="6"/>
    <n v="1"/>
    <x v="6"/>
  </r>
  <r>
    <x v="203"/>
    <x v="1656"/>
    <x v="8"/>
    <x v="0"/>
    <x v="573"/>
    <x v="11"/>
    <x v="3"/>
    <x v="1"/>
    <x v="3"/>
    <x v="6"/>
    <n v="1"/>
    <x v="6"/>
  </r>
  <r>
    <x v="203"/>
    <x v="1657"/>
    <x v="9"/>
    <x v="0"/>
    <x v="658"/>
    <x v="8"/>
    <x v="7"/>
    <x v="2"/>
    <x v="3"/>
    <x v="6"/>
    <n v="1"/>
    <x v="6"/>
  </r>
  <r>
    <x v="203"/>
    <x v="1658"/>
    <x v="5"/>
    <x v="0"/>
    <x v="659"/>
    <x v="14"/>
    <x v="2"/>
    <x v="2"/>
    <x v="3"/>
    <x v="6"/>
    <n v="1"/>
    <x v="6"/>
  </r>
  <r>
    <x v="203"/>
    <x v="1659"/>
    <x v="6"/>
    <x v="0"/>
    <x v="507"/>
    <x v="8"/>
    <x v="0"/>
    <x v="2"/>
    <x v="3"/>
    <x v="6"/>
    <n v="1"/>
    <x v="6"/>
  </r>
  <r>
    <x v="203"/>
    <x v="1660"/>
    <x v="12"/>
    <x v="0"/>
    <x v="206"/>
    <x v="8"/>
    <x v="7"/>
    <x v="2"/>
    <x v="3"/>
    <x v="6"/>
    <n v="1"/>
    <x v="6"/>
  </r>
  <r>
    <x v="203"/>
    <x v="1661"/>
    <x v="14"/>
    <x v="0"/>
    <x v="641"/>
    <x v="11"/>
    <x v="3"/>
    <x v="2"/>
    <x v="3"/>
    <x v="6"/>
    <n v="1"/>
    <x v="6"/>
  </r>
  <r>
    <x v="203"/>
    <x v="1662"/>
    <x v="14"/>
    <x v="0"/>
    <x v="641"/>
    <x v="11"/>
    <x v="3"/>
    <x v="2"/>
    <x v="3"/>
    <x v="6"/>
    <n v="1"/>
    <x v="6"/>
  </r>
  <r>
    <x v="204"/>
    <x v="1663"/>
    <x v="13"/>
    <x v="0"/>
    <x v="276"/>
    <x v="11"/>
    <x v="3"/>
    <x v="0"/>
    <x v="4"/>
    <x v="6"/>
    <n v="2"/>
    <x v="6"/>
  </r>
  <r>
    <x v="204"/>
    <x v="1664"/>
    <x v="1"/>
    <x v="0"/>
    <x v="634"/>
    <x v="8"/>
    <x v="0"/>
    <x v="1"/>
    <x v="4"/>
    <x v="6"/>
    <n v="2"/>
    <x v="6"/>
  </r>
  <r>
    <x v="204"/>
    <x v="1665"/>
    <x v="1"/>
    <x v="0"/>
    <x v="634"/>
    <x v="8"/>
    <x v="0"/>
    <x v="1"/>
    <x v="4"/>
    <x v="6"/>
    <n v="2"/>
    <x v="6"/>
  </r>
  <r>
    <x v="204"/>
    <x v="1666"/>
    <x v="1"/>
    <x v="0"/>
    <x v="660"/>
    <x v="8"/>
    <x v="0"/>
    <x v="1"/>
    <x v="4"/>
    <x v="6"/>
    <n v="2"/>
    <x v="6"/>
  </r>
  <r>
    <x v="204"/>
    <x v="1667"/>
    <x v="1"/>
    <x v="0"/>
    <x v="660"/>
    <x v="8"/>
    <x v="0"/>
    <x v="1"/>
    <x v="4"/>
    <x v="6"/>
    <n v="2"/>
    <x v="6"/>
  </r>
  <r>
    <x v="204"/>
    <x v="1668"/>
    <x v="8"/>
    <x v="0"/>
    <x v="661"/>
    <x v="8"/>
    <x v="0"/>
    <x v="1"/>
    <x v="4"/>
    <x v="6"/>
    <n v="2"/>
    <x v="6"/>
  </r>
  <r>
    <x v="204"/>
    <x v="1669"/>
    <x v="8"/>
    <x v="0"/>
    <x v="662"/>
    <x v="14"/>
    <x v="5"/>
    <x v="1"/>
    <x v="4"/>
    <x v="6"/>
    <n v="2"/>
    <x v="6"/>
  </r>
  <r>
    <x v="204"/>
    <x v="1670"/>
    <x v="3"/>
    <x v="0"/>
    <x v="510"/>
    <x v="8"/>
    <x v="7"/>
    <x v="1"/>
    <x v="4"/>
    <x v="6"/>
    <n v="2"/>
    <x v="6"/>
  </r>
  <r>
    <x v="204"/>
    <x v="1671"/>
    <x v="4"/>
    <x v="0"/>
    <x v="583"/>
    <x v="8"/>
    <x v="0"/>
    <x v="1"/>
    <x v="4"/>
    <x v="6"/>
    <n v="2"/>
    <x v="6"/>
  </r>
  <r>
    <x v="204"/>
    <x v="1672"/>
    <x v="5"/>
    <x v="0"/>
    <x v="408"/>
    <x v="14"/>
    <x v="2"/>
    <x v="2"/>
    <x v="4"/>
    <x v="6"/>
    <n v="2"/>
    <x v="6"/>
  </r>
  <r>
    <x v="204"/>
    <x v="1673"/>
    <x v="5"/>
    <x v="0"/>
    <x v="408"/>
    <x v="14"/>
    <x v="2"/>
    <x v="2"/>
    <x v="4"/>
    <x v="6"/>
    <n v="2"/>
    <x v="6"/>
  </r>
  <r>
    <x v="204"/>
    <x v="1674"/>
    <x v="12"/>
    <x v="0"/>
    <x v="663"/>
    <x v="8"/>
    <x v="1"/>
    <x v="2"/>
    <x v="4"/>
    <x v="6"/>
    <n v="2"/>
    <x v="6"/>
  </r>
  <r>
    <x v="204"/>
    <x v="1675"/>
    <x v="15"/>
    <x v="0"/>
    <x v="631"/>
    <x v="8"/>
    <x v="0"/>
    <x v="2"/>
    <x v="4"/>
    <x v="6"/>
    <n v="2"/>
    <x v="6"/>
  </r>
  <r>
    <x v="204"/>
    <x v="1676"/>
    <x v="15"/>
    <x v="0"/>
    <x v="531"/>
    <x v="11"/>
    <x v="3"/>
    <x v="2"/>
    <x v="4"/>
    <x v="6"/>
    <n v="2"/>
    <x v="6"/>
  </r>
  <r>
    <x v="204"/>
    <x v="1677"/>
    <x v="15"/>
    <x v="0"/>
    <x v="531"/>
    <x v="11"/>
    <x v="3"/>
    <x v="2"/>
    <x v="4"/>
    <x v="6"/>
    <n v="2"/>
    <x v="6"/>
  </r>
  <r>
    <x v="205"/>
    <x v="1678"/>
    <x v="11"/>
    <x v="0"/>
    <x v="664"/>
    <x v="8"/>
    <x v="7"/>
    <x v="0"/>
    <x v="5"/>
    <x v="6"/>
    <n v="3"/>
    <x v="6"/>
  </r>
  <r>
    <x v="205"/>
    <x v="1679"/>
    <x v="7"/>
    <x v="0"/>
    <x v="141"/>
    <x v="14"/>
    <x v="5"/>
    <x v="0"/>
    <x v="5"/>
    <x v="6"/>
    <n v="3"/>
    <x v="6"/>
  </r>
  <r>
    <x v="205"/>
    <x v="1680"/>
    <x v="7"/>
    <x v="0"/>
    <x v="665"/>
    <x v="11"/>
    <x v="3"/>
    <x v="0"/>
    <x v="5"/>
    <x v="6"/>
    <n v="3"/>
    <x v="6"/>
  </r>
  <r>
    <x v="205"/>
    <x v="1681"/>
    <x v="7"/>
    <x v="0"/>
    <x v="665"/>
    <x v="8"/>
    <x v="0"/>
    <x v="0"/>
    <x v="5"/>
    <x v="6"/>
    <n v="3"/>
    <x v="6"/>
  </r>
  <r>
    <x v="205"/>
    <x v="1682"/>
    <x v="2"/>
    <x v="0"/>
    <x v="666"/>
    <x v="11"/>
    <x v="3"/>
    <x v="1"/>
    <x v="5"/>
    <x v="6"/>
    <n v="3"/>
    <x v="6"/>
  </r>
  <r>
    <x v="205"/>
    <x v="1683"/>
    <x v="2"/>
    <x v="0"/>
    <x v="666"/>
    <x v="11"/>
    <x v="3"/>
    <x v="1"/>
    <x v="5"/>
    <x v="6"/>
    <n v="3"/>
    <x v="6"/>
  </r>
  <r>
    <x v="205"/>
    <x v="1684"/>
    <x v="9"/>
    <x v="0"/>
    <x v="667"/>
    <x v="11"/>
    <x v="3"/>
    <x v="2"/>
    <x v="5"/>
    <x v="6"/>
    <n v="3"/>
    <x v="6"/>
  </r>
  <r>
    <x v="205"/>
    <x v="1685"/>
    <x v="9"/>
    <x v="0"/>
    <x v="667"/>
    <x v="11"/>
    <x v="3"/>
    <x v="2"/>
    <x v="5"/>
    <x v="6"/>
    <n v="3"/>
    <x v="6"/>
  </r>
  <r>
    <x v="205"/>
    <x v="1686"/>
    <x v="15"/>
    <x v="0"/>
    <x v="668"/>
    <x v="14"/>
    <x v="2"/>
    <x v="2"/>
    <x v="5"/>
    <x v="6"/>
    <n v="3"/>
    <x v="6"/>
  </r>
  <r>
    <x v="205"/>
    <x v="1687"/>
    <x v="14"/>
    <x v="0"/>
    <x v="475"/>
    <x v="11"/>
    <x v="3"/>
    <x v="2"/>
    <x v="5"/>
    <x v="6"/>
    <n v="3"/>
    <x v="6"/>
  </r>
  <r>
    <x v="206"/>
    <x v="1688"/>
    <x v="13"/>
    <x v="0"/>
    <x v="570"/>
    <x v="8"/>
    <x v="0"/>
    <x v="0"/>
    <x v="6"/>
    <x v="6"/>
    <n v="4"/>
    <x v="6"/>
  </r>
  <r>
    <x v="206"/>
    <x v="1689"/>
    <x v="0"/>
    <x v="0"/>
    <x v="333"/>
    <x v="11"/>
    <x v="3"/>
    <x v="0"/>
    <x v="6"/>
    <x v="6"/>
    <n v="4"/>
    <x v="6"/>
  </r>
  <r>
    <x v="206"/>
    <x v="1690"/>
    <x v="0"/>
    <x v="0"/>
    <x v="669"/>
    <x v="15"/>
    <x v="6"/>
    <x v="0"/>
    <x v="6"/>
    <x v="6"/>
    <n v="4"/>
    <x v="6"/>
  </r>
  <r>
    <x v="206"/>
    <x v="1691"/>
    <x v="7"/>
    <x v="0"/>
    <x v="670"/>
    <x v="8"/>
    <x v="7"/>
    <x v="0"/>
    <x v="6"/>
    <x v="6"/>
    <n v="4"/>
    <x v="6"/>
  </r>
  <r>
    <x v="206"/>
    <x v="1692"/>
    <x v="1"/>
    <x v="0"/>
    <x v="671"/>
    <x v="8"/>
    <x v="0"/>
    <x v="1"/>
    <x v="6"/>
    <x v="6"/>
    <n v="4"/>
    <x v="6"/>
  </r>
  <r>
    <x v="206"/>
    <x v="1693"/>
    <x v="5"/>
    <x v="0"/>
    <x v="672"/>
    <x v="8"/>
    <x v="0"/>
    <x v="2"/>
    <x v="6"/>
    <x v="6"/>
    <n v="4"/>
    <x v="6"/>
  </r>
  <r>
    <x v="206"/>
    <x v="1694"/>
    <x v="14"/>
    <x v="0"/>
    <x v="673"/>
    <x v="8"/>
    <x v="0"/>
    <x v="2"/>
    <x v="6"/>
    <x v="6"/>
    <n v="4"/>
    <x v="6"/>
  </r>
  <r>
    <x v="206"/>
    <x v="1695"/>
    <x v="14"/>
    <x v="0"/>
    <x v="673"/>
    <x v="14"/>
    <x v="5"/>
    <x v="2"/>
    <x v="6"/>
    <x v="6"/>
    <n v="4"/>
    <x v="6"/>
  </r>
  <r>
    <x v="206"/>
    <x v="1696"/>
    <x v="14"/>
    <x v="0"/>
    <x v="472"/>
    <x v="11"/>
    <x v="3"/>
    <x v="2"/>
    <x v="6"/>
    <x v="6"/>
    <n v="4"/>
    <x v="6"/>
  </r>
  <r>
    <x v="207"/>
    <x v="1697"/>
    <x v="10"/>
    <x v="0"/>
    <x v="276"/>
    <x v="11"/>
    <x v="3"/>
    <x v="0"/>
    <x v="0"/>
    <x v="6"/>
    <n v="5"/>
    <x v="6"/>
  </r>
  <r>
    <x v="207"/>
    <x v="1698"/>
    <x v="10"/>
    <x v="0"/>
    <x v="141"/>
    <x v="14"/>
    <x v="5"/>
    <x v="0"/>
    <x v="0"/>
    <x v="6"/>
    <n v="5"/>
    <x v="6"/>
  </r>
  <r>
    <x v="207"/>
    <x v="1699"/>
    <x v="10"/>
    <x v="0"/>
    <x v="674"/>
    <x v="8"/>
    <x v="7"/>
    <x v="0"/>
    <x v="0"/>
    <x v="6"/>
    <n v="5"/>
    <x v="6"/>
  </r>
  <r>
    <x v="207"/>
    <x v="1700"/>
    <x v="0"/>
    <x v="0"/>
    <x v="333"/>
    <x v="11"/>
    <x v="3"/>
    <x v="0"/>
    <x v="0"/>
    <x v="6"/>
    <n v="5"/>
    <x v="6"/>
  </r>
  <r>
    <x v="207"/>
    <x v="1701"/>
    <x v="7"/>
    <x v="0"/>
    <x v="333"/>
    <x v="11"/>
    <x v="3"/>
    <x v="0"/>
    <x v="0"/>
    <x v="6"/>
    <n v="5"/>
    <x v="6"/>
  </r>
  <r>
    <x v="207"/>
    <x v="1702"/>
    <x v="2"/>
    <x v="0"/>
    <x v="675"/>
    <x v="8"/>
    <x v="7"/>
    <x v="1"/>
    <x v="0"/>
    <x v="6"/>
    <n v="5"/>
    <x v="6"/>
  </r>
  <r>
    <x v="207"/>
    <x v="1703"/>
    <x v="2"/>
    <x v="0"/>
    <x v="676"/>
    <x v="8"/>
    <x v="7"/>
    <x v="1"/>
    <x v="0"/>
    <x v="6"/>
    <n v="5"/>
    <x v="6"/>
  </r>
  <r>
    <x v="207"/>
    <x v="1704"/>
    <x v="2"/>
    <x v="0"/>
    <x v="676"/>
    <x v="14"/>
    <x v="2"/>
    <x v="1"/>
    <x v="0"/>
    <x v="6"/>
    <n v="5"/>
    <x v="6"/>
  </r>
  <r>
    <x v="207"/>
    <x v="1705"/>
    <x v="2"/>
    <x v="0"/>
    <x v="677"/>
    <x v="11"/>
    <x v="3"/>
    <x v="1"/>
    <x v="0"/>
    <x v="6"/>
    <n v="5"/>
    <x v="6"/>
  </r>
  <r>
    <x v="207"/>
    <x v="1706"/>
    <x v="5"/>
    <x v="0"/>
    <x v="678"/>
    <x v="8"/>
    <x v="0"/>
    <x v="2"/>
    <x v="0"/>
    <x v="6"/>
    <n v="5"/>
    <x v="6"/>
  </r>
  <r>
    <x v="207"/>
    <x v="1707"/>
    <x v="5"/>
    <x v="0"/>
    <x v="678"/>
    <x v="8"/>
    <x v="0"/>
    <x v="2"/>
    <x v="0"/>
    <x v="6"/>
    <n v="5"/>
    <x v="6"/>
  </r>
  <r>
    <x v="207"/>
    <x v="1708"/>
    <x v="5"/>
    <x v="0"/>
    <x v="679"/>
    <x v="8"/>
    <x v="7"/>
    <x v="2"/>
    <x v="0"/>
    <x v="6"/>
    <n v="5"/>
    <x v="6"/>
  </r>
  <r>
    <x v="207"/>
    <x v="1709"/>
    <x v="5"/>
    <x v="0"/>
    <x v="680"/>
    <x v="8"/>
    <x v="7"/>
    <x v="2"/>
    <x v="0"/>
    <x v="6"/>
    <n v="5"/>
    <x v="6"/>
  </r>
  <r>
    <x v="207"/>
    <x v="1710"/>
    <x v="12"/>
    <x v="0"/>
    <x v="408"/>
    <x v="8"/>
    <x v="7"/>
    <x v="2"/>
    <x v="0"/>
    <x v="6"/>
    <n v="5"/>
    <x v="6"/>
  </r>
  <r>
    <x v="207"/>
    <x v="1711"/>
    <x v="12"/>
    <x v="0"/>
    <x v="408"/>
    <x v="8"/>
    <x v="7"/>
    <x v="2"/>
    <x v="0"/>
    <x v="6"/>
    <n v="5"/>
    <x v="6"/>
  </r>
  <r>
    <x v="207"/>
    <x v="1712"/>
    <x v="12"/>
    <x v="0"/>
    <x v="681"/>
    <x v="11"/>
    <x v="3"/>
    <x v="2"/>
    <x v="0"/>
    <x v="6"/>
    <n v="5"/>
    <x v="6"/>
  </r>
  <r>
    <x v="208"/>
    <x v="1713"/>
    <x v="13"/>
    <x v="0"/>
    <x v="666"/>
    <x v="11"/>
    <x v="3"/>
    <x v="0"/>
    <x v="1"/>
    <x v="6"/>
    <n v="6"/>
    <x v="6"/>
  </r>
  <r>
    <x v="208"/>
    <x v="1714"/>
    <x v="10"/>
    <x v="0"/>
    <x v="682"/>
    <x v="11"/>
    <x v="3"/>
    <x v="0"/>
    <x v="1"/>
    <x v="6"/>
    <n v="6"/>
    <x v="6"/>
  </r>
  <r>
    <x v="208"/>
    <x v="1715"/>
    <x v="8"/>
    <x v="0"/>
    <x v="507"/>
    <x v="16"/>
    <x v="0"/>
    <x v="1"/>
    <x v="1"/>
    <x v="6"/>
    <n v="6"/>
    <x v="6"/>
  </r>
  <r>
    <x v="208"/>
    <x v="1716"/>
    <x v="4"/>
    <x v="0"/>
    <x v="683"/>
    <x v="16"/>
    <x v="0"/>
    <x v="1"/>
    <x v="1"/>
    <x v="6"/>
    <n v="6"/>
    <x v="6"/>
  </r>
  <r>
    <x v="208"/>
    <x v="1717"/>
    <x v="9"/>
    <x v="0"/>
    <x v="684"/>
    <x v="17"/>
    <x v="3"/>
    <x v="2"/>
    <x v="1"/>
    <x v="6"/>
    <n v="6"/>
    <x v="6"/>
  </r>
  <r>
    <x v="208"/>
    <x v="1718"/>
    <x v="12"/>
    <x v="0"/>
    <x v="445"/>
    <x v="16"/>
    <x v="0"/>
    <x v="2"/>
    <x v="1"/>
    <x v="6"/>
    <n v="6"/>
    <x v="6"/>
  </r>
  <r>
    <x v="208"/>
    <x v="1719"/>
    <x v="12"/>
    <x v="0"/>
    <x v="685"/>
    <x v="16"/>
    <x v="0"/>
    <x v="2"/>
    <x v="1"/>
    <x v="6"/>
    <n v="6"/>
    <x v="6"/>
  </r>
  <r>
    <x v="208"/>
    <x v="1720"/>
    <x v="14"/>
    <x v="0"/>
    <x v="686"/>
    <x v="16"/>
    <x v="7"/>
    <x v="2"/>
    <x v="1"/>
    <x v="6"/>
    <n v="6"/>
    <x v="6"/>
  </r>
  <r>
    <x v="208"/>
    <x v="1721"/>
    <x v="14"/>
    <x v="0"/>
    <x v="686"/>
    <x v="16"/>
    <x v="4"/>
    <x v="2"/>
    <x v="1"/>
    <x v="6"/>
    <n v="6"/>
    <x v="6"/>
  </r>
  <r>
    <x v="208"/>
    <x v="1722"/>
    <x v="14"/>
    <x v="0"/>
    <x v="687"/>
    <x v="18"/>
    <x v="5"/>
    <x v="2"/>
    <x v="1"/>
    <x v="6"/>
    <n v="6"/>
    <x v="6"/>
  </r>
  <r>
    <x v="208"/>
    <x v="1723"/>
    <x v="14"/>
    <x v="0"/>
    <x v="687"/>
    <x v="16"/>
    <x v="1"/>
    <x v="2"/>
    <x v="1"/>
    <x v="6"/>
    <n v="6"/>
    <x v="6"/>
  </r>
  <r>
    <x v="209"/>
    <x v="1724"/>
    <x v="0"/>
    <x v="0"/>
    <x v="467"/>
    <x v="18"/>
    <x v="2"/>
    <x v="0"/>
    <x v="2"/>
    <x v="6"/>
    <n v="7"/>
    <x v="6"/>
  </r>
  <r>
    <x v="209"/>
    <x v="1725"/>
    <x v="0"/>
    <x v="0"/>
    <x v="172"/>
    <x v="16"/>
    <x v="7"/>
    <x v="0"/>
    <x v="2"/>
    <x v="6"/>
    <n v="7"/>
    <x v="6"/>
  </r>
  <r>
    <x v="209"/>
    <x v="1726"/>
    <x v="0"/>
    <x v="0"/>
    <x v="172"/>
    <x v="16"/>
    <x v="7"/>
    <x v="0"/>
    <x v="2"/>
    <x v="6"/>
    <n v="7"/>
    <x v="6"/>
  </r>
  <r>
    <x v="209"/>
    <x v="1727"/>
    <x v="0"/>
    <x v="0"/>
    <x v="172"/>
    <x v="16"/>
    <x v="7"/>
    <x v="0"/>
    <x v="2"/>
    <x v="6"/>
    <n v="7"/>
    <x v="6"/>
  </r>
  <r>
    <x v="209"/>
    <x v="1728"/>
    <x v="0"/>
    <x v="0"/>
    <x v="333"/>
    <x v="17"/>
    <x v="3"/>
    <x v="0"/>
    <x v="2"/>
    <x v="6"/>
    <n v="7"/>
    <x v="6"/>
  </r>
  <r>
    <x v="209"/>
    <x v="1729"/>
    <x v="1"/>
    <x v="0"/>
    <x v="683"/>
    <x v="16"/>
    <x v="0"/>
    <x v="1"/>
    <x v="2"/>
    <x v="6"/>
    <n v="7"/>
    <x v="6"/>
  </r>
  <r>
    <x v="209"/>
    <x v="1730"/>
    <x v="1"/>
    <x v="0"/>
    <x v="141"/>
    <x v="18"/>
    <x v="5"/>
    <x v="1"/>
    <x v="2"/>
    <x v="6"/>
    <n v="7"/>
    <x v="6"/>
  </r>
  <r>
    <x v="209"/>
    <x v="1731"/>
    <x v="1"/>
    <x v="0"/>
    <x v="602"/>
    <x v="16"/>
    <x v="0"/>
    <x v="1"/>
    <x v="2"/>
    <x v="6"/>
    <n v="7"/>
    <x v="6"/>
  </r>
  <r>
    <x v="209"/>
    <x v="1732"/>
    <x v="1"/>
    <x v="0"/>
    <x v="688"/>
    <x v="16"/>
    <x v="0"/>
    <x v="1"/>
    <x v="2"/>
    <x v="6"/>
    <n v="7"/>
    <x v="6"/>
  </r>
  <r>
    <x v="209"/>
    <x v="1733"/>
    <x v="5"/>
    <x v="0"/>
    <x v="689"/>
    <x v="16"/>
    <x v="7"/>
    <x v="2"/>
    <x v="2"/>
    <x v="6"/>
    <n v="7"/>
    <x v="6"/>
  </r>
  <r>
    <x v="209"/>
    <x v="1734"/>
    <x v="14"/>
    <x v="0"/>
    <x v="690"/>
    <x v="16"/>
    <x v="0"/>
    <x v="2"/>
    <x v="2"/>
    <x v="6"/>
    <n v="7"/>
    <x v="6"/>
  </r>
  <r>
    <x v="210"/>
    <x v="1735"/>
    <x v="13"/>
    <x v="0"/>
    <x v="141"/>
    <x v="18"/>
    <x v="5"/>
    <x v="0"/>
    <x v="3"/>
    <x v="6"/>
    <n v="1"/>
    <x v="6"/>
  </r>
  <r>
    <x v="210"/>
    <x v="1736"/>
    <x v="13"/>
    <x v="0"/>
    <x v="691"/>
    <x v="18"/>
    <x v="5"/>
    <x v="0"/>
    <x v="3"/>
    <x v="6"/>
    <n v="1"/>
    <x v="6"/>
  </r>
  <r>
    <x v="210"/>
    <x v="1737"/>
    <x v="10"/>
    <x v="0"/>
    <x v="692"/>
    <x v="16"/>
    <x v="1"/>
    <x v="0"/>
    <x v="3"/>
    <x v="6"/>
    <n v="1"/>
    <x v="6"/>
  </r>
  <r>
    <x v="210"/>
    <x v="1738"/>
    <x v="0"/>
    <x v="0"/>
    <x v="276"/>
    <x v="17"/>
    <x v="3"/>
    <x v="0"/>
    <x v="3"/>
    <x v="6"/>
    <n v="1"/>
    <x v="6"/>
  </r>
  <r>
    <x v="210"/>
    <x v="1739"/>
    <x v="0"/>
    <x v="0"/>
    <x v="141"/>
    <x v="18"/>
    <x v="5"/>
    <x v="0"/>
    <x v="3"/>
    <x v="6"/>
    <n v="1"/>
    <x v="6"/>
  </r>
  <r>
    <x v="210"/>
    <x v="1740"/>
    <x v="7"/>
    <x v="0"/>
    <x v="693"/>
    <x v="17"/>
    <x v="3"/>
    <x v="0"/>
    <x v="3"/>
    <x v="6"/>
    <n v="1"/>
    <x v="6"/>
  </r>
  <r>
    <x v="210"/>
    <x v="1741"/>
    <x v="4"/>
    <x v="0"/>
    <x v="333"/>
    <x v="17"/>
    <x v="3"/>
    <x v="1"/>
    <x v="3"/>
    <x v="6"/>
    <n v="1"/>
    <x v="6"/>
  </r>
  <r>
    <x v="210"/>
    <x v="1742"/>
    <x v="6"/>
    <x v="0"/>
    <x v="507"/>
    <x v="16"/>
    <x v="0"/>
    <x v="2"/>
    <x v="3"/>
    <x v="6"/>
    <n v="1"/>
    <x v="6"/>
  </r>
  <r>
    <x v="210"/>
    <x v="1743"/>
    <x v="6"/>
    <x v="0"/>
    <x v="694"/>
    <x v="17"/>
    <x v="3"/>
    <x v="2"/>
    <x v="3"/>
    <x v="6"/>
    <n v="1"/>
    <x v="6"/>
  </r>
  <r>
    <x v="210"/>
    <x v="1744"/>
    <x v="6"/>
    <x v="0"/>
    <x v="694"/>
    <x v="18"/>
    <x v="5"/>
    <x v="2"/>
    <x v="3"/>
    <x v="6"/>
    <n v="1"/>
    <x v="6"/>
  </r>
  <r>
    <x v="210"/>
    <x v="1745"/>
    <x v="6"/>
    <x v="0"/>
    <x v="631"/>
    <x v="16"/>
    <x v="0"/>
    <x v="2"/>
    <x v="3"/>
    <x v="6"/>
    <n v="1"/>
    <x v="6"/>
  </r>
  <r>
    <x v="210"/>
    <x v="1746"/>
    <x v="12"/>
    <x v="0"/>
    <x v="531"/>
    <x v="17"/>
    <x v="3"/>
    <x v="2"/>
    <x v="3"/>
    <x v="6"/>
    <n v="1"/>
    <x v="6"/>
  </r>
  <r>
    <x v="210"/>
    <x v="1747"/>
    <x v="12"/>
    <x v="0"/>
    <x v="633"/>
    <x v="17"/>
    <x v="3"/>
    <x v="2"/>
    <x v="3"/>
    <x v="6"/>
    <n v="1"/>
    <x v="6"/>
  </r>
  <r>
    <x v="210"/>
    <x v="1748"/>
    <x v="15"/>
    <x v="0"/>
    <x v="695"/>
    <x v="17"/>
    <x v="3"/>
    <x v="2"/>
    <x v="3"/>
    <x v="6"/>
    <n v="1"/>
    <x v="6"/>
  </r>
  <r>
    <x v="211"/>
    <x v="1749"/>
    <x v="11"/>
    <x v="0"/>
    <x v="696"/>
    <x v="16"/>
    <x v="0"/>
    <x v="0"/>
    <x v="4"/>
    <x v="7"/>
    <n v="2"/>
    <x v="7"/>
  </r>
  <r>
    <x v="211"/>
    <x v="1750"/>
    <x v="10"/>
    <x v="0"/>
    <x v="276"/>
    <x v="17"/>
    <x v="3"/>
    <x v="0"/>
    <x v="4"/>
    <x v="7"/>
    <n v="2"/>
    <x v="7"/>
  </r>
  <r>
    <x v="211"/>
    <x v="1751"/>
    <x v="0"/>
    <x v="0"/>
    <x v="333"/>
    <x v="17"/>
    <x v="3"/>
    <x v="0"/>
    <x v="4"/>
    <x v="7"/>
    <n v="2"/>
    <x v="7"/>
  </r>
  <r>
    <x v="211"/>
    <x v="1752"/>
    <x v="0"/>
    <x v="0"/>
    <x v="333"/>
    <x v="17"/>
    <x v="3"/>
    <x v="0"/>
    <x v="4"/>
    <x v="7"/>
    <n v="2"/>
    <x v="7"/>
  </r>
  <r>
    <x v="211"/>
    <x v="1753"/>
    <x v="7"/>
    <x v="0"/>
    <x v="697"/>
    <x v="17"/>
    <x v="3"/>
    <x v="0"/>
    <x v="4"/>
    <x v="7"/>
    <n v="2"/>
    <x v="7"/>
  </r>
  <r>
    <x v="211"/>
    <x v="1754"/>
    <x v="1"/>
    <x v="0"/>
    <x v="698"/>
    <x v="17"/>
    <x v="3"/>
    <x v="1"/>
    <x v="4"/>
    <x v="7"/>
    <n v="2"/>
    <x v="7"/>
  </r>
  <r>
    <x v="211"/>
    <x v="1755"/>
    <x v="1"/>
    <x v="0"/>
    <x v="698"/>
    <x v="17"/>
    <x v="3"/>
    <x v="1"/>
    <x v="4"/>
    <x v="7"/>
    <n v="2"/>
    <x v="7"/>
  </r>
  <r>
    <x v="211"/>
    <x v="1756"/>
    <x v="8"/>
    <x v="0"/>
    <x v="699"/>
    <x v="18"/>
    <x v="2"/>
    <x v="1"/>
    <x v="4"/>
    <x v="7"/>
    <n v="2"/>
    <x v="7"/>
  </r>
  <r>
    <x v="211"/>
    <x v="1757"/>
    <x v="8"/>
    <x v="0"/>
    <x v="699"/>
    <x v="17"/>
    <x v="3"/>
    <x v="1"/>
    <x v="4"/>
    <x v="7"/>
    <n v="2"/>
    <x v="7"/>
  </r>
  <r>
    <x v="211"/>
    <x v="1758"/>
    <x v="4"/>
    <x v="0"/>
    <x v="637"/>
    <x v="16"/>
    <x v="1"/>
    <x v="1"/>
    <x v="4"/>
    <x v="7"/>
    <n v="2"/>
    <x v="7"/>
  </r>
  <r>
    <x v="211"/>
    <x v="1759"/>
    <x v="4"/>
    <x v="0"/>
    <x v="700"/>
    <x v="18"/>
    <x v="2"/>
    <x v="1"/>
    <x v="4"/>
    <x v="7"/>
    <n v="2"/>
    <x v="7"/>
  </r>
  <r>
    <x v="211"/>
    <x v="1760"/>
    <x v="5"/>
    <x v="0"/>
    <x v="701"/>
    <x v="16"/>
    <x v="0"/>
    <x v="2"/>
    <x v="4"/>
    <x v="7"/>
    <n v="2"/>
    <x v="7"/>
  </r>
  <r>
    <x v="211"/>
    <x v="1761"/>
    <x v="5"/>
    <x v="0"/>
    <x v="702"/>
    <x v="16"/>
    <x v="0"/>
    <x v="2"/>
    <x v="4"/>
    <x v="7"/>
    <n v="2"/>
    <x v="7"/>
  </r>
  <r>
    <x v="211"/>
    <x v="1762"/>
    <x v="5"/>
    <x v="0"/>
    <x v="702"/>
    <x v="16"/>
    <x v="1"/>
    <x v="2"/>
    <x v="4"/>
    <x v="7"/>
    <n v="2"/>
    <x v="7"/>
  </r>
  <r>
    <x v="211"/>
    <x v="1763"/>
    <x v="12"/>
    <x v="0"/>
    <x v="585"/>
    <x v="16"/>
    <x v="1"/>
    <x v="2"/>
    <x v="4"/>
    <x v="7"/>
    <n v="2"/>
    <x v="7"/>
  </r>
  <r>
    <x v="212"/>
    <x v="1764"/>
    <x v="11"/>
    <x v="0"/>
    <x v="703"/>
    <x v="16"/>
    <x v="0"/>
    <x v="0"/>
    <x v="5"/>
    <x v="7"/>
    <n v="3"/>
    <x v="7"/>
  </r>
  <r>
    <x v="212"/>
    <x v="1765"/>
    <x v="13"/>
    <x v="0"/>
    <x v="141"/>
    <x v="18"/>
    <x v="5"/>
    <x v="0"/>
    <x v="5"/>
    <x v="7"/>
    <n v="3"/>
    <x v="7"/>
  </r>
  <r>
    <x v="212"/>
    <x v="1766"/>
    <x v="10"/>
    <x v="0"/>
    <x v="276"/>
    <x v="17"/>
    <x v="3"/>
    <x v="0"/>
    <x v="5"/>
    <x v="7"/>
    <n v="3"/>
    <x v="7"/>
  </r>
  <r>
    <x v="212"/>
    <x v="1767"/>
    <x v="0"/>
    <x v="0"/>
    <x v="375"/>
    <x v="16"/>
    <x v="0"/>
    <x v="0"/>
    <x v="5"/>
    <x v="7"/>
    <n v="3"/>
    <x v="7"/>
  </r>
  <r>
    <x v="212"/>
    <x v="1768"/>
    <x v="0"/>
    <x v="0"/>
    <x v="704"/>
    <x v="17"/>
    <x v="3"/>
    <x v="0"/>
    <x v="5"/>
    <x v="7"/>
    <n v="3"/>
    <x v="7"/>
  </r>
  <r>
    <x v="212"/>
    <x v="1769"/>
    <x v="7"/>
    <x v="0"/>
    <x v="705"/>
    <x v="16"/>
    <x v="7"/>
    <x v="0"/>
    <x v="5"/>
    <x v="7"/>
    <n v="3"/>
    <x v="7"/>
  </r>
  <r>
    <x v="212"/>
    <x v="1770"/>
    <x v="3"/>
    <x v="0"/>
    <x v="706"/>
    <x v="16"/>
    <x v="7"/>
    <x v="1"/>
    <x v="5"/>
    <x v="7"/>
    <n v="3"/>
    <x v="7"/>
  </r>
  <r>
    <x v="212"/>
    <x v="1771"/>
    <x v="5"/>
    <x v="0"/>
    <x v="255"/>
    <x v="16"/>
    <x v="1"/>
    <x v="2"/>
    <x v="5"/>
    <x v="7"/>
    <n v="3"/>
    <x v="7"/>
  </r>
  <r>
    <x v="212"/>
    <x v="1772"/>
    <x v="14"/>
    <x v="0"/>
    <x v="637"/>
    <x v="16"/>
    <x v="1"/>
    <x v="2"/>
    <x v="5"/>
    <x v="7"/>
    <n v="3"/>
    <x v="7"/>
  </r>
  <r>
    <x v="212"/>
    <x v="1773"/>
    <x v="14"/>
    <x v="0"/>
    <x v="637"/>
    <x v="16"/>
    <x v="1"/>
    <x v="2"/>
    <x v="5"/>
    <x v="7"/>
    <n v="3"/>
    <x v="7"/>
  </r>
  <r>
    <x v="212"/>
    <x v="1774"/>
    <x v="14"/>
    <x v="0"/>
    <x v="707"/>
    <x v="16"/>
    <x v="1"/>
    <x v="2"/>
    <x v="5"/>
    <x v="7"/>
    <n v="3"/>
    <x v="7"/>
  </r>
  <r>
    <x v="213"/>
    <x v="1775"/>
    <x v="2"/>
    <x v="0"/>
    <x v="708"/>
    <x v="16"/>
    <x v="4"/>
    <x v="1"/>
    <x v="6"/>
    <x v="7"/>
    <n v="4"/>
    <x v="7"/>
  </r>
  <r>
    <x v="213"/>
    <x v="1776"/>
    <x v="3"/>
    <x v="0"/>
    <x v="709"/>
    <x v="17"/>
    <x v="3"/>
    <x v="1"/>
    <x v="6"/>
    <x v="7"/>
    <n v="4"/>
    <x v="7"/>
  </r>
  <r>
    <x v="213"/>
    <x v="1777"/>
    <x v="12"/>
    <x v="0"/>
    <x v="710"/>
    <x v="18"/>
    <x v="5"/>
    <x v="2"/>
    <x v="6"/>
    <x v="7"/>
    <n v="4"/>
    <x v="7"/>
  </r>
  <r>
    <x v="213"/>
    <x v="1778"/>
    <x v="12"/>
    <x v="0"/>
    <x v="710"/>
    <x v="16"/>
    <x v="1"/>
    <x v="2"/>
    <x v="6"/>
    <x v="7"/>
    <n v="4"/>
    <x v="7"/>
  </r>
  <r>
    <x v="213"/>
    <x v="1779"/>
    <x v="15"/>
    <x v="0"/>
    <x v="637"/>
    <x v="16"/>
    <x v="1"/>
    <x v="2"/>
    <x v="6"/>
    <x v="7"/>
    <n v="4"/>
    <x v="7"/>
  </r>
  <r>
    <x v="213"/>
    <x v="1780"/>
    <x v="15"/>
    <x v="0"/>
    <x v="637"/>
    <x v="16"/>
    <x v="1"/>
    <x v="2"/>
    <x v="6"/>
    <x v="7"/>
    <n v="4"/>
    <x v="7"/>
  </r>
  <r>
    <x v="213"/>
    <x v="1781"/>
    <x v="15"/>
    <x v="0"/>
    <x v="711"/>
    <x v="16"/>
    <x v="7"/>
    <x v="2"/>
    <x v="6"/>
    <x v="7"/>
    <n v="4"/>
    <x v="7"/>
  </r>
  <r>
    <x v="213"/>
    <x v="1782"/>
    <x v="15"/>
    <x v="0"/>
    <x v="712"/>
    <x v="16"/>
    <x v="1"/>
    <x v="2"/>
    <x v="6"/>
    <x v="7"/>
    <n v="4"/>
    <x v="7"/>
  </r>
  <r>
    <x v="214"/>
    <x v="1783"/>
    <x v="13"/>
    <x v="0"/>
    <x v="440"/>
    <x v="18"/>
    <x v="2"/>
    <x v="0"/>
    <x v="0"/>
    <x v="7"/>
    <n v="5"/>
    <x v="7"/>
  </r>
  <r>
    <x v="214"/>
    <x v="1784"/>
    <x v="13"/>
    <x v="0"/>
    <x v="440"/>
    <x v="18"/>
    <x v="2"/>
    <x v="0"/>
    <x v="0"/>
    <x v="7"/>
    <n v="5"/>
    <x v="7"/>
  </r>
  <r>
    <x v="214"/>
    <x v="1785"/>
    <x v="10"/>
    <x v="0"/>
    <x v="3"/>
    <x v="17"/>
    <x v="3"/>
    <x v="0"/>
    <x v="0"/>
    <x v="7"/>
    <n v="5"/>
    <x v="7"/>
  </r>
  <r>
    <x v="214"/>
    <x v="1786"/>
    <x v="10"/>
    <x v="0"/>
    <x v="2"/>
    <x v="18"/>
    <x v="2"/>
    <x v="0"/>
    <x v="0"/>
    <x v="7"/>
    <n v="5"/>
    <x v="7"/>
  </r>
  <r>
    <x v="214"/>
    <x v="1787"/>
    <x v="10"/>
    <x v="0"/>
    <x v="650"/>
    <x v="18"/>
    <x v="5"/>
    <x v="0"/>
    <x v="0"/>
    <x v="7"/>
    <n v="5"/>
    <x v="7"/>
  </r>
  <r>
    <x v="214"/>
    <x v="1788"/>
    <x v="10"/>
    <x v="0"/>
    <x v="650"/>
    <x v="18"/>
    <x v="5"/>
    <x v="0"/>
    <x v="0"/>
    <x v="7"/>
    <n v="5"/>
    <x v="7"/>
  </r>
  <r>
    <x v="214"/>
    <x v="1789"/>
    <x v="9"/>
    <x v="0"/>
    <x v="713"/>
    <x v="16"/>
    <x v="0"/>
    <x v="2"/>
    <x v="0"/>
    <x v="7"/>
    <n v="5"/>
    <x v="7"/>
  </r>
  <r>
    <x v="214"/>
    <x v="1790"/>
    <x v="9"/>
    <x v="0"/>
    <x v="714"/>
    <x v="16"/>
    <x v="1"/>
    <x v="2"/>
    <x v="0"/>
    <x v="7"/>
    <n v="5"/>
    <x v="7"/>
  </r>
  <r>
    <x v="214"/>
    <x v="1791"/>
    <x v="9"/>
    <x v="0"/>
    <x v="714"/>
    <x v="16"/>
    <x v="4"/>
    <x v="2"/>
    <x v="0"/>
    <x v="7"/>
    <n v="5"/>
    <x v="7"/>
  </r>
  <r>
    <x v="215"/>
    <x v="1792"/>
    <x v="10"/>
    <x v="0"/>
    <x v="141"/>
    <x v="18"/>
    <x v="5"/>
    <x v="0"/>
    <x v="1"/>
    <x v="7"/>
    <n v="6"/>
    <x v="7"/>
  </r>
  <r>
    <x v="215"/>
    <x v="1793"/>
    <x v="10"/>
    <x v="0"/>
    <x v="141"/>
    <x v="18"/>
    <x v="5"/>
    <x v="0"/>
    <x v="1"/>
    <x v="7"/>
    <n v="6"/>
    <x v="7"/>
  </r>
  <r>
    <x v="215"/>
    <x v="1794"/>
    <x v="10"/>
    <x v="0"/>
    <x v="715"/>
    <x v="16"/>
    <x v="4"/>
    <x v="0"/>
    <x v="1"/>
    <x v="7"/>
    <n v="6"/>
    <x v="7"/>
  </r>
  <r>
    <x v="215"/>
    <x v="1795"/>
    <x v="2"/>
    <x v="0"/>
    <x v="206"/>
    <x v="16"/>
    <x v="7"/>
    <x v="1"/>
    <x v="1"/>
    <x v="7"/>
    <n v="6"/>
    <x v="7"/>
  </r>
  <r>
    <x v="215"/>
    <x v="1796"/>
    <x v="12"/>
    <x v="0"/>
    <x v="12"/>
    <x v="18"/>
    <x v="2"/>
    <x v="2"/>
    <x v="1"/>
    <x v="7"/>
    <n v="6"/>
    <x v="7"/>
  </r>
  <r>
    <x v="215"/>
    <x v="1797"/>
    <x v="12"/>
    <x v="0"/>
    <x v="12"/>
    <x v="18"/>
    <x v="2"/>
    <x v="2"/>
    <x v="1"/>
    <x v="7"/>
    <n v="6"/>
    <x v="7"/>
  </r>
  <r>
    <x v="216"/>
    <x v="1798"/>
    <x v="13"/>
    <x v="0"/>
    <x v="141"/>
    <x v="18"/>
    <x v="5"/>
    <x v="0"/>
    <x v="2"/>
    <x v="7"/>
    <n v="7"/>
    <x v="7"/>
  </r>
  <r>
    <x v="216"/>
    <x v="1799"/>
    <x v="0"/>
    <x v="0"/>
    <x v="195"/>
    <x v="16"/>
    <x v="7"/>
    <x v="0"/>
    <x v="2"/>
    <x v="7"/>
    <n v="7"/>
    <x v="7"/>
  </r>
  <r>
    <x v="216"/>
    <x v="1800"/>
    <x v="0"/>
    <x v="0"/>
    <x v="195"/>
    <x v="18"/>
    <x v="5"/>
    <x v="0"/>
    <x v="2"/>
    <x v="7"/>
    <n v="7"/>
    <x v="7"/>
  </r>
  <r>
    <x v="216"/>
    <x v="1801"/>
    <x v="7"/>
    <x v="0"/>
    <x v="716"/>
    <x v="16"/>
    <x v="0"/>
    <x v="0"/>
    <x v="2"/>
    <x v="7"/>
    <n v="7"/>
    <x v="7"/>
  </r>
  <r>
    <x v="216"/>
    <x v="1802"/>
    <x v="1"/>
    <x v="0"/>
    <x v="665"/>
    <x v="16"/>
    <x v="0"/>
    <x v="1"/>
    <x v="2"/>
    <x v="7"/>
    <n v="7"/>
    <x v="7"/>
  </r>
  <r>
    <x v="216"/>
    <x v="1803"/>
    <x v="1"/>
    <x v="0"/>
    <x v="665"/>
    <x v="16"/>
    <x v="7"/>
    <x v="1"/>
    <x v="2"/>
    <x v="7"/>
    <n v="7"/>
    <x v="7"/>
  </r>
  <r>
    <x v="216"/>
    <x v="1804"/>
    <x v="1"/>
    <x v="0"/>
    <x v="665"/>
    <x v="17"/>
    <x v="3"/>
    <x v="1"/>
    <x v="2"/>
    <x v="7"/>
    <n v="7"/>
    <x v="7"/>
  </r>
  <r>
    <x v="216"/>
    <x v="1805"/>
    <x v="2"/>
    <x v="0"/>
    <x v="717"/>
    <x v="18"/>
    <x v="2"/>
    <x v="1"/>
    <x v="2"/>
    <x v="7"/>
    <n v="7"/>
    <x v="7"/>
  </r>
  <r>
    <x v="216"/>
    <x v="1806"/>
    <x v="2"/>
    <x v="0"/>
    <x v="717"/>
    <x v="16"/>
    <x v="7"/>
    <x v="1"/>
    <x v="2"/>
    <x v="7"/>
    <n v="7"/>
    <x v="7"/>
  </r>
  <r>
    <x v="216"/>
    <x v="1807"/>
    <x v="2"/>
    <x v="0"/>
    <x v="718"/>
    <x v="17"/>
    <x v="3"/>
    <x v="1"/>
    <x v="2"/>
    <x v="7"/>
    <n v="7"/>
    <x v="7"/>
  </r>
  <r>
    <x v="216"/>
    <x v="1808"/>
    <x v="2"/>
    <x v="0"/>
    <x v="718"/>
    <x v="16"/>
    <x v="0"/>
    <x v="1"/>
    <x v="2"/>
    <x v="7"/>
    <n v="7"/>
    <x v="7"/>
  </r>
  <r>
    <x v="216"/>
    <x v="1809"/>
    <x v="2"/>
    <x v="0"/>
    <x v="718"/>
    <x v="16"/>
    <x v="7"/>
    <x v="1"/>
    <x v="2"/>
    <x v="7"/>
    <n v="7"/>
    <x v="7"/>
  </r>
  <r>
    <x v="216"/>
    <x v="1810"/>
    <x v="4"/>
    <x v="0"/>
    <x v="719"/>
    <x v="16"/>
    <x v="7"/>
    <x v="1"/>
    <x v="2"/>
    <x v="7"/>
    <n v="7"/>
    <x v="7"/>
  </r>
  <r>
    <x v="216"/>
    <x v="1811"/>
    <x v="4"/>
    <x v="0"/>
    <x v="720"/>
    <x v="19"/>
    <x v="6"/>
    <x v="1"/>
    <x v="2"/>
    <x v="7"/>
    <n v="7"/>
    <x v="7"/>
  </r>
  <r>
    <x v="216"/>
    <x v="1812"/>
    <x v="5"/>
    <x v="0"/>
    <x v="721"/>
    <x v="17"/>
    <x v="3"/>
    <x v="2"/>
    <x v="2"/>
    <x v="7"/>
    <n v="7"/>
    <x v="7"/>
  </r>
  <r>
    <x v="216"/>
    <x v="1813"/>
    <x v="5"/>
    <x v="0"/>
    <x v="722"/>
    <x v="16"/>
    <x v="1"/>
    <x v="2"/>
    <x v="2"/>
    <x v="7"/>
    <n v="7"/>
    <x v="7"/>
  </r>
  <r>
    <x v="216"/>
    <x v="1814"/>
    <x v="15"/>
    <x v="0"/>
    <x v="723"/>
    <x v="16"/>
    <x v="1"/>
    <x v="2"/>
    <x v="2"/>
    <x v="7"/>
    <n v="7"/>
    <x v="7"/>
  </r>
  <r>
    <x v="216"/>
    <x v="1815"/>
    <x v="15"/>
    <x v="0"/>
    <x v="723"/>
    <x v="16"/>
    <x v="1"/>
    <x v="2"/>
    <x v="2"/>
    <x v="7"/>
    <n v="7"/>
    <x v="7"/>
  </r>
  <r>
    <x v="216"/>
    <x v="1816"/>
    <x v="15"/>
    <x v="0"/>
    <x v="636"/>
    <x v="16"/>
    <x v="1"/>
    <x v="2"/>
    <x v="2"/>
    <x v="7"/>
    <n v="7"/>
    <x v="7"/>
  </r>
  <r>
    <x v="216"/>
    <x v="1817"/>
    <x v="15"/>
    <x v="0"/>
    <x v="637"/>
    <x v="16"/>
    <x v="0"/>
    <x v="2"/>
    <x v="2"/>
    <x v="7"/>
    <n v="7"/>
    <x v="7"/>
  </r>
  <r>
    <x v="217"/>
    <x v="1818"/>
    <x v="13"/>
    <x v="0"/>
    <x v="724"/>
    <x v="16"/>
    <x v="0"/>
    <x v="0"/>
    <x v="3"/>
    <x v="7"/>
    <n v="1"/>
    <x v="7"/>
  </r>
  <r>
    <x v="217"/>
    <x v="1819"/>
    <x v="13"/>
    <x v="0"/>
    <x v="385"/>
    <x v="16"/>
    <x v="0"/>
    <x v="0"/>
    <x v="3"/>
    <x v="7"/>
    <n v="1"/>
    <x v="7"/>
  </r>
  <r>
    <x v="217"/>
    <x v="1820"/>
    <x v="13"/>
    <x v="0"/>
    <x v="385"/>
    <x v="17"/>
    <x v="3"/>
    <x v="0"/>
    <x v="3"/>
    <x v="7"/>
    <n v="1"/>
    <x v="7"/>
  </r>
  <r>
    <x v="217"/>
    <x v="1821"/>
    <x v="10"/>
    <x v="0"/>
    <x v="725"/>
    <x v="16"/>
    <x v="4"/>
    <x v="0"/>
    <x v="3"/>
    <x v="7"/>
    <n v="1"/>
    <x v="7"/>
  </r>
  <r>
    <x v="217"/>
    <x v="1822"/>
    <x v="10"/>
    <x v="0"/>
    <x v="726"/>
    <x v="16"/>
    <x v="0"/>
    <x v="0"/>
    <x v="3"/>
    <x v="7"/>
    <n v="1"/>
    <x v="7"/>
  </r>
  <r>
    <x v="217"/>
    <x v="1823"/>
    <x v="1"/>
    <x v="0"/>
    <x v="727"/>
    <x v="17"/>
    <x v="3"/>
    <x v="1"/>
    <x v="3"/>
    <x v="7"/>
    <n v="1"/>
    <x v="7"/>
  </r>
  <r>
    <x v="217"/>
    <x v="1824"/>
    <x v="8"/>
    <x v="0"/>
    <x v="728"/>
    <x v="18"/>
    <x v="2"/>
    <x v="1"/>
    <x v="3"/>
    <x v="7"/>
    <n v="1"/>
    <x v="7"/>
  </r>
  <r>
    <x v="217"/>
    <x v="1825"/>
    <x v="8"/>
    <x v="0"/>
    <x v="728"/>
    <x v="18"/>
    <x v="2"/>
    <x v="1"/>
    <x v="3"/>
    <x v="7"/>
    <n v="1"/>
    <x v="7"/>
  </r>
  <r>
    <x v="217"/>
    <x v="1826"/>
    <x v="9"/>
    <x v="0"/>
    <x v="494"/>
    <x v="16"/>
    <x v="0"/>
    <x v="2"/>
    <x v="3"/>
    <x v="7"/>
    <n v="1"/>
    <x v="7"/>
  </r>
  <r>
    <x v="217"/>
    <x v="1827"/>
    <x v="15"/>
    <x v="0"/>
    <x v="636"/>
    <x v="16"/>
    <x v="1"/>
    <x v="2"/>
    <x v="3"/>
    <x v="7"/>
    <n v="1"/>
    <x v="7"/>
  </r>
  <r>
    <x v="217"/>
    <x v="1828"/>
    <x v="15"/>
    <x v="0"/>
    <x v="636"/>
    <x v="16"/>
    <x v="1"/>
    <x v="2"/>
    <x v="3"/>
    <x v="7"/>
    <n v="1"/>
    <x v="7"/>
  </r>
  <r>
    <x v="217"/>
    <x v="1829"/>
    <x v="15"/>
    <x v="0"/>
    <x v="598"/>
    <x v="16"/>
    <x v="0"/>
    <x v="2"/>
    <x v="3"/>
    <x v="7"/>
    <n v="1"/>
    <x v="7"/>
  </r>
  <r>
    <x v="218"/>
    <x v="1830"/>
    <x v="13"/>
    <x v="0"/>
    <x v="703"/>
    <x v="16"/>
    <x v="0"/>
    <x v="0"/>
    <x v="4"/>
    <x v="7"/>
    <n v="2"/>
    <x v="7"/>
  </r>
  <r>
    <x v="218"/>
    <x v="1831"/>
    <x v="10"/>
    <x v="0"/>
    <x v="276"/>
    <x v="17"/>
    <x v="3"/>
    <x v="0"/>
    <x v="4"/>
    <x v="7"/>
    <n v="2"/>
    <x v="7"/>
  </r>
  <r>
    <x v="218"/>
    <x v="1832"/>
    <x v="0"/>
    <x v="0"/>
    <x v="700"/>
    <x v="18"/>
    <x v="2"/>
    <x v="0"/>
    <x v="4"/>
    <x v="7"/>
    <n v="2"/>
    <x v="7"/>
  </r>
  <r>
    <x v="218"/>
    <x v="1833"/>
    <x v="0"/>
    <x v="0"/>
    <x v="683"/>
    <x v="16"/>
    <x v="0"/>
    <x v="0"/>
    <x v="4"/>
    <x v="7"/>
    <n v="2"/>
    <x v="7"/>
  </r>
  <r>
    <x v="218"/>
    <x v="1834"/>
    <x v="7"/>
    <x v="0"/>
    <x v="726"/>
    <x v="16"/>
    <x v="0"/>
    <x v="0"/>
    <x v="4"/>
    <x v="7"/>
    <n v="2"/>
    <x v="7"/>
  </r>
  <r>
    <x v="218"/>
    <x v="1835"/>
    <x v="1"/>
    <x v="0"/>
    <x v="225"/>
    <x v="18"/>
    <x v="2"/>
    <x v="1"/>
    <x v="4"/>
    <x v="7"/>
    <n v="2"/>
    <x v="7"/>
  </r>
  <r>
    <x v="218"/>
    <x v="1836"/>
    <x v="1"/>
    <x v="0"/>
    <x v="225"/>
    <x v="18"/>
    <x v="2"/>
    <x v="1"/>
    <x v="4"/>
    <x v="7"/>
    <n v="2"/>
    <x v="7"/>
  </r>
  <r>
    <x v="218"/>
    <x v="1837"/>
    <x v="2"/>
    <x v="0"/>
    <x v="729"/>
    <x v="16"/>
    <x v="0"/>
    <x v="1"/>
    <x v="4"/>
    <x v="7"/>
    <n v="2"/>
    <x v="7"/>
  </r>
  <r>
    <x v="218"/>
    <x v="1838"/>
    <x v="2"/>
    <x v="0"/>
    <x v="729"/>
    <x v="16"/>
    <x v="0"/>
    <x v="1"/>
    <x v="4"/>
    <x v="7"/>
    <n v="2"/>
    <x v="7"/>
  </r>
  <r>
    <x v="218"/>
    <x v="1839"/>
    <x v="8"/>
    <x v="0"/>
    <x v="507"/>
    <x v="16"/>
    <x v="0"/>
    <x v="1"/>
    <x v="4"/>
    <x v="7"/>
    <n v="2"/>
    <x v="7"/>
  </r>
  <r>
    <x v="218"/>
    <x v="1840"/>
    <x v="3"/>
    <x v="0"/>
    <x v="475"/>
    <x v="16"/>
    <x v="0"/>
    <x v="1"/>
    <x v="4"/>
    <x v="7"/>
    <n v="2"/>
    <x v="7"/>
  </r>
  <r>
    <x v="218"/>
    <x v="1841"/>
    <x v="3"/>
    <x v="0"/>
    <x v="50"/>
    <x v="18"/>
    <x v="2"/>
    <x v="1"/>
    <x v="4"/>
    <x v="7"/>
    <n v="2"/>
    <x v="7"/>
  </r>
  <r>
    <x v="218"/>
    <x v="1842"/>
    <x v="3"/>
    <x v="0"/>
    <x v="730"/>
    <x v="17"/>
    <x v="3"/>
    <x v="1"/>
    <x v="4"/>
    <x v="7"/>
    <n v="2"/>
    <x v="7"/>
  </r>
  <r>
    <x v="218"/>
    <x v="1843"/>
    <x v="12"/>
    <x v="0"/>
    <x v="731"/>
    <x v="16"/>
    <x v="1"/>
    <x v="2"/>
    <x v="4"/>
    <x v="7"/>
    <n v="2"/>
    <x v="7"/>
  </r>
  <r>
    <x v="218"/>
    <x v="1844"/>
    <x v="12"/>
    <x v="0"/>
    <x v="731"/>
    <x v="16"/>
    <x v="7"/>
    <x v="2"/>
    <x v="4"/>
    <x v="7"/>
    <n v="2"/>
    <x v="7"/>
  </r>
  <r>
    <x v="218"/>
    <x v="1845"/>
    <x v="12"/>
    <x v="0"/>
    <x v="732"/>
    <x v="16"/>
    <x v="0"/>
    <x v="2"/>
    <x v="4"/>
    <x v="7"/>
    <n v="2"/>
    <x v="7"/>
  </r>
  <r>
    <x v="218"/>
    <x v="1846"/>
    <x v="15"/>
    <x v="0"/>
    <x v="40"/>
    <x v="17"/>
    <x v="3"/>
    <x v="2"/>
    <x v="4"/>
    <x v="7"/>
    <n v="2"/>
    <x v="7"/>
  </r>
  <r>
    <x v="218"/>
    <x v="1847"/>
    <x v="15"/>
    <x v="0"/>
    <x v="40"/>
    <x v="17"/>
    <x v="3"/>
    <x v="2"/>
    <x v="4"/>
    <x v="7"/>
    <n v="2"/>
    <x v="7"/>
  </r>
  <r>
    <x v="219"/>
    <x v="1848"/>
    <x v="11"/>
    <x v="0"/>
    <x v="570"/>
    <x v="16"/>
    <x v="0"/>
    <x v="0"/>
    <x v="5"/>
    <x v="7"/>
    <n v="3"/>
    <x v="7"/>
  </r>
  <r>
    <x v="219"/>
    <x v="1849"/>
    <x v="13"/>
    <x v="0"/>
    <x v="276"/>
    <x v="17"/>
    <x v="3"/>
    <x v="0"/>
    <x v="5"/>
    <x v="7"/>
    <n v="3"/>
    <x v="7"/>
  </r>
  <r>
    <x v="219"/>
    <x v="1850"/>
    <x v="10"/>
    <x v="0"/>
    <x v="424"/>
    <x v="17"/>
    <x v="3"/>
    <x v="0"/>
    <x v="5"/>
    <x v="7"/>
    <n v="3"/>
    <x v="7"/>
  </r>
  <r>
    <x v="219"/>
    <x v="1851"/>
    <x v="10"/>
    <x v="0"/>
    <x v="494"/>
    <x v="16"/>
    <x v="0"/>
    <x v="0"/>
    <x v="5"/>
    <x v="7"/>
    <n v="3"/>
    <x v="7"/>
  </r>
  <r>
    <x v="219"/>
    <x v="1852"/>
    <x v="0"/>
    <x v="0"/>
    <x v="733"/>
    <x v="19"/>
    <x v="6"/>
    <x v="0"/>
    <x v="5"/>
    <x v="7"/>
    <n v="3"/>
    <x v="7"/>
  </r>
  <r>
    <x v="219"/>
    <x v="1853"/>
    <x v="7"/>
    <x v="0"/>
    <x v="734"/>
    <x v="18"/>
    <x v="2"/>
    <x v="0"/>
    <x v="5"/>
    <x v="7"/>
    <n v="3"/>
    <x v="7"/>
  </r>
  <r>
    <x v="219"/>
    <x v="1854"/>
    <x v="2"/>
    <x v="0"/>
    <x v="726"/>
    <x v="16"/>
    <x v="0"/>
    <x v="1"/>
    <x v="5"/>
    <x v="7"/>
    <n v="3"/>
    <x v="7"/>
  </r>
  <r>
    <x v="219"/>
    <x v="1855"/>
    <x v="2"/>
    <x v="0"/>
    <x v="735"/>
    <x v="17"/>
    <x v="3"/>
    <x v="1"/>
    <x v="5"/>
    <x v="7"/>
    <n v="3"/>
    <x v="7"/>
  </r>
  <r>
    <x v="219"/>
    <x v="1856"/>
    <x v="9"/>
    <x v="0"/>
    <x v="658"/>
    <x v="16"/>
    <x v="7"/>
    <x v="2"/>
    <x v="5"/>
    <x v="7"/>
    <n v="3"/>
    <x v="7"/>
  </r>
  <r>
    <x v="219"/>
    <x v="1857"/>
    <x v="9"/>
    <x v="0"/>
    <x v="658"/>
    <x v="18"/>
    <x v="2"/>
    <x v="2"/>
    <x v="5"/>
    <x v="7"/>
    <n v="3"/>
    <x v="7"/>
  </r>
  <r>
    <x v="219"/>
    <x v="1858"/>
    <x v="9"/>
    <x v="0"/>
    <x v="736"/>
    <x v="19"/>
    <x v="6"/>
    <x v="2"/>
    <x v="5"/>
    <x v="7"/>
    <n v="3"/>
    <x v="7"/>
  </r>
  <r>
    <x v="219"/>
    <x v="1859"/>
    <x v="12"/>
    <x v="0"/>
    <x v="737"/>
    <x v="16"/>
    <x v="7"/>
    <x v="2"/>
    <x v="5"/>
    <x v="7"/>
    <n v="3"/>
    <x v="7"/>
  </r>
  <r>
    <x v="220"/>
    <x v="1860"/>
    <x v="13"/>
    <x v="0"/>
    <x v="2"/>
    <x v="18"/>
    <x v="2"/>
    <x v="0"/>
    <x v="6"/>
    <x v="7"/>
    <n v="4"/>
    <x v="7"/>
  </r>
  <r>
    <x v="220"/>
    <x v="1861"/>
    <x v="10"/>
    <x v="0"/>
    <x v="276"/>
    <x v="17"/>
    <x v="3"/>
    <x v="0"/>
    <x v="6"/>
    <x v="7"/>
    <n v="4"/>
    <x v="7"/>
  </r>
  <r>
    <x v="220"/>
    <x v="1862"/>
    <x v="10"/>
    <x v="0"/>
    <x v="738"/>
    <x v="16"/>
    <x v="1"/>
    <x v="0"/>
    <x v="6"/>
    <x v="7"/>
    <n v="4"/>
    <x v="7"/>
  </r>
  <r>
    <x v="220"/>
    <x v="1863"/>
    <x v="0"/>
    <x v="0"/>
    <x v="375"/>
    <x v="16"/>
    <x v="0"/>
    <x v="0"/>
    <x v="6"/>
    <x v="7"/>
    <n v="4"/>
    <x v="7"/>
  </r>
  <r>
    <x v="220"/>
    <x v="1864"/>
    <x v="0"/>
    <x v="0"/>
    <x v="141"/>
    <x v="18"/>
    <x v="5"/>
    <x v="0"/>
    <x v="6"/>
    <x v="7"/>
    <n v="4"/>
    <x v="7"/>
  </r>
  <r>
    <x v="220"/>
    <x v="1865"/>
    <x v="0"/>
    <x v="0"/>
    <x v="141"/>
    <x v="18"/>
    <x v="5"/>
    <x v="0"/>
    <x v="6"/>
    <x v="7"/>
    <n v="4"/>
    <x v="7"/>
  </r>
  <r>
    <x v="220"/>
    <x v="1866"/>
    <x v="0"/>
    <x v="0"/>
    <x v="739"/>
    <x v="16"/>
    <x v="0"/>
    <x v="0"/>
    <x v="6"/>
    <x v="7"/>
    <n v="4"/>
    <x v="7"/>
  </r>
  <r>
    <x v="220"/>
    <x v="1867"/>
    <x v="7"/>
    <x v="0"/>
    <x v="740"/>
    <x v="16"/>
    <x v="0"/>
    <x v="0"/>
    <x v="6"/>
    <x v="7"/>
    <n v="4"/>
    <x v="7"/>
  </r>
  <r>
    <x v="220"/>
    <x v="1868"/>
    <x v="3"/>
    <x v="0"/>
    <x v="510"/>
    <x v="16"/>
    <x v="7"/>
    <x v="1"/>
    <x v="6"/>
    <x v="7"/>
    <n v="4"/>
    <x v="7"/>
  </r>
  <r>
    <x v="220"/>
    <x v="1869"/>
    <x v="9"/>
    <x v="0"/>
    <x v="741"/>
    <x v="16"/>
    <x v="0"/>
    <x v="2"/>
    <x v="6"/>
    <x v="7"/>
    <n v="4"/>
    <x v="7"/>
  </r>
  <r>
    <x v="220"/>
    <x v="1870"/>
    <x v="5"/>
    <x v="0"/>
    <x v="742"/>
    <x v="18"/>
    <x v="2"/>
    <x v="2"/>
    <x v="6"/>
    <x v="7"/>
    <n v="4"/>
    <x v="7"/>
  </r>
  <r>
    <x v="220"/>
    <x v="1871"/>
    <x v="5"/>
    <x v="0"/>
    <x v="713"/>
    <x v="17"/>
    <x v="3"/>
    <x v="2"/>
    <x v="6"/>
    <x v="7"/>
    <n v="4"/>
    <x v="7"/>
  </r>
  <r>
    <x v="220"/>
    <x v="1872"/>
    <x v="5"/>
    <x v="0"/>
    <x v="713"/>
    <x v="16"/>
    <x v="0"/>
    <x v="2"/>
    <x v="6"/>
    <x v="7"/>
    <n v="4"/>
    <x v="7"/>
  </r>
  <r>
    <x v="220"/>
    <x v="1873"/>
    <x v="14"/>
    <x v="0"/>
    <x v="637"/>
    <x v="16"/>
    <x v="1"/>
    <x v="2"/>
    <x v="6"/>
    <x v="7"/>
    <n v="4"/>
    <x v="7"/>
  </r>
  <r>
    <x v="220"/>
    <x v="1874"/>
    <x v="14"/>
    <x v="0"/>
    <x v="637"/>
    <x v="16"/>
    <x v="1"/>
    <x v="2"/>
    <x v="6"/>
    <x v="7"/>
    <n v="4"/>
    <x v="7"/>
  </r>
  <r>
    <x v="221"/>
    <x v="1875"/>
    <x v="11"/>
    <x v="0"/>
    <x v="276"/>
    <x v="17"/>
    <x v="3"/>
    <x v="0"/>
    <x v="0"/>
    <x v="7"/>
    <n v="5"/>
    <x v="7"/>
  </r>
  <r>
    <x v="221"/>
    <x v="1876"/>
    <x v="13"/>
    <x v="0"/>
    <x v="703"/>
    <x v="16"/>
    <x v="0"/>
    <x v="0"/>
    <x v="0"/>
    <x v="7"/>
    <n v="5"/>
    <x v="7"/>
  </r>
  <r>
    <x v="221"/>
    <x v="1877"/>
    <x v="13"/>
    <x v="0"/>
    <x v="141"/>
    <x v="18"/>
    <x v="5"/>
    <x v="0"/>
    <x v="0"/>
    <x v="7"/>
    <n v="5"/>
    <x v="7"/>
  </r>
  <r>
    <x v="221"/>
    <x v="1878"/>
    <x v="13"/>
    <x v="0"/>
    <x v="570"/>
    <x v="16"/>
    <x v="0"/>
    <x v="0"/>
    <x v="0"/>
    <x v="7"/>
    <n v="5"/>
    <x v="7"/>
  </r>
  <r>
    <x v="221"/>
    <x v="1879"/>
    <x v="13"/>
    <x v="0"/>
    <x v="570"/>
    <x v="16"/>
    <x v="4"/>
    <x v="0"/>
    <x v="0"/>
    <x v="7"/>
    <n v="5"/>
    <x v="7"/>
  </r>
  <r>
    <x v="221"/>
    <x v="1880"/>
    <x v="13"/>
    <x v="0"/>
    <x v="725"/>
    <x v="16"/>
    <x v="4"/>
    <x v="0"/>
    <x v="0"/>
    <x v="7"/>
    <n v="5"/>
    <x v="7"/>
  </r>
  <r>
    <x v="221"/>
    <x v="1881"/>
    <x v="13"/>
    <x v="0"/>
    <x v="726"/>
    <x v="17"/>
    <x v="3"/>
    <x v="0"/>
    <x v="0"/>
    <x v="7"/>
    <n v="5"/>
    <x v="7"/>
  </r>
  <r>
    <x v="221"/>
    <x v="1882"/>
    <x v="13"/>
    <x v="0"/>
    <x v="743"/>
    <x v="16"/>
    <x v="1"/>
    <x v="0"/>
    <x v="0"/>
    <x v="7"/>
    <n v="5"/>
    <x v="7"/>
  </r>
  <r>
    <x v="221"/>
    <x v="1883"/>
    <x v="10"/>
    <x v="0"/>
    <x v="744"/>
    <x v="17"/>
    <x v="3"/>
    <x v="0"/>
    <x v="0"/>
    <x v="7"/>
    <n v="5"/>
    <x v="7"/>
  </r>
  <r>
    <x v="221"/>
    <x v="1884"/>
    <x v="10"/>
    <x v="0"/>
    <x v="402"/>
    <x v="18"/>
    <x v="5"/>
    <x v="0"/>
    <x v="0"/>
    <x v="7"/>
    <n v="5"/>
    <x v="7"/>
  </r>
  <r>
    <x v="221"/>
    <x v="1885"/>
    <x v="0"/>
    <x v="0"/>
    <x v="375"/>
    <x v="18"/>
    <x v="2"/>
    <x v="0"/>
    <x v="0"/>
    <x v="7"/>
    <n v="5"/>
    <x v="7"/>
  </r>
  <r>
    <x v="221"/>
    <x v="1886"/>
    <x v="0"/>
    <x v="0"/>
    <x v="375"/>
    <x v="18"/>
    <x v="2"/>
    <x v="0"/>
    <x v="0"/>
    <x v="7"/>
    <n v="5"/>
    <x v="7"/>
  </r>
  <r>
    <x v="221"/>
    <x v="1887"/>
    <x v="0"/>
    <x v="0"/>
    <x v="242"/>
    <x v="17"/>
    <x v="3"/>
    <x v="0"/>
    <x v="0"/>
    <x v="7"/>
    <n v="5"/>
    <x v="7"/>
  </r>
  <r>
    <x v="221"/>
    <x v="1888"/>
    <x v="2"/>
    <x v="0"/>
    <x v="740"/>
    <x v="16"/>
    <x v="0"/>
    <x v="1"/>
    <x v="0"/>
    <x v="7"/>
    <n v="5"/>
    <x v="7"/>
  </r>
  <r>
    <x v="221"/>
    <x v="1889"/>
    <x v="2"/>
    <x v="0"/>
    <x v="12"/>
    <x v="18"/>
    <x v="2"/>
    <x v="1"/>
    <x v="0"/>
    <x v="7"/>
    <n v="5"/>
    <x v="7"/>
  </r>
  <r>
    <x v="221"/>
    <x v="1890"/>
    <x v="2"/>
    <x v="0"/>
    <x v="12"/>
    <x v="18"/>
    <x v="2"/>
    <x v="1"/>
    <x v="0"/>
    <x v="7"/>
    <n v="5"/>
    <x v="7"/>
  </r>
  <r>
    <x v="221"/>
    <x v="1891"/>
    <x v="8"/>
    <x v="0"/>
    <x v="745"/>
    <x v="16"/>
    <x v="4"/>
    <x v="1"/>
    <x v="0"/>
    <x v="7"/>
    <n v="5"/>
    <x v="7"/>
  </r>
  <r>
    <x v="221"/>
    <x v="1892"/>
    <x v="8"/>
    <x v="0"/>
    <x v="745"/>
    <x v="18"/>
    <x v="2"/>
    <x v="1"/>
    <x v="0"/>
    <x v="7"/>
    <n v="5"/>
    <x v="7"/>
  </r>
  <r>
    <x v="221"/>
    <x v="1893"/>
    <x v="8"/>
    <x v="0"/>
    <x v="714"/>
    <x v="16"/>
    <x v="7"/>
    <x v="1"/>
    <x v="0"/>
    <x v="7"/>
    <n v="5"/>
    <x v="7"/>
  </r>
  <r>
    <x v="221"/>
    <x v="1894"/>
    <x v="9"/>
    <x v="0"/>
    <x v="746"/>
    <x v="16"/>
    <x v="0"/>
    <x v="2"/>
    <x v="0"/>
    <x v="7"/>
    <n v="5"/>
    <x v="7"/>
  </r>
  <r>
    <x v="221"/>
    <x v="1895"/>
    <x v="9"/>
    <x v="0"/>
    <x v="746"/>
    <x v="16"/>
    <x v="1"/>
    <x v="2"/>
    <x v="0"/>
    <x v="7"/>
    <n v="5"/>
    <x v="7"/>
  </r>
  <r>
    <x v="221"/>
    <x v="1896"/>
    <x v="9"/>
    <x v="0"/>
    <x v="747"/>
    <x v="16"/>
    <x v="1"/>
    <x v="2"/>
    <x v="0"/>
    <x v="7"/>
    <n v="5"/>
    <x v="7"/>
  </r>
  <r>
    <x v="221"/>
    <x v="1897"/>
    <x v="15"/>
    <x v="0"/>
    <x v="690"/>
    <x v="16"/>
    <x v="0"/>
    <x v="2"/>
    <x v="0"/>
    <x v="7"/>
    <n v="5"/>
    <x v="7"/>
  </r>
  <r>
    <x v="221"/>
    <x v="1898"/>
    <x v="15"/>
    <x v="0"/>
    <x v="748"/>
    <x v="17"/>
    <x v="3"/>
    <x v="2"/>
    <x v="0"/>
    <x v="7"/>
    <n v="5"/>
    <x v="7"/>
  </r>
  <r>
    <x v="221"/>
    <x v="1899"/>
    <x v="14"/>
    <x v="0"/>
    <x v="749"/>
    <x v="16"/>
    <x v="1"/>
    <x v="2"/>
    <x v="0"/>
    <x v="7"/>
    <n v="5"/>
    <x v="7"/>
  </r>
  <r>
    <x v="221"/>
    <x v="1900"/>
    <x v="14"/>
    <x v="0"/>
    <x v="749"/>
    <x v="16"/>
    <x v="1"/>
    <x v="2"/>
    <x v="0"/>
    <x v="7"/>
    <n v="5"/>
    <x v="7"/>
  </r>
  <r>
    <x v="222"/>
    <x v="1901"/>
    <x v="13"/>
    <x v="0"/>
    <x v="141"/>
    <x v="18"/>
    <x v="5"/>
    <x v="0"/>
    <x v="1"/>
    <x v="7"/>
    <n v="6"/>
    <x v="7"/>
  </r>
  <r>
    <x v="222"/>
    <x v="1902"/>
    <x v="0"/>
    <x v="0"/>
    <x v="650"/>
    <x v="18"/>
    <x v="5"/>
    <x v="0"/>
    <x v="1"/>
    <x v="7"/>
    <n v="6"/>
    <x v="7"/>
  </r>
  <r>
    <x v="222"/>
    <x v="1903"/>
    <x v="0"/>
    <x v="0"/>
    <x v="650"/>
    <x v="18"/>
    <x v="5"/>
    <x v="0"/>
    <x v="1"/>
    <x v="7"/>
    <n v="6"/>
    <x v="7"/>
  </r>
  <r>
    <x v="222"/>
    <x v="1904"/>
    <x v="7"/>
    <x v="0"/>
    <x v="507"/>
    <x v="16"/>
    <x v="0"/>
    <x v="0"/>
    <x v="1"/>
    <x v="7"/>
    <n v="6"/>
    <x v="7"/>
  </r>
  <r>
    <x v="222"/>
    <x v="1905"/>
    <x v="7"/>
    <x v="0"/>
    <x v="750"/>
    <x v="17"/>
    <x v="3"/>
    <x v="0"/>
    <x v="1"/>
    <x v="7"/>
    <n v="6"/>
    <x v="7"/>
  </r>
  <r>
    <x v="222"/>
    <x v="1906"/>
    <x v="2"/>
    <x v="0"/>
    <x v="751"/>
    <x v="16"/>
    <x v="7"/>
    <x v="1"/>
    <x v="1"/>
    <x v="7"/>
    <n v="6"/>
    <x v="7"/>
  </r>
  <r>
    <x v="222"/>
    <x v="1907"/>
    <x v="12"/>
    <x v="0"/>
    <x v="507"/>
    <x v="16"/>
    <x v="0"/>
    <x v="2"/>
    <x v="1"/>
    <x v="7"/>
    <n v="6"/>
    <x v="7"/>
  </r>
  <r>
    <x v="223"/>
    <x v="1908"/>
    <x v="10"/>
    <x v="0"/>
    <x v="141"/>
    <x v="18"/>
    <x v="5"/>
    <x v="0"/>
    <x v="2"/>
    <x v="7"/>
    <n v="7"/>
    <x v="7"/>
  </r>
  <r>
    <x v="223"/>
    <x v="1909"/>
    <x v="1"/>
    <x v="0"/>
    <x v="752"/>
    <x v="17"/>
    <x v="3"/>
    <x v="1"/>
    <x v="2"/>
    <x v="7"/>
    <n v="7"/>
    <x v="7"/>
  </r>
  <r>
    <x v="223"/>
    <x v="1910"/>
    <x v="2"/>
    <x v="0"/>
    <x v="650"/>
    <x v="18"/>
    <x v="5"/>
    <x v="1"/>
    <x v="2"/>
    <x v="7"/>
    <n v="7"/>
    <x v="7"/>
  </r>
  <r>
    <x v="223"/>
    <x v="1911"/>
    <x v="2"/>
    <x v="0"/>
    <x v="650"/>
    <x v="19"/>
    <x v="6"/>
    <x v="1"/>
    <x v="2"/>
    <x v="7"/>
    <n v="7"/>
    <x v="7"/>
  </r>
  <r>
    <x v="223"/>
    <x v="1912"/>
    <x v="2"/>
    <x v="0"/>
    <x v="650"/>
    <x v="18"/>
    <x v="5"/>
    <x v="1"/>
    <x v="2"/>
    <x v="7"/>
    <n v="7"/>
    <x v="7"/>
  </r>
  <r>
    <x v="223"/>
    <x v="1913"/>
    <x v="9"/>
    <x v="0"/>
    <x v="507"/>
    <x v="16"/>
    <x v="0"/>
    <x v="2"/>
    <x v="2"/>
    <x v="7"/>
    <n v="7"/>
    <x v="7"/>
  </r>
  <r>
    <x v="223"/>
    <x v="1914"/>
    <x v="9"/>
    <x v="0"/>
    <x v="507"/>
    <x v="16"/>
    <x v="0"/>
    <x v="2"/>
    <x v="2"/>
    <x v="7"/>
    <n v="7"/>
    <x v="7"/>
  </r>
  <r>
    <x v="223"/>
    <x v="1915"/>
    <x v="5"/>
    <x v="0"/>
    <x v="753"/>
    <x v="16"/>
    <x v="7"/>
    <x v="2"/>
    <x v="2"/>
    <x v="7"/>
    <n v="7"/>
    <x v="7"/>
  </r>
  <r>
    <x v="223"/>
    <x v="1916"/>
    <x v="12"/>
    <x v="0"/>
    <x v="257"/>
    <x v="16"/>
    <x v="7"/>
    <x v="2"/>
    <x v="2"/>
    <x v="7"/>
    <n v="7"/>
    <x v="7"/>
  </r>
  <r>
    <x v="224"/>
    <x v="1917"/>
    <x v="13"/>
    <x v="0"/>
    <x v="276"/>
    <x v="17"/>
    <x v="3"/>
    <x v="0"/>
    <x v="3"/>
    <x v="7"/>
    <n v="1"/>
    <x v="7"/>
  </r>
  <r>
    <x v="224"/>
    <x v="1918"/>
    <x v="10"/>
    <x v="0"/>
    <x v="754"/>
    <x v="16"/>
    <x v="4"/>
    <x v="0"/>
    <x v="3"/>
    <x v="7"/>
    <n v="1"/>
    <x v="7"/>
  </r>
  <r>
    <x v="224"/>
    <x v="1919"/>
    <x v="0"/>
    <x v="0"/>
    <x v="141"/>
    <x v="18"/>
    <x v="5"/>
    <x v="0"/>
    <x v="3"/>
    <x v="7"/>
    <n v="1"/>
    <x v="7"/>
  </r>
  <r>
    <x v="224"/>
    <x v="1920"/>
    <x v="0"/>
    <x v="0"/>
    <x v="440"/>
    <x v="16"/>
    <x v="0"/>
    <x v="0"/>
    <x v="3"/>
    <x v="7"/>
    <n v="1"/>
    <x v="7"/>
  </r>
  <r>
    <x v="224"/>
    <x v="1921"/>
    <x v="0"/>
    <x v="0"/>
    <x v="440"/>
    <x v="16"/>
    <x v="0"/>
    <x v="0"/>
    <x v="3"/>
    <x v="7"/>
    <n v="1"/>
    <x v="7"/>
  </r>
  <r>
    <x v="224"/>
    <x v="1922"/>
    <x v="7"/>
    <x v="0"/>
    <x v="755"/>
    <x v="16"/>
    <x v="7"/>
    <x v="0"/>
    <x v="3"/>
    <x v="7"/>
    <n v="1"/>
    <x v="7"/>
  </r>
  <r>
    <x v="224"/>
    <x v="1923"/>
    <x v="7"/>
    <x v="0"/>
    <x v="225"/>
    <x v="18"/>
    <x v="2"/>
    <x v="0"/>
    <x v="3"/>
    <x v="7"/>
    <n v="1"/>
    <x v="7"/>
  </r>
  <r>
    <x v="224"/>
    <x v="1924"/>
    <x v="7"/>
    <x v="0"/>
    <x v="225"/>
    <x v="18"/>
    <x v="2"/>
    <x v="0"/>
    <x v="3"/>
    <x v="7"/>
    <n v="1"/>
    <x v="7"/>
  </r>
  <r>
    <x v="224"/>
    <x v="1925"/>
    <x v="8"/>
    <x v="0"/>
    <x v="756"/>
    <x v="16"/>
    <x v="0"/>
    <x v="1"/>
    <x v="3"/>
    <x v="7"/>
    <n v="1"/>
    <x v="7"/>
  </r>
  <r>
    <x v="224"/>
    <x v="1926"/>
    <x v="8"/>
    <x v="0"/>
    <x v="507"/>
    <x v="16"/>
    <x v="0"/>
    <x v="1"/>
    <x v="3"/>
    <x v="7"/>
    <n v="1"/>
    <x v="7"/>
  </r>
  <r>
    <x v="224"/>
    <x v="1927"/>
    <x v="4"/>
    <x v="0"/>
    <x v="757"/>
    <x v="18"/>
    <x v="2"/>
    <x v="1"/>
    <x v="3"/>
    <x v="7"/>
    <n v="1"/>
    <x v="7"/>
  </r>
  <r>
    <x v="224"/>
    <x v="1928"/>
    <x v="5"/>
    <x v="0"/>
    <x v="758"/>
    <x v="16"/>
    <x v="0"/>
    <x v="2"/>
    <x v="3"/>
    <x v="7"/>
    <n v="1"/>
    <x v="7"/>
  </r>
  <r>
    <x v="224"/>
    <x v="1929"/>
    <x v="5"/>
    <x v="0"/>
    <x v="758"/>
    <x v="16"/>
    <x v="7"/>
    <x v="2"/>
    <x v="3"/>
    <x v="7"/>
    <n v="1"/>
    <x v="7"/>
  </r>
  <r>
    <x v="224"/>
    <x v="1930"/>
    <x v="14"/>
    <x v="0"/>
    <x v="759"/>
    <x v="16"/>
    <x v="0"/>
    <x v="2"/>
    <x v="3"/>
    <x v="7"/>
    <n v="1"/>
    <x v="7"/>
  </r>
  <r>
    <x v="224"/>
    <x v="1931"/>
    <x v="14"/>
    <x v="0"/>
    <x v="760"/>
    <x v="16"/>
    <x v="0"/>
    <x v="2"/>
    <x v="3"/>
    <x v="7"/>
    <n v="1"/>
    <x v="7"/>
  </r>
  <r>
    <x v="224"/>
    <x v="1932"/>
    <x v="14"/>
    <x v="0"/>
    <x v="510"/>
    <x v="16"/>
    <x v="0"/>
    <x v="2"/>
    <x v="3"/>
    <x v="7"/>
    <n v="1"/>
    <x v="7"/>
  </r>
  <r>
    <x v="225"/>
    <x v="1933"/>
    <x v="13"/>
    <x v="0"/>
    <x v="141"/>
    <x v="18"/>
    <x v="5"/>
    <x v="0"/>
    <x v="4"/>
    <x v="7"/>
    <n v="2"/>
    <x v="7"/>
  </r>
  <r>
    <x v="225"/>
    <x v="1934"/>
    <x v="13"/>
    <x v="0"/>
    <x v="761"/>
    <x v="19"/>
    <x v="6"/>
    <x v="0"/>
    <x v="4"/>
    <x v="7"/>
    <n v="2"/>
    <x v="7"/>
  </r>
  <r>
    <x v="225"/>
    <x v="1935"/>
    <x v="7"/>
    <x v="0"/>
    <x v="762"/>
    <x v="16"/>
    <x v="1"/>
    <x v="0"/>
    <x v="4"/>
    <x v="7"/>
    <n v="2"/>
    <x v="7"/>
  </r>
  <r>
    <x v="225"/>
    <x v="1936"/>
    <x v="7"/>
    <x v="0"/>
    <x v="736"/>
    <x v="16"/>
    <x v="0"/>
    <x v="0"/>
    <x v="4"/>
    <x v="7"/>
    <n v="2"/>
    <x v="7"/>
  </r>
  <r>
    <x v="225"/>
    <x v="1937"/>
    <x v="7"/>
    <x v="0"/>
    <x v="736"/>
    <x v="16"/>
    <x v="1"/>
    <x v="0"/>
    <x v="4"/>
    <x v="7"/>
    <n v="2"/>
    <x v="7"/>
  </r>
  <r>
    <x v="225"/>
    <x v="1938"/>
    <x v="2"/>
    <x v="0"/>
    <x v="763"/>
    <x v="16"/>
    <x v="0"/>
    <x v="1"/>
    <x v="4"/>
    <x v="7"/>
    <n v="2"/>
    <x v="7"/>
  </r>
  <r>
    <x v="225"/>
    <x v="1939"/>
    <x v="2"/>
    <x v="0"/>
    <x v="764"/>
    <x v="17"/>
    <x v="3"/>
    <x v="1"/>
    <x v="4"/>
    <x v="7"/>
    <n v="2"/>
    <x v="7"/>
  </r>
  <r>
    <x v="225"/>
    <x v="1940"/>
    <x v="3"/>
    <x v="0"/>
    <x v="683"/>
    <x v="16"/>
    <x v="0"/>
    <x v="1"/>
    <x v="4"/>
    <x v="7"/>
    <n v="2"/>
    <x v="7"/>
  </r>
  <r>
    <x v="225"/>
    <x v="1941"/>
    <x v="3"/>
    <x v="0"/>
    <x v="765"/>
    <x v="18"/>
    <x v="2"/>
    <x v="1"/>
    <x v="4"/>
    <x v="7"/>
    <n v="2"/>
    <x v="7"/>
  </r>
  <r>
    <x v="225"/>
    <x v="1942"/>
    <x v="3"/>
    <x v="0"/>
    <x v="765"/>
    <x v="19"/>
    <x v="6"/>
    <x v="1"/>
    <x v="4"/>
    <x v="7"/>
    <n v="2"/>
    <x v="7"/>
  </r>
  <r>
    <x v="225"/>
    <x v="1943"/>
    <x v="9"/>
    <x v="0"/>
    <x v="766"/>
    <x v="16"/>
    <x v="1"/>
    <x v="2"/>
    <x v="4"/>
    <x v="7"/>
    <n v="2"/>
    <x v="7"/>
  </r>
  <r>
    <x v="225"/>
    <x v="1944"/>
    <x v="6"/>
    <x v="0"/>
    <x v="767"/>
    <x v="18"/>
    <x v="2"/>
    <x v="2"/>
    <x v="4"/>
    <x v="7"/>
    <n v="2"/>
    <x v="7"/>
  </r>
  <r>
    <x v="225"/>
    <x v="1945"/>
    <x v="6"/>
    <x v="0"/>
    <x v="767"/>
    <x v="16"/>
    <x v="4"/>
    <x v="2"/>
    <x v="4"/>
    <x v="7"/>
    <n v="2"/>
    <x v="7"/>
  </r>
  <r>
    <x v="225"/>
    <x v="1946"/>
    <x v="12"/>
    <x v="0"/>
    <x v="507"/>
    <x v="16"/>
    <x v="0"/>
    <x v="2"/>
    <x v="4"/>
    <x v="7"/>
    <n v="2"/>
    <x v="7"/>
  </r>
  <r>
    <x v="225"/>
    <x v="1947"/>
    <x v="12"/>
    <x v="0"/>
    <x v="507"/>
    <x v="16"/>
    <x v="0"/>
    <x v="2"/>
    <x v="4"/>
    <x v="7"/>
    <n v="2"/>
    <x v="7"/>
  </r>
  <r>
    <x v="225"/>
    <x v="1948"/>
    <x v="15"/>
    <x v="0"/>
    <x v="40"/>
    <x v="16"/>
    <x v="1"/>
    <x v="2"/>
    <x v="4"/>
    <x v="7"/>
    <n v="2"/>
    <x v="7"/>
  </r>
  <r>
    <x v="225"/>
    <x v="1949"/>
    <x v="15"/>
    <x v="0"/>
    <x v="40"/>
    <x v="16"/>
    <x v="1"/>
    <x v="2"/>
    <x v="4"/>
    <x v="7"/>
    <n v="2"/>
    <x v="7"/>
  </r>
  <r>
    <x v="225"/>
    <x v="1950"/>
    <x v="14"/>
    <x v="0"/>
    <x v="690"/>
    <x v="16"/>
    <x v="0"/>
    <x v="2"/>
    <x v="4"/>
    <x v="7"/>
    <n v="2"/>
    <x v="7"/>
  </r>
  <r>
    <x v="226"/>
    <x v="1951"/>
    <x v="13"/>
    <x v="0"/>
    <x v="276"/>
    <x v="17"/>
    <x v="3"/>
    <x v="0"/>
    <x v="5"/>
    <x v="7"/>
    <n v="3"/>
    <x v="7"/>
  </r>
  <r>
    <x v="226"/>
    <x v="1952"/>
    <x v="13"/>
    <x v="0"/>
    <x v="696"/>
    <x v="16"/>
    <x v="1"/>
    <x v="0"/>
    <x v="5"/>
    <x v="7"/>
    <n v="3"/>
    <x v="7"/>
  </r>
  <r>
    <x v="226"/>
    <x v="1953"/>
    <x v="10"/>
    <x v="0"/>
    <x v="570"/>
    <x v="16"/>
    <x v="0"/>
    <x v="0"/>
    <x v="5"/>
    <x v="7"/>
    <n v="3"/>
    <x v="7"/>
  </r>
  <r>
    <x v="226"/>
    <x v="1954"/>
    <x v="0"/>
    <x v="0"/>
    <x v="571"/>
    <x v="17"/>
    <x v="3"/>
    <x v="0"/>
    <x v="5"/>
    <x v="7"/>
    <n v="3"/>
    <x v="7"/>
  </r>
  <r>
    <x v="226"/>
    <x v="1955"/>
    <x v="0"/>
    <x v="0"/>
    <x v="571"/>
    <x v="17"/>
    <x v="3"/>
    <x v="0"/>
    <x v="5"/>
    <x v="7"/>
    <n v="3"/>
    <x v="7"/>
  </r>
  <r>
    <x v="226"/>
    <x v="1956"/>
    <x v="0"/>
    <x v="0"/>
    <x v="333"/>
    <x v="17"/>
    <x v="3"/>
    <x v="0"/>
    <x v="5"/>
    <x v="7"/>
    <n v="3"/>
    <x v="7"/>
  </r>
  <r>
    <x v="226"/>
    <x v="1957"/>
    <x v="7"/>
    <x v="0"/>
    <x v="768"/>
    <x v="18"/>
    <x v="2"/>
    <x v="0"/>
    <x v="5"/>
    <x v="7"/>
    <n v="3"/>
    <x v="7"/>
  </r>
  <r>
    <x v="226"/>
    <x v="1958"/>
    <x v="1"/>
    <x v="0"/>
    <x v="769"/>
    <x v="17"/>
    <x v="3"/>
    <x v="1"/>
    <x v="5"/>
    <x v="7"/>
    <n v="3"/>
    <x v="7"/>
  </r>
  <r>
    <x v="226"/>
    <x v="1959"/>
    <x v="2"/>
    <x v="0"/>
    <x v="764"/>
    <x v="18"/>
    <x v="2"/>
    <x v="1"/>
    <x v="5"/>
    <x v="7"/>
    <n v="3"/>
    <x v="7"/>
  </r>
  <r>
    <x v="226"/>
    <x v="1960"/>
    <x v="4"/>
    <x v="0"/>
    <x v="770"/>
    <x v="16"/>
    <x v="0"/>
    <x v="1"/>
    <x v="5"/>
    <x v="7"/>
    <n v="3"/>
    <x v="7"/>
  </r>
  <r>
    <x v="226"/>
    <x v="1961"/>
    <x v="9"/>
    <x v="0"/>
    <x v="510"/>
    <x v="17"/>
    <x v="3"/>
    <x v="2"/>
    <x v="5"/>
    <x v="7"/>
    <n v="3"/>
    <x v="7"/>
  </r>
  <r>
    <x v="226"/>
    <x v="1962"/>
    <x v="6"/>
    <x v="0"/>
    <x v="771"/>
    <x v="17"/>
    <x v="3"/>
    <x v="2"/>
    <x v="5"/>
    <x v="7"/>
    <n v="3"/>
    <x v="7"/>
  </r>
  <r>
    <x v="226"/>
    <x v="1963"/>
    <x v="6"/>
    <x v="0"/>
    <x v="771"/>
    <x v="17"/>
    <x v="3"/>
    <x v="2"/>
    <x v="5"/>
    <x v="7"/>
    <n v="3"/>
    <x v="7"/>
  </r>
  <r>
    <x v="226"/>
    <x v="1964"/>
    <x v="15"/>
    <x v="0"/>
    <x v="772"/>
    <x v="16"/>
    <x v="1"/>
    <x v="2"/>
    <x v="5"/>
    <x v="7"/>
    <n v="3"/>
    <x v="7"/>
  </r>
  <r>
    <x v="227"/>
    <x v="1965"/>
    <x v="11"/>
    <x v="0"/>
    <x v="696"/>
    <x v="16"/>
    <x v="0"/>
    <x v="0"/>
    <x v="6"/>
    <x v="7"/>
    <n v="4"/>
    <x v="7"/>
  </r>
  <r>
    <x v="227"/>
    <x v="1966"/>
    <x v="11"/>
    <x v="0"/>
    <x v="570"/>
    <x v="16"/>
    <x v="0"/>
    <x v="0"/>
    <x v="6"/>
    <x v="7"/>
    <n v="4"/>
    <x v="7"/>
  </r>
  <r>
    <x v="227"/>
    <x v="1967"/>
    <x v="10"/>
    <x v="0"/>
    <x v="773"/>
    <x v="17"/>
    <x v="3"/>
    <x v="0"/>
    <x v="6"/>
    <x v="7"/>
    <n v="4"/>
    <x v="7"/>
  </r>
  <r>
    <x v="227"/>
    <x v="1968"/>
    <x v="0"/>
    <x v="0"/>
    <x v="510"/>
    <x v="16"/>
    <x v="0"/>
    <x v="0"/>
    <x v="6"/>
    <x v="7"/>
    <n v="4"/>
    <x v="7"/>
  </r>
  <r>
    <x v="227"/>
    <x v="1969"/>
    <x v="0"/>
    <x v="0"/>
    <x v="313"/>
    <x v="16"/>
    <x v="1"/>
    <x v="0"/>
    <x v="6"/>
    <x v="7"/>
    <n v="4"/>
    <x v="7"/>
  </r>
  <r>
    <x v="227"/>
    <x v="1970"/>
    <x v="7"/>
    <x v="0"/>
    <x v="774"/>
    <x v="17"/>
    <x v="3"/>
    <x v="0"/>
    <x v="6"/>
    <x v="7"/>
    <n v="4"/>
    <x v="7"/>
  </r>
  <r>
    <x v="227"/>
    <x v="1971"/>
    <x v="2"/>
    <x v="0"/>
    <x v="775"/>
    <x v="16"/>
    <x v="0"/>
    <x v="1"/>
    <x v="6"/>
    <x v="7"/>
    <n v="4"/>
    <x v="7"/>
  </r>
  <r>
    <x v="227"/>
    <x v="1972"/>
    <x v="8"/>
    <x v="0"/>
    <x v="776"/>
    <x v="18"/>
    <x v="2"/>
    <x v="1"/>
    <x v="6"/>
    <x v="7"/>
    <n v="4"/>
    <x v="7"/>
  </r>
  <r>
    <x v="227"/>
    <x v="1973"/>
    <x v="4"/>
    <x v="0"/>
    <x v="702"/>
    <x v="16"/>
    <x v="1"/>
    <x v="1"/>
    <x v="6"/>
    <x v="7"/>
    <n v="4"/>
    <x v="7"/>
  </r>
  <r>
    <x v="227"/>
    <x v="1974"/>
    <x v="4"/>
    <x v="0"/>
    <x v="702"/>
    <x v="16"/>
    <x v="1"/>
    <x v="1"/>
    <x v="6"/>
    <x v="7"/>
    <n v="4"/>
    <x v="7"/>
  </r>
  <r>
    <x v="227"/>
    <x v="1975"/>
    <x v="4"/>
    <x v="0"/>
    <x v="702"/>
    <x v="16"/>
    <x v="0"/>
    <x v="1"/>
    <x v="6"/>
    <x v="7"/>
    <n v="4"/>
    <x v="7"/>
  </r>
  <r>
    <x v="227"/>
    <x v="1976"/>
    <x v="4"/>
    <x v="0"/>
    <x v="777"/>
    <x v="16"/>
    <x v="1"/>
    <x v="1"/>
    <x v="6"/>
    <x v="7"/>
    <n v="4"/>
    <x v="7"/>
  </r>
  <r>
    <x v="227"/>
    <x v="1977"/>
    <x v="4"/>
    <x v="0"/>
    <x v="777"/>
    <x v="16"/>
    <x v="1"/>
    <x v="1"/>
    <x v="6"/>
    <x v="7"/>
    <n v="4"/>
    <x v="7"/>
  </r>
  <r>
    <x v="227"/>
    <x v="1978"/>
    <x v="9"/>
    <x v="0"/>
    <x v="258"/>
    <x v="16"/>
    <x v="7"/>
    <x v="2"/>
    <x v="6"/>
    <x v="7"/>
    <n v="4"/>
    <x v="7"/>
  </r>
  <r>
    <x v="227"/>
    <x v="1979"/>
    <x v="9"/>
    <x v="0"/>
    <x v="258"/>
    <x v="16"/>
    <x v="1"/>
    <x v="2"/>
    <x v="6"/>
    <x v="7"/>
    <n v="4"/>
    <x v="7"/>
  </r>
  <r>
    <x v="227"/>
    <x v="1980"/>
    <x v="6"/>
    <x v="0"/>
    <x v="507"/>
    <x v="16"/>
    <x v="0"/>
    <x v="2"/>
    <x v="6"/>
    <x v="7"/>
    <n v="4"/>
    <x v="7"/>
  </r>
  <r>
    <x v="227"/>
    <x v="1981"/>
    <x v="12"/>
    <x v="0"/>
    <x v="778"/>
    <x v="17"/>
    <x v="3"/>
    <x v="2"/>
    <x v="6"/>
    <x v="7"/>
    <n v="4"/>
    <x v="7"/>
  </r>
  <r>
    <x v="227"/>
    <x v="1982"/>
    <x v="15"/>
    <x v="0"/>
    <x v="779"/>
    <x v="16"/>
    <x v="0"/>
    <x v="2"/>
    <x v="6"/>
    <x v="7"/>
    <n v="4"/>
    <x v="7"/>
  </r>
  <r>
    <x v="227"/>
    <x v="1983"/>
    <x v="15"/>
    <x v="0"/>
    <x v="779"/>
    <x v="16"/>
    <x v="0"/>
    <x v="2"/>
    <x v="6"/>
    <x v="7"/>
    <n v="4"/>
    <x v="7"/>
  </r>
  <r>
    <x v="227"/>
    <x v="1984"/>
    <x v="15"/>
    <x v="0"/>
    <x v="779"/>
    <x v="16"/>
    <x v="0"/>
    <x v="2"/>
    <x v="6"/>
    <x v="7"/>
    <n v="4"/>
    <x v="7"/>
  </r>
  <r>
    <x v="227"/>
    <x v="1985"/>
    <x v="15"/>
    <x v="0"/>
    <x v="779"/>
    <x v="16"/>
    <x v="1"/>
    <x v="2"/>
    <x v="6"/>
    <x v="7"/>
    <n v="4"/>
    <x v="7"/>
  </r>
  <r>
    <x v="228"/>
    <x v="1986"/>
    <x v="13"/>
    <x v="0"/>
    <x v="12"/>
    <x v="16"/>
    <x v="4"/>
    <x v="0"/>
    <x v="0"/>
    <x v="7"/>
    <n v="5"/>
    <x v="7"/>
  </r>
  <r>
    <x v="228"/>
    <x v="1987"/>
    <x v="13"/>
    <x v="0"/>
    <x v="54"/>
    <x v="16"/>
    <x v="4"/>
    <x v="0"/>
    <x v="0"/>
    <x v="7"/>
    <n v="5"/>
    <x v="7"/>
  </r>
  <r>
    <x v="228"/>
    <x v="1988"/>
    <x v="10"/>
    <x v="0"/>
    <x v="2"/>
    <x v="16"/>
    <x v="4"/>
    <x v="0"/>
    <x v="0"/>
    <x v="7"/>
    <n v="5"/>
    <x v="7"/>
  </r>
  <r>
    <x v="228"/>
    <x v="1989"/>
    <x v="10"/>
    <x v="0"/>
    <x v="2"/>
    <x v="16"/>
    <x v="4"/>
    <x v="0"/>
    <x v="0"/>
    <x v="7"/>
    <n v="5"/>
    <x v="7"/>
  </r>
  <r>
    <x v="228"/>
    <x v="1990"/>
    <x v="10"/>
    <x v="0"/>
    <x v="780"/>
    <x v="16"/>
    <x v="7"/>
    <x v="0"/>
    <x v="0"/>
    <x v="7"/>
    <n v="5"/>
    <x v="7"/>
  </r>
  <r>
    <x v="228"/>
    <x v="1991"/>
    <x v="7"/>
    <x v="0"/>
    <x v="780"/>
    <x v="16"/>
    <x v="7"/>
    <x v="0"/>
    <x v="0"/>
    <x v="7"/>
    <n v="5"/>
    <x v="7"/>
  </r>
  <r>
    <x v="228"/>
    <x v="1992"/>
    <x v="8"/>
    <x v="0"/>
    <x v="781"/>
    <x v="16"/>
    <x v="0"/>
    <x v="1"/>
    <x v="0"/>
    <x v="7"/>
    <n v="5"/>
    <x v="7"/>
  </r>
  <r>
    <x v="228"/>
    <x v="1993"/>
    <x v="8"/>
    <x v="0"/>
    <x v="781"/>
    <x v="16"/>
    <x v="7"/>
    <x v="1"/>
    <x v="0"/>
    <x v="7"/>
    <n v="5"/>
    <x v="7"/>
  </r>
  <r>
    <x v="228"/>
    <x v="1994"/>
    <x v="3"/>
    <x v="0"/>
    <x v="683"/>
    <x v="18"/>
    <x v="2"/>
    <x v="1"/>
    <x v="0"/>
    <x v="7"/>
    <n v="5"/>
    <x v="7"/>
  </r>
  <r>
    <x v="228"/>
    <x v="1995"/>
    <x v="4"/>
    <x v="0"/>
    <x v="782"/>
    <x v="16"/>
    <x v="0"/>
    <x v="1"/>
    <x v="0"/>
    <x v="7"/>
    <n v="5"/>
    <x v="7"/>
  </r>
  <r>
    <x v="228"/>
    <x v="1996"/>
    <x v="9"/>
    <x v="0"/>
    <x v="783"/>
    <x v="16"/>
    <x v="1"/>
    <x v="2"/>
    <x v="0"/>
    <x v="7"/>
    <n v="5"/>
    <x v="7"/>
  </r>
  <r>
    <x v="228"/>
    <x v="1997"/>
    <x v="15"/>
    <x v="0"/>
    <x v="12"/>
    <x v="16"/>
    <x v="4"/>
    <x v="2"/>
    <x v="0"/>
    <x v="7"/>
    <n v="5"/>
    <x v="7"/>
  </r>
  <r>
    <x v="228"/>
    <x v="1998"/>
    <x v="15"/>
    <x v="0"/>
    <x v="12"/>
    <x v="16"/>
    <x v="4"/>
    <x v="2"/>
    <x v="0"/>
    <x v="7"/>
    <n v="5"/>
    <x v="7"/>
  </r>
  <r>
    <x v="228"/>
    <x v="1999"/>
    <x v="15"/>
    <x v="0"/>
    <x v="784"/>
    <x v="17"/>
    <x v="3"/>
    <x v="2"/>
    <x v="0"/>
    <x v="7"/>
    <n v="5"/>
    <x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5028445-318E-4C47-AF60-026401596F9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12" firstHeaderRow="1" firstDataRow="1" firstDataCol="1"/>
  <pivotFields count="16">
    <pivotField numFmtId="14" showAll="0">
      <items count="2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t="default"/>
      </items>
    </pivotField>
    <pivotField numFmtId="164"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showAll="0">
      <items count="17">
        <item x="11"/>
        <item x="13"/>
        <item x="10"/>
        <item x="0"/>
        <item x="7"/>
        <item x="1"/>
        <item x="2"/>
        <item x="8"/>
        <item x="3"/>
        <item x="4"/>
        <item x="9"/>
        <item x="5"/>
        <item x="6"/>
        <item x="12"/>
        <item x="15"/>
        <item x="14"/>
        <item t="default"/>
      </items>
    </pivotField>
    <pivotField showAll="0">
      <items count="3">
        <item x="0"/>
        <item x="1"/>
        <item t="default"/>
      </items>
    </pivotField>
    <pivotField showAll="0">
      <items count="786">
        <item x="0"/>
        <item x="1"/>
        <item x="2"/>
        <item x="3"/>
        <item x="4"/>
        <item x="5"/>
        <item x="6"/>
        <item x="7"/>
        <item x="8"/>
        <item x="9"/>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10"/>
        <item t="default"/>
      </items>
    </pivotField>
    <pivotField dataField="1" numFmtId="165" showAll="0">
      <items count="21">
        <item x="15"/>
        <item x="19"/>
        <item x="14"/>
        <item x="4"/>
        <item x="7"/>
        <item x="18"/>
        <item x="11"/>
        <item x="1"/>
        <item x="12"/>
        <item x="6"/>
        <item x="17"/>
        <item x="8"/>
        <item x="2"/>
        <item x="13"/>
        <item x="5"/>
        <item x="16"/>
        <item x="10"/>
        <item x="0"/>
        <item x="9"/>
        <item x="3"/>
        <item t="default"/>
      </items>
    </pivotField>
    <pivotField axis="axisRow" showAll="0">
      <items count="9">
        <item x="2"/>
        <item x="3"/>
        <item x="7"/>
        <item x="4"/>
        <item x="5"/>
        <item x="6"/>
        <item x="1"/>
        <item x="0"/>
        <item t="default"/>
      </items>
    </pivotField>
    <pivotField showAll="0">
      <items count="4">
        <item x="1"/>
        <item x="0"/>
        <item x="2"/>
        <item t="default"/>
      </items>
    </pivotField>
    <pivotField showAll="0"/>
    <pivotField showAll="0"/>
    <pivotField showAll="0"/>
    <pivotField showAll="0">
      <items count="9">
        <item x="0"/>
        <item x="1"/>
        <item x="2"/>
        <item x="3"/>
        <item x="4"/>
        <item x="5"/>
        <item x="6"/>
        <item x="7"/>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9">
    <i>
      <x/>
    </i>
    <i>
      <x v="1"/>
    </i>
    <i>
      <x v="2"/>
    </i>
    <i>
      <x v="3"/>
    </i>
    <i>
      <x v="4"/>
    </i>
    <i>
      <x v="5"/>
    </i>
    <i>
      <x v="6"/>
    </i>
    <i>
      <x v="7"/>
    </i>
    <i t="grand">
      <x/>
    </i>
  </rowItems>
  <colItems count="1">
    <i/>
  </colItems>
  <dataFields count="1">
    <dataField name="Sum of money" fld="5" baseField="0" baseItem="0" numFmtId="165"/>
  </dataFields>
  <formats count="1">
    <format dxfId="23">
      <pivotArea collapsedLevelsAreSubtotals="1" fieldPosition="0">
        <references count="1">
          <reference field="6" count="0"/>
        </references>
      </pivotArea>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FC46952-854B-454C-A180-68A5A448297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C12" firstHeaderRow="0" firstDataRow="1" firstDataCol="1"/>
  <pivotFields count="16">
    <pivotField numFmtId="14" showAll="0">
      <items count="2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t="default"/>
      </items>
    </pivotField>
    <pivotField axis="axisRow" numFmtId="164"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dataField="1" showAll="0">
      <items count="17">
        <item x="11"/>
        <item x="13"/>
        <item x="10"/>
        <item x="0"/>
        <item x="7"/>
        <item x="1"/>
        <item x="2"/>
        <item x="8"/>
        <item x="3"/>
        <item x="4"/>
        <item x="9"/>
        <item x="5"/>
        <item x="6"/>
        <item x="12"/>
        <item x="15"/>
        <item x="14"/>
        <item t="default"/>
      </items>
    </pivotField>
    <pivotField showAll="0">
      <items count="3">
        <item x="0"/>
        <item x="1"/>
        <item t="default"/>
      </items>
    </pivotField>
    <pivotField showAll="0">
      <items count="786">
        <item x="0"/>
        <item x="1"/>
        <item x="2"/>
        <item x="3"/>
        <item x="4"/>
        <item x="5"/>
        <item x="6"/>
        <item x="7"/>
        <item x="8"/>
        <item x="9"/>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10"/>
        <item t="default"/>
      </items>
    </pivotField>
    <pivotField dataField="1" numFmtId="165" showAll="0">
      <items count="21">
        <item x="15"/>
        <item x="19"/>
        <item x="14"/>
        <item x="4"/>
        <item x="7"/>
        <item x="18"/>
        <item x="11"/>
        <item x="1"/>
        <item x="12"/>
        <item x="6"/>
        <item x="17"/>
        <item x="8"/>
        <item x="2"/>
        <item x="13"/>
        <item x="5"/>
        <item x="16"/>
        <item x="10"/>
        <item x="0"/>
        <item x="9"/>
        <item x="3"/>
        <item t="default"/>
      </items>
    </pivotField>
    <pivotField showAll="0">
      <items count="9">
        <item x="2"/>
        <item x="3"/>
        <item x="7"/>
        <item x="4"/>
        <item x="5"/>
        <item x="6"/>
        <item x="1"/>
        <item x="0"/>
        <item t="default"/>
      </items>
    </pivotField>
    <pivotField showAll="0">
      <items count="4">
        <item x="1"/>
        <item x="0"/>
        <item x="2"/>
        <item t="default"/>
      </items>
    </pivotField>
    <pivotField showAll="0"/>
    <pivotField showAll="0"/>
    <pivotField showAll="0"/>
    <pivotField showAll="0">
      <items count="9">
        <item x="0"/>
        <item x="1"/>
        <item x="2"/>
        <item x="3"/>
        <item x="4"/>
        <item x="5"/>
        <item x="6"/>
        <item x="7"/>
        <item t="default"/>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3">
    <field x="13"/>
    <field x="12"/>
    <field x="1"/>
  </rowFields>
  <rowItems count="9">
    <i>
      <x v="3"/>
    </i>
    <i>
      <x v="4"/>
    </i>
    <i>
      <x v="5"/>
    </i>
    <i>
      <x v="6"/>
    </i>
    <i>
      <x v="7"/>
    </i>
    <i>
      <x v="8"/>
    </i>
    <i>
      <x v="9"/>
    </i>
    <i>
      <x v="10"/>
    </i>
    <i t="grand">
      <x/>
    </i>
  </rowItems>
  <colFields count="1">
    <field x="-2"/>
  </colFields>
  <colItems count="2">
    <i>
      <x/>
    </i>
    <i i="1">
      <x v="1"/>
    </i>
  </colItems>
  <dataFields count="2">
    <dataField name="Sum of hour_of_day" fld="2" baseField="0" baseItem="0"/>
    <dataField name="Sum of money" fld="5" baseField="0" baseItem="0" numFmtId="166"/>
  </dataFields>
  <formats count="1">
    <format dxfId="22">
      <pivotArea outline="0" collapsedLevelsAreSubtotals="1" fieldPosition="0">
        <references count="1">
          <reference field="4294967294" count="1" selected="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6B5F1E8-E60F-40A4-B751-9EF783E667A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J12" firstHeaderRow="1" firstDataRow="2" firstDataCol="1"/>
  <pivotFields count="16">
    <pivotField numFmtId="14" showAll="0">
      <items count="2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t="default"/>
      </items>
    </pivotField>
    <pivotField numFmtId="164"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showAll="0">
      <items count="17">
        <item x="11"/>
        <item x="13"/>
        <item x="10"/>
        <item x="0"/>
        <item x="7"/>
        <item x="1"/>
        <item x="2"/>
        <item x="8"/>
        <item x="3"/>
        <item x="4"/>
        <item x="9"/>
        <item x="5"/>
        <item x="6"/>
        <item x="12"/>
        <item x="15"/>
        <item x="14"/>
        <item t="default"/>
      </items>
    </pivotField>
    <pivotField showAll="0">
      <items count="3">
        <item x="0"/>
        <item x="1"/>
        <item t="default"/>
      </items>
    </pivotField>
    <pivotField showAll="0"/>
    <pivotField dataField="1" numFmtId="165" showAll="0">
      <items count="21">
        <item x="15"/>
        <item x="19"/>
        <item x="14"/>
        <item x="4"/>
        <item x="7"/>
        <item x="18"/>
        <item x="11"/>
        <item x="1"/>
        <item x="12"/>
        <item x="6"/>
        <item x="17"/>
        <item x="8"/>
        <item x="2"/>
        <item x="13"/>
        <item x="5"/>
        <item x="16"/>
        <item x="10"/>
        <item x="0"/>
        <item x="9"/>
        <item x="3"/>
        <item t="default"/>
      </items>
    </pivotField>
    <pivotField axis="axisCol" showAll="0">
      <items count="9">
        <item x="2"/>
        <item x="3"/>
        <item x="7"/>
        <item x="4"/>
        <item x="5"/>
        <item x="6"/>
        <item x="1"/>
        <item x="0"/>
        <item t="default"/>
      </items>
    </pivotField>
    <pivotField showAll="0">
      <items count="4">
        <item x="1"/>
        <item x="0"/>
        <item x="2"/>
        <item t="default"/>
      </items>
    </pivotField>
    <pivotField axis="axisRow" showAll="0">
      <items count="8">
        <item x="2"/>
        <item x="3"/>
        <item x="4"/>
        <item x="5"/>
        <item x="6"/>
        <item x="0"/>
        <item x="1"/>
        <item t="default"/>
      </items>
    </pivotField>
    <pivotField showAll="0"/>
    <pivotField showAll="0"/>
    <pivotField showAll="0">
      <items count="9">
        <item x="0"/>
        <item x="1"/>
        <item x="2"/>
        <item x="3"/>
        <item x="4"/>
        <item x="5"/>
        <item x="6"/>
        <item x="7"/>
        <item t="default"/>
      </items>
    </pivotField>
    <pivotField showAll="0" defaultSubtotal="0"/>
    <pivotField showAll="0" defaultSubtotal="0">
      <items count="14">
        <item x="0"/>
        <item x="1"/>
        <item x="2"/>
        <item x="3"/>
        <item x="4"/>
        <item x="5"/>
        <item x="6"/>
        <item x="7"/>
        <item x="8"/>
        <item x="9"/>
        <item x="10"/>
        <item x="11"/>
        <item x="12"/>
        <item x="13"/>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8">
    <i>
      <x/>
    </i>
    <i>
      <x v="1"/>
    </i>
    <i>
      <x v="2"/>
    </i>
    <i>
      <x v="3"/>
    </i>
    <i>
      <x v="4"/>
    </i>
    <i>
      <x v="5"/>
    </i>
    <i>
      <x v="6"/>
    </i>
    <i t="grand">
      <x/>
    </i>
  </rowItems>
  <colFields count="1">
    <field x="6"/>
  </colFields>
  <colItems count="9">
    <i>
      <x/>
    </i>
    <i>
      <x v="1"/>
    </i>
    <i>
      <x v="2"/>
    </i>
    <i>
      <x v="3"/>
    </i>
    <i>
      <x v="4"/>
    </i>
    <i>
      <x v="5"/>
    </i>
    <i>
      <x v="6"/>
    </i>
    <i>
      <x v="7"/>
    </i>
    <i t="grand">
      <x/>
    </i>
  </colItems>
  <dataFields count="1">
    <dataField name="Sum of money" fld="5" baseField="0" baseItem="0" numFmtId="165"/>
  </dataFields>
  <formats count="2">
    <format dxfId="21">
      <pivotArea collapsedLevelsAreSubtotals="1" fieldPosition="0">
        <references count="1">
          <reference field="8" count="0"/>
        </references>
      </pivotArea>
    </format>
    <format dxfId="20">
      <pivotArea grandRow="1" outline="0" collapsedLevelsAreSubtotals="1" fieldPosition="0"/>
    </format>
  </formats>
  <chartFormats count="20">
    <chartFormat chart="2" format="0" series="1">
      <pivotArea type="data" outline="0" fieldPosition="0">
        <references count="2">
          <reference field="4294967294" count="1" selected="0">
            <x v="0"/>
          </reference>
          <reference field="6" count="1" selected="0">
            <x v="6"/>
          </reference>
        </references>
      </pivotArea>
    </chartFormat>
    <chartFormat chart="2" format="1" series="1">
      <pivotArea type="data" outline="0" fieldPosition="0">
        <references count="2">
          <reference field="4294967294" count="1" selected="0">
            <x v="0"/>
          </reference>
          <reference field="6" count="1" selected="0">
            <x v="0"/>
          </reference>
        </references>
      </pivotArea>
    </chartFormat>
    <chartFormat chart="7" format="3" series="1">
      <pivotArea type="data" outline="0" fieldPosition="0">
        <references count="2">
          <reference field="4294967294" count="1" selected="0">
            <x v="0"/>
          </reference>
          <reference field="6" count="1" selected="0">
            <x v="6"/>
          </reference>
        </references>
      </pivotArea>
    </chartFormat>
    <chartFormat chart="7" format="4">
      <pivotArea type="data" outline="0" fieldPosition="0">
        <references count="3">
          <reference field="4294967294" count="1" selected="0">
            <x v="0"/>
          </reference>
          <reference field="6" count="1" selected="0">
            <x v="6"/>
          </reference>
          <reference field="8" count="1" selected="0">
            <x v="4"/>
          </reference>
        </references>
      </pivotArea>
    </chartFormat>
    <chartFormat chart="7" format="5">
      <pivotArea type="data" outline="0" fieldPosition="0">
        <references count="3">
          <reference field="4294967294" count="1" selected="0">
            <x v="0"/>
          </reference>
          <reference field="6" count="1" selected="0">
            <x v="6"/>
          </reference>
          <reference field="8" count="1" selected="0">
            <x v="2"/>
          </reference>
        </references>
      </pivotArea>
    </chartFormat>
    <chartFormat chart="7" format="6" series="1">
      <pivotArea type="data" outline="0" fieldPosition="0">
        <references count="2">
          <reference field="4294967294" count="1" selected="0">
            <x v="0"/>
          </reference>
          <reference field="6" count="1" selected="0">
            <x v="1"/>
          </reference>
        </references>
      </pivotArea>
    </chartFormat>
    <chartFormat chart="7" format="7" series="1">
      <pivotArea type="data" outline="0" fieldPosition="0">
        <references count="2">
          <reference field="4294967294" count="1" selected="0">
            <x v="0"/>
          </reference>
          <reference field="6" count="1" selected="0">
            <x v="2"/>
          </reference>
        </references>
      </pivotArea>
    </chartFormat>
    <chartFormat chart="7" format="8" series="1">
      <pivotArea type="data" outline="0" fieldPosition="0">
        <references count="2">
          <reference field="4294967294" count="1" selected="0">
            <x v="0"/>
          </reference>
          <reference field="6" count="1" selected="0">
            <x v="3"/>
          </reference>
        </references>
      </pivotArea>
    </chartFormat>
    <chartFormat chart="7" format="9" series="1">
      <pivotArea type="data" outline="0" fieldPosition="0">
        <references count="2">
          <reference field="4294967294" count="1" selected="0">
            <x v="0"/>
          </reference>
          <reference field="6" count="1" selected="0">
            <x v="4"/>
          </reference>
        </references>
      </pivotArea>
    </chartFormat>
    <chartFormat chart="7" format="10" series="1">
      <pivotArea type="data" outline="0" fieldPosition="0">
        <references count="2">
          <reference field="4294967294" count="1" selected="0">
            <x v="0"/>
          </reference>
          <reference field="6" count="1" selected="0">
            <x v="5"/>
          </reference>
        </references>
      </pivotArea>
    </chartFormat>
    <chartFormat chart="7" format="11" series="1">
      <pivotArea type="data" outline="0" fieldPosition="0">
        <references count="2">
          <reference field="4294967294" count="1" selected="0">
            <x v="0"/>
          </reference>
          <reference field="6" count="1" selected="0">
            <x v="7"/>
          </reference>
        </references>
      </pivotArea>
    </chartFormat>
    <chartFormat chart="7" format="12" series="1">
      <pivotArea type="data" outline="0" fieldPosition="0">
        <references count="2">
          <reference field="4294967294" count="1" selected="0">
            <x v="0"/>
          </reference>
          <reference field="6" count="1" selected="0">
            <x v="0"/>
          </reference>
        </references>
      </pivotArea>
    </chartFormat>
    <chartFormat chart="2" format="2" series="1">
      <pivotArea type="data" outline="0" fieldPosition="0">
        <references count="2">
          <reference field="4294967294" count="1" selected="0">
            <x v="0"/>
          </reference>
          <reference field="6" count="1" selected="0">
            <x v="1"/>
          </reference>
        </references>
      </pivotArea>
    </chartFormat>
    <chartFormat chart="2" format="3" series="1">
      <pivotArea type="data" outline="0" fieldPosition="0">
        <references count="2">
          <reference field="4294967294" count="1" selected="0">
            <x v="0"/>
          </reference>
          <reference field="6" count="1" selected="0">
            <x v="2"/>
          </reference>
        </references>
      </pivotArea>
    </chartFormat>
    <chartFormat chart="2" format="4" series="1">
      <pivotArea type="data" outline="0" fieldPosition="0">
        <references count="2">
          <reference field="4294967294" count="1" selected="0">
            <x v="0"/>
          </reference>
          <reference field="6" count="1" selected="0">
            <x v="3"/>
          </reference>
        </references>
      </pivotArea>
    </chartFormat>
    <chartFormat chart="2" format="5" series="1">
      <pivotArea type="data" outline="0" fieldPosition="0">
        <references count="2">
          <reference field="4294967294" count="1" selected="0">
            <x v="0"/>
          </reference>
          <reference field="6" count="1" selected="0">
            <x v="4"/>
          </reference>
        </references>
      </pivotArea>
    </chartFormat>
    <chartFormat chart="2" format="6" series="1">
      <pivotArea type="data" outline="0" fieldPosition="0">
        <references count="2">
          <reference field="4294967294" count="1" selected="0">
            <x v="0"/>
          </reference>
          <reference field="6" count="1" selected="0">
            <x v="5"/>
          </reference>
        </references>
      </pivotArea>
    </chartFormat>
    <chartFormat chart="2" format="7" series="1">
      <pivotArea type="data" outline="0" fieldPosition="0">
        <references count="2">
          <reference field="4294967294" count="1" selected="0">
            <x v="0"/>
          </reference>
          <reference field="6" count="1" selected="0">
            <x v="7"/>
          </reference>
        </references>
      </pivotArea>
    </chartFormat>
    <chartFormat chart="7" format="13" series="1">
      <pivotArea type="data" outline="0" fieldPosition="0">
        <references count="1">
          <reference field="4294967294" count="1" selected="0">
            <x v="0"/>
          </reference>
        </references>
      </pivotArea>
    </chartFormat>
    <chartFormat chart="2"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901F4D9-5D9F-4EF6-9E15-79B5D876475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13" firstHeaderRow="1" firstDataRow="1" firstDataCol="1"/>
  <pivotFields count="16">
    <pivotField numFmtId="14" showAll="0">
      <items count="2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t="default"/>
      </items>
    </pivotField>
    <pivotField numFmtId="164"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showAll="0">
      <items count="17">
        <item x="11"/>
        <item x="13"/>
        <item x="10"/>
        <item x="0"/>
        <item x="7"/>
        <item x="1"/>
        <item x="2"/>
        <item x="8"/>
        <item x="3"/>
        <item x="4"/>
        <item x="9"/>
        <item x="5"/>
        <item x="6"/>
        <item x="12"/>
        <item x="15"/>
        <item x="14"/>
        <item t="default"/>
      </items>
    </pivotField>
    <pivotField axis="axisRow" showAll="0">
      <items count="3">
        <item x="0"/>
        <item x="1"/>
        <item t="default"/>
      </items>
    </pivotField>
    <pivotField showAll="0">
      <items count="786">
        <item x="0"/>
        <item x="1"/>
        <item x="2"/>
        <item x="3"/>
        <item x="4"/>
        <item x="5"/>
        <item x="6"/>
        <item x="7"/>
        <item x="8"/>
        <item x="9"/>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10"/>
        <item t="default"/>
      </items>
    </pivotField>
    <pivotField dataField="1" numFmtId="165" showAll="0">
      <items count="21">
        <item x="15"/>
        <item x="19"/>
        <item x="14"/>
        <item x="4"/>
        <item x="7"/>
        <item x="18"/>
        <item x="11"/>
        <item x="1"/>
        <item x="12"/>
        <item x="6"/>
        <item x="17"/>
        <item x="8"/>
        <item x="2"/>
        <item x="13"/>
        <item x="5"/>
        <item x="16"/>
        <item x="10"/>
        <item x="0"/>
        <item x="9"/>
        <item x="3"/>
        <item t="default"/>
      </items>
    </pivotField>
    <pivotField showAll="0">
      <items count="9">
        <item x="2"/>
        <item x="3"/>
        <item x="7"/>
        <item x="4"/>
        <item x="5"/>
        <item x="6"/>
        <item x="1"/>
        <item x="0"/>
        <item t="default"/>
      </items>
    </pivotField>
    <pivotField axis="axisRow" showAll="0">
      <items count="4">
        <item x="1"/>
        <item x="0"/>
        <item x="2"/>
        <item t="default"/>
      </items>
    </pivotField>
    <pivotField showAll="0"/>
    <pivotField showAll="0">
      <items count="9">
        <item x="0"/>
        <item x="1"/>
        <item x="2"/>
        <item x="3"/>
        <item x="4"/>
        <item x="5"/>
        <item x="6"/>
        <item x="7"/>
        <item t="default"/>
      </items>
    </pivotField>
    <pivotField showAll="0"/>
    <pivotField showAll="0">
      <items count="9">
        <item x="0"/>
        <item x="1"/>
        <item x="2"/>
        <item x="3"/>
        <item x="4"/>
        <item x="5"/>
        <item x="6"/>
        <item x="7"/>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2">
    <field x="7"/>
    <field x="3"/>
  </rowFields>
  <rowItems count="10">
    <i>
      <x/>
    </i>
    <i r="1">
      <x/>
    </i>
    <i r="1">
      <x v="1"/>
    </i>
    <i>
      <x v="1"/>
    </i>
    <i r="1">
      <x/>
    </i>
    <i r="1">
      <x v="1"/>
    </i>
    <i>
      <x v="2"/>
    </i>
    <i r="1">
      <x/>
    </i>
    <i r="1">
      <x v="1"/>
    </i>
    <i t="grand">
      <x/>
    </i>
  </rowItems>
  <colItems count="1">
    <i/>
  </colItems>
  <dataFields count="1">
    <dataField name="Sum of money" fld="5" baseField="0" baseItem="0" numFmtId="166"/>
  </dataFields>
  <formats count="1">
    <format dxfId="19">
      <pivotArea outline="0" collapsedLevelsAreSubtotals="1" fieldPosition="0"/>
    </format>
  </formats>
  <chartFormats count="17">
    <chartFormat chart="0" format="0" series="1">
      <pivotArea type="data" outline="0" fieldPosition="0">
        <references count="1">
          <reference field="4294967294" count="1" selected="0">
            <x v="0"/>
          </reference>
        </references>
      </pivotArea>
    </chartFormat>
    <chartFormat chart="0" format="1">
      <pivotArea type="data" outline="0" fieldPosition="0">
        <references count="3">
          <reference field="4294967294" count="1" selected="0">
            <x v="0"/>
          </reference>
          <reference field="3" count="1" selected="0">
            <x v="1"/>
          </reference>
          <reference field="7" count="1" selected="0">
            <x v="2"/>
          </reference>
        </references>
      </pivotArea>
    </chartFormat>
    <chartFormat chart="0" format="2">
      <pivotArea type="data" outline="0" fieldPosition="0">
        <references count="3">
          <reference field="4294967294" count="1" selected="0">
            <x v="0"/>
          </reference>
          <reference field="3" count="1" selected="0">
            <x v="0"/>
          </reference>
          <reference field="7" count="1" selected="0">
            <x v="1"/>
          </reference>
        </references>
      </pivotArea>
    </chartFormat>
    <chartFormat chart="0" format="3">
      <pivotArea type="data" outline="0" fieldPosition="0">
        <references count="3">
          <reference field="4294967294" count="1" selected="0">
            <x v="0"/>
          </reference>
          <reference field="3" count="1" selected="0">
            <x v="0"/>
          </reference>
          <reference field="7" count="1" selected="0">
            <x v="0"/>
          </reference>
        </references>
      </pivotArea>
    </chartFormat>
    <chartFormat chart="0" format="4">
      <pivotArea type="data" outline="0" fieldPosition="0">
        <references count="3">
          <reference field="4294967294" count="1" selected="0">
            <x v="0"/>
          </reference>
          <reference field="3" count="1" selected="0">
            <x v="1"/>
          </reference>
          <reference field="7" count="1" selected="0">
            <x v="0"/>
          </reference>
        </references>
      </pivotArea>
    </chartFormat>
    <chartFormat chart="0" format="5">
      <pivotArea type="data" outline="0" fieldPosition="0">
        <references count="3">
          <reference field="4294967294" count="1" selected="0">
            <x v="0"/>
          </reference>
          <reference field="3" count="1" selected="0">
            <x v="1"/>
          </reference>
          <reference field="7" count="1" selected="0">
            <x v="1"/>
          </reference>
        </references>
      </pivotArea>
    </chartFormat>
    <chartFormat chart="0" format="6">
      <pivotArea type="data" outline="0" fieldPosition="0">
        <references count="3">
          <reference field="4294967294" count="1" selected="0">
            <x v="0"/>
          </reference>
          <reference field="3" count="1" selected="0">
            <x v="0"/>
          </reference>
          <reference field="7" count="1" selected="0">
            <x v="2"/>
          </reference>
        </references>
      </pivotArea>
    </chartFormat>
    <chartFormat chart="6" format="14" series="1">
      <pivotArea type="data" outline="0" fieldPosition="0">
        <references count="1">
          <reference field="4294967294" count="1" selected="0">
            <x v="0"/>
          </reference>
        </references>
      </pivotArea>
    </chartFormat>
    <chartFormat chart="6" format="15">
      <pivotArea type="data" outline="0" fieldPosition="0">
        <references count="3">
          <reference field="4294967294" count="1" selected="0">
            <x v="0"/>
          </reference>
          <reference field="3" count="1" selected="0">
            <x v="0"/>
          </reference>
          <reference field="7" count="1" selected="0">
            <x v="0"/>
          </reference>
        </references>
      </pivotArea>
    </chartFormat>
    <chartFormat chart="6" format="16">
      <pivotArea type="data" outline="0" fieldPosition="0">
        <references count="3">
          <reference field="4294967294" count="1" selected="0">
            <x v="0"/>
          </reference>
          <reference field="3" count="1" selected="0">
            <x v="1"/>
          </reference>
          <reference field="7" count="1" selected="0">
            <x v="0"/>
          </reference>
        </references>
      </pivotArea>
    </chartFormat>
    <chartFormat chart="6" format="17">
      <pivotArea type="data" outline="0" fieldPosition="0">
        <references count="3">
          <reference field="4294967294" count="1" selected="0">
            <x v="0"/>
          </reference>
          <reference field="3" count="1" selected="0">
            <x v="0"/>
          </reference>
          <reference field="7" count="1" selected="0">
            <x v="1"/>
          </reference>
        </references>
      </pivotArea>
    </chartFormat>
    <chartFormat chart="6" format="18">
      <pivotArea type="data" outline="0" fieldPosition="0">
        <references count="3">
          <reference field="4294967294" count="1" selected="0">
            <x v="0"/>
          </reference>
          <reference field="3" count="1" selected="0">
            <x v="1"/>
          </reference>
          <reference field="7" count="1" selected="0">
            <x v="1"/>
          </reference>
        </references>
      </pivotArea>
    </chartFormat>
    <chartFormat chart="6" format="19">
      <pivotArea type="data" outline="0" fieldPosition="0">
        <references count="3">
          <reference field="4294967294" count="1" selected="0">
            <x v="0"/>
          </reference>
          <reference field="3" count="1" selected="0">
            <x v="0"/>
          </reference>
          <reference field="7" count="1" selected="0">
            <x v="2"/>
          </reference>
        </references>
      </pivotArea>
    </chartFormat>
    <chartFormat chart="6" format="20">
      <pivotArea type="data" outline="0" fieldPosition="0">
        <references count="3">
          <reference field="4294967294" count="1" selected="0">
            <x v="0"/>
          </reference>
          <reference field="3" count="1" selected="0">
            <x v="1"/>
          </reference>
          <reference field="7" count="1" selected="0">
            <x v="2"/>
          </reference>
        </references>
      </pivotArea>
    </chartFormat>
    <chartFormat chart="0" format="7">
      <pivotArea type="data" outline="0" fieldPosition="0">
        <references count="2">
          <reference field="4294967294" count="1" selected="0">
            <x v="0"/>
          </reference>
          <reference field="7" count="1" selected="0">
            <x v="0"/>
          </reference>
        </references>
      </pivotArea>
    </chartFormat>
    <chartFormat chart="0" format="8">
      <pivotArea type="data" outline="0" fieldPosition="0">
        <references count="2">
          <reference field="4294967294" count="1" selected="0">
            <x v="0"/>
          </reference>
          <reference field="7" count="1" selected="0">
            <x v="1"/>
          </reference>
        </references>
      </pivotArea>
    </chartFormat>
    <chartFormat chart="0" format="9">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4D3BA68-85BC-4DBA-9BD2-04524F8872B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C12" firstHeaderRow="0" firstDataRow="1" firstDataCol="1"/>
  <pivotFields count="16">
    <pivotField numFmtId="14" showAll="0">
      <items count="2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t="default"/>
      </items>
    </pivotField>
    <pivotField numFmtId="164"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dataField="1" showAll="0">
      <items count="17">
        <item x="11"/>
        <item x="13"/>
        <item x="10"/>
        <item x="0"/>
        <item x="7"/>
        <item x="1"/>
        <item x="2"/>
        <item x="8"/>
        <item x="3"/>
        <item x="4"/>
        <item x="9"/>
        <item x="5"/>
        <item x="6"/>
        <item x="12"/>
        <item x="15"/>
        <item x="14"/>
        <item t="default"/>
      </items>
    </pivotField>
    <pivotField showAll="0">
      <items count="3">
        <item x="0"/>
        <item x="1"/>
        <item t="default"/>
      </items>
    </pivotField>
    <pivotField showAll="0">
      <items count="786">
        <item x="0"/>
        <item x="1"/>
        <item x="2"/>
        <item x="3"/>
        <item x="4"/>
        <item x="5"/>
        <item x="6"/>
        <item x="7"/>
        <item x="8"/>
        <item x="9"/>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10"/>
        <item t="default"/>
      </items>
    </pivotField>
    <pivotField dataField="1" numFmtId="165" showAll="0">
      <items count="21">
        <item x="15"/>
        <item x="19"/>
        <item x="14"/>
        <item x="4"/>
        <item x="7"/>
        <item x="18"/>
        <item x="11"/>
        <item x="1"/>
        <item x="12"/>
        <item x="6"/>
        <item x="17"/>
        <item x="8"/>
        <item x="2"/>
        <item x="13"/>
        <item x="5"/>
        <item x="16"/>
        <item x="10"/>
        <item x="0"/>
        <item x="9"/>
        <item x="3"/>
        <item t="default"/>
      </items>
    </pivotField>
    <pivotField axis="axisRow" showAll="0">
      <items count="9">
        <item x="2"/>
        <item x="3"/>
        <item x="7"/>
        <item x="4"/>
        <item x="5"/>
        <item x="6"/>
        <item x="1"/>
        <item x="0"/>
        <item t="default"/>
      </items>
    </pivotField>
    <pivotField showAll="0">
      <items count="4">
        <item x="1"/>
        <item x="0"/>
        <item x="2"/>
        <item t="default"/>
      </items>
    </pivotField>
    <pivotField showAll="0">
      <items count="8">
        <item x="2"/>
        <item x="3"/>
        <item x="4"/>
        <item x="5"/>
        <item x="6"/>
        <item x="0"/>
        <item x="1"/>
        <item t="default"/>
      </items>
    </pivotField>
    <pivotField showAll="0"/>
    <pivotField showAll="0"/>
    <pivotField showAll="0"/>
    <pivotField showAll="0" defaultSubtotal="0"/>
    <pivotField axis="axisRow" showAll="0" defaultSubtotal="0">
      <items count="14">
        <item x="0"/>
        <item x="1"/>
        <item x="2"/>
        <item sd="0" x="3"/>
        <item sd="0" x="4"/>
        <item sd="0" x="5"/>
        <item sd="0" x="6"/>
        <item sd="0" x="7"/>
        <item sd="0" x="8"/>
        <item sd="0" x="9"/>
        <item sd="0" x="10"/>
        <item x="11"/>
        <item x="12"/>
        <item x="13"/>
      </items>
    </pivotField>
    <pivotField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showAll="0" defaultSubtotal="0">
      <items count="14">
        <item x="0"/>
        <item x="1"/>
        <item x="2"/>
        <item x="3"/>
        <item x="4"/>
        <item x="5"/>
        <item x="6"/>
        <item x="7"/>
        <item x="8"/>
        <item x="9"/>
        <item x="10"/>
        <item x="11"/>
        <item x="12"/>
        <item x="13"/>
      </items>
    </pivotField>
  </pivotFields>
  <rowFields count="2">
    <field x="13"/>
    <field x="6"/>
  </rowFields>
  <rowItems count="9">
    <i>
      <x v="3"/>
    </i>
    <i>
      <x v="4"/>
    </i>
    <i>
      <x v="5"/>
    </i>
    <i>
      <x v="6"/>
    </i>
    <i>
      <x v="7"/>
    </i>
    <i>
      <x v="8"/>
    </i>
    <i>
      <x v="9"/>
    </i>
    <i>
      <x v="10"/>
    </i>
    <i t="grand">
      <x/>
    </i>
  </rowItems>
  <colFields count="1">
    <field x="-2"/>
  </colFields>
  <colItems count="2">
    <i>
      <x/>
    </i>
    <i i="1">
      <x v="1"/>
    </i>
  </colItems>
  <dataFields count="2">
    <dataField name="Sum of hour_of_day" fld="2" baseField="13" baseItem="3"/>
    <dataField name="Sum of money" fld="5" baseField="0" baseItem="0" numFmtId="165"/>
  </dataField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5" format="6">
      <pivotArea type="data" outline="0" fieldPosition="0">
        <references count="2">
          <reference field="4294967294" count="1" selected="0">
            <x v="0"/>
          </reference>
          <reference field="13" count="1" selected="0">
            <x v="10"/>
          </reference>
        </references>
      </pivotArea>
    </chartFormat>
    <chartFormat chart="5" format="7">
      <pivotArea type="data" outline="0" fieldPosition="0">
        <references count="2">
          <reference field="4294967294" count="1" selected="0">
            <x v="0"/>
          </reference>
          <reference field="13" count="1" selected="0">
            <x v="9"/>
          </reference>
        </references>
      </pivotArea>
    </chartFormat>
    <chartFormat chart="5" format="8">
      <pivotArea type="data" outline="0" fieldPosition="0">
        <references count="2">
          <reference field="4294967294" count="1" selected="0">
            <x v="0"/>
          </reference>
          <reference field="13" count="1" selected="0">
            <x v="8"/>
          </reference>
        </references>
      </pivotArea>
    </chartFormat>
    <chartFormat chart="5" format="9">
      <pivotArea type="data" outline="0" fieldPosition="0">
        <references count="2">
          <reference field="4294967294" count="1" selected="0">
            <x v="0"/>
          </reference>
          <reference field="13" count="1" selected="0">
            <x v="7"/>
          </reference>
        </references>
      </pivotArea>
    </chartFormat>
    <chartFormat chart="5" format="10">
      <pivotArea type="data" outline="0" fieldPosition="0">
        <references count="2">
          <reference field="4294967294" count="1" selected="0">
            <x v="0"/>
          </reference>
          <reference field="13" count="1" selected="0">
            <x v="6"/>
          </reference>
        </references>
      </pivotArea>
    </chartFormat>
    <chartFormat chart="5" format="11">
      <pivotArea type="data" outline="0" fieldPosition="0">
        <references count="2">
          <reference field="4294967294" count="1" selected="0">
            <x v="0"/>
          </reference>
          <reference field="13" count="1" selected="0">
            <x v="5"/>
          </reference>
        </references>
      </pivotArea>
    </chartFormat>
    <chartFormat chart="5" format="12">
      <pivotArea type="data" outline="0" fieldPosition="0">
        <references count="2">
          <reference field="4294967294" count="1" selected="0">
            <x v="0"/>
          </reference>
          <reference field="13" count="1" selected="0">
            <x v="4"/>
          </reference>
        </references>
      </pivotArea>
    </chartFormat>
    <chartFormat chart="5" format="13">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F3CCC46-064D-44CA-99A6-3C02FA94296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 firstHeaderRow="0" firstDataRow="1" firstDataCol="0"/>
  <pivotFields count="16">
    <pivotField numFmtId="14" showAll="0">
      <items count="2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t="default"/>
      </items>
    </pivotField>
    <pivotField numFmtId="164"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showAll="0">
      <items count="17">
        <item x="11"/>
        <item x="13"/>
        <item x="10"/>
        <item x="0"/>
        <item x="7"/>
        <item x="1"/>
        <item x="2"/>
        <item x="8"/>
        <item x="3"/>
        <item x="4"/>
        <item x="9"/>
        <item x="5"/>
        <item x="6"/>
        <item x="12"/>
        <item x="15"/>
        <item x="14"/>
        <item t="default"/>
      </items>
    </pivotField>
    <pivotField showAll="0"/>
    <pivotField showAll="0">
      <items count="786">
        <item x="0"/>
        <item x="1"/>
        <item x="2"/>
        <item x="3"/>
        <item x="4"/>
        <item x="5"/>
        <item x="6"/>
        <item x="7"/>
        <item x="8"/>
        <item x="9"/>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10"/>
        <item t="default"/>
      </items>
    </pivotField>
    <pivotField dataField="1" numFmtId="165" showAll="0">
      <items count="21">
        <item x="15"/>
        <item x="19"/>
        <item x="14"/>
        <item x="4"/>
        <item x="7"/>
        <item x="18"/>
        <item x="11"/>
        <item x="1"/>
        <item x="12"/>
        <item x="6"/>
        <item x="17"/>
        <item x="8"/>
        <item x="2"/>
        <item x="13"/>
        <item x="5"/>
        <item x="16"/>
        <item x="10"/>
        <item x="0"/>
        <item x="9"/>
        <item x="3"/>
        <item t="default"/>
      </items>
    </pivotField>
    <pivotField dataField="1" showAll="0">
      <items count="9">
        <item x="2"/>
        <item x="3"/>
        <item x="7"/>
        <item x="4"/>
        <item x="5"/>
        <item x="6"/>
        <item x="1"/>
        <item x="0"/>
        <item t="default"/>
      </items>
    </pivotField>
    <pivotField showAll="0">
      <items count="4">
        <item x="1"/>
        <item x="0"/>
        <item x="2"/>
        <item t="default"/>
      </items>
    </pivotField>
    <pivotField showAll="0"/>
    <pivotField showAll="0"/>
    <pivotField showAll="0"/>
    <pivotField showAll="0">
      <items count="9">
        <item x="0"/>
        <item x="1"/>
        <item x="2"/>
        <item x="3"/>
        <item x="4"/>
        <item x="5"/>
        <item x="6"/>
        <item x="7"/>
        <item t="default"/>
      </items>
    </pivotField>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14">
        <item x="0"/>
        <item x="1"/>
        <item x="2"/>
        <item x="3"/>
        <item x="4"/>
        <item x="5"/>
        <item x="6"/>
        <item x="7"/>
        <item x="8"/>
        <item x="9"/>
        <item x="10"/>
        <item x="11"/>
        <item x="12"/>
        <item x="13"/>
      </items>
    </pivotField>
  </pivotFields>
  <rowItems count="1">
    <i/>
  </rowItems>
  <colFields count="1">
    <field x="-2"/>
  </colFields>
  <colItems count="2">
    <i>
      <x/>
    </i>
    <i i="1">
      <x v="1"/>
    </i>
  </colItems>
  <dataFields count="2">
    <dataField name="Sum of money" fld="5" baseField="0" baseItem="0" numFmtId="44"/>
    <dataField name="Count of coffee_name" fld="6" subtotal="count" baseField="0" baseItem="0"/>
  </dataFields>
  <formats count="5">
    <format dxfId="4">
      <pivotArea type="all" dataOnly="0" outline="0" fieldPosition="0"/>
    </format>
    <format dxfId="3">
      <pivotArea outline="0" collapsedLevelsAreSubtotals="1" fieldPosition="0"/>
    </format>
    <format dxfId="2">
      <pivotArea dataOnly="0" labelOnly="1" outline="0" fieldPosition="0">
        <references count="1">
          <reference field="4294967294" count="2">
            <x v="0"/>
            <x v="1"/>
          </reference>
        </references>
      </pivotArea>
    </format>
    <format dxfId="1">
      <pivotArea outline="0" collapsedLevelsAreSubtotals="1" fieldPosition="0">
        <references count="1">
          <reference field="4294967294" count="1" selected="0">
            <x v="0"/>
          </reference>
        </references>
      </pivotArea>
    </format>
    <format dxfId="0">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ffee_name" xr10:uid="{027C0AA1-790A-4D67-BD12-E3D44507EF12}" sourceName="coffee_name">
  <pivotTables>
    <pivotTable tabId="2" name="PivotTable1"/>
    <pivotTable tabId="3" name="PivotTable2"/>
    <pivotTable tabId="7" name="PivotTable1"/>
    <pivotTable tabId="4" name="PivotTable3"/>
    <pivotTable tabId="5" name="PivotTable4"/>
    <pivotTable tabId="11" name="PivotTable1"/>
  </pivotTables>
  <data>
    <tabular pivotCacheId="620768190">
      <items count="8">
        <i x="2" s="1"/>
        <i x="3" s="1"/>
        <i x="7" s="1"/>
        <i x="4" s="1"/>
        <i x="5" s="1"/>
        <i x="6"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_of_Day" xr10:uid="{1A44E616-FF8E-4BBD-85AB-6AFED839D252}" sourceName="Time_of_Day">
  <pivotTables>
    <pivotTable tabId="3" name="PivotTable2"/>
    <pivotTable tabId="7" name="PivotTable1"/>
    <pivotTable tabId="4" name="PivotTable3"/>
    <pivotTable tabId="5" name="PivotTable4"/>
    <pivotTable tabId="2" name="PivotTable1"/>
    <pivotTable tabId="11" name="PivotTable1"/>
  </pivotTables>
  <data>
    <tabular pivotCacheId="620768190">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ur_of_day" xr10:uid="{53EEEC08-F442-4C1E-A456-E18DC0239A0B}" sourceName="hour_of_day">
  <pivotTables>
    <pivotTable tabId="4" name="PivotTable3"/>
    <pivotTable tabId="3" name="PivotTable2"/>
    <pivotTable tabId="7" name="PivotTable1"/>
    <pivotTable tabId="5" name="PivotTable4"/>
    <pivotTable tabId="2" name="PivotTable1"/>
    <pivotTable tabId="11" name="PivotTable1"/>
  </pivotTables>
  <data>
    <tabular pivotCacheId="620768190">
      <items count="16">
        <i x="11" s="1"/>
        <i x="13" s="1"/>
        <i x="10" s="1"/>
        <i x="0" s="1"/>
        <i x="7" s="1"/>
        <i x="1" s="1"/>
        <i x="2" s="1"/>
        <i x="8" s="1"/>
        <i x="3" s="1"/>
        <i x="4" s="1"/>
        <i x="9" s="1"/>
        <i x="5" s="1"/>
        <i x="6" s="1"/>
        <i x="12" s="1"/>
        <i x="15" s="1"/>
        <i x="1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ey" xr10:uid="{8723EB4E-91BB-4693-953A-AC4FCDDFB5D4}" sourceName="money">
  <pivotTables>
    <pivotTable tabId="11" name="PivotTable1"/>
    <pivotTable tabId="3" name="PivotTable2"/>
    <pivotTable tabId="7" name="PivotTable1"/>
    <pivotTable tabId="4" name="PivotTable3"/>
    <pivotTable tabId="5" name="PivotTable4"/>
    <pivotTable tabId="2" name="PivotTable1"/>
  </pivotTables>
  <data>
    <tabular pivotCacheId="620768190">
      <items count="20">
        <i x="15" s="1"/>
        <i x="19" s="1"/>
        <i x="14" s="1"/>
        <i x="4" s="1"/>
        <i x="7" s="1"/>
        <i x="18" s="1"/>
        <i x="11" s="1"/>
        <i x="1" s="1"/>
        <i x="12" s="1"/>
        <i x="6" s="1"/>
        <i x="17" s="1"/>
        <i x="8" s="1"/>
        <i x="2" s="1"/>
        <i x="13" s="1"/>
        <i x="5" s="1"/>
        <i x="16" s="1"/>
        <i x="10" s="1"/>
        <i x="0" s="1"/>
        <i x="9"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ffee_name" xr10:uid="{CD594A4A-806D-467E-9D26-710058B11956}" cache="Slicer_coffee_name" caption="coffee_name" startItem="2" style="SlicerStyleDark4" rowHeight="247650"/>
  <slicer name="Time_of_Day" xr10:uid="{62975899-5A2F-4B11-88A1-4FF71D916C51}" cache="Slicer_Time_of_Day" caption="Time_of_Day" style="SlicerStyleDark4" rowHeight="247650"/>
  <slicer name="hour_of_day" xr10:uid="{9239B05D-1BCE-44B7-9056-279341A17A04}" cache="Slicer_hour_of_day" caption="hour_of_day" startItem="11" style="SlicerStyleDark4" rowHeight="247650"/>
  <slicer name="money" xr10:uid="{FB7E9C84-9633-4439-916F-6899C59784C9}" cache="Slicer_money" caption="money"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7124DB6-F465-4700-9319-AD9AF61A7EEA}" name="Table1" displayName="Table1" ref="A1:L2001" totalsRowShown="0" headerRowDxfId="18" dataDxfId="17">
  <autoFilter ref="A1:L2001" xr:uid="{F7124DB6-F465-4700-9319-AD9AF61A7EEA}"/>
  <tableColumns count="12">
    <tableColumn id="1" xr3:uid="{455F435C-9D1E-4834-9CCB-616BE847CDA2}" name="date" dataDxfId="16"/>
    <tableColumn id="2" xr3:uid="{4A3AF59B-7F0B-4C73-8F8A-2D962577682E}" name="datetime" dataDxfId="15"/>
    <tableColumn id="3" xr3:uid="{D454917B-194D-4CED-B416-B97F33CE44AA}" name="hour_of_day" dataDxfId="14">
      <calculatedColumnFormula>HOUR(B2)</calculatedColumnFormula>
    </tableColumn>
    <tableColumn id="4" xr3:uid="{C77D2123-61B0-4C3C-AE5E-9E14CEB5AE21}" name="cash_type" dataDxfId="13"/>
    <tableColumn id="5" xr3:uid="{C7A1B3A4-9C8C-45D5-9CD8-3C4619E4EE41}" name="card" dataDxfId="12"/>
    <tableColumn id="6" xr3:uid="{BECCE7FB-4090-427C-996C-7FFC3A459E02}" name="money" dataDxfId="11"/>
    <tableColumn id="7" xr3:uid="{74576FD8-19D5-4249-8ECA-F5D37EEB47A5}" name="coffee_name" dataDxfId="10"/>
    <tableColumn id="8" xr3:uid="{E14D621A-0A9F-4556-A811-D91592EFA6B2}" name="Time_of_Day" dataDxfId="9">
      <calculatedColumnFormula>IF(AND(C2&gt;=5,C2&lt;12),"Morning",
 IF(AND(C2&gt;=12,C2&lt;17),"Afternoon","Night"))</calculatedColumnFormula>
    </tableColumn>
    <tableColumn id="9" xr3:uid="{9E024A6D-0476-4C1F-9904-C47CD2D8A184}" name="Weekday" dataDxfId="8">
      <calculatedColumnFormula>TEXT(A2, "ddd")</calculatedColumnFormula>
    </tableColumn>
    <tableColumn id="10" xr3:uid="{D9C10803-8A2D-43F8-B5F6-5A11E04F3205}" name="Month_name" dataDxfId="7">
      <calculatedColumnFormula>TEXT(A2, "mmm")</calculatedColumnFormula>
    </tableColumn>
    <tableColumn id="11" xr3:uid="{816D92E9-A3A1-4669-BBD8-AC0018F8D764}" name="Weekdaysort" dataDxfId="6">
      <calculatedColumnFormula>WEEKDAY(A2, 2)</calculatedColumnFormula>
    </tableColumn>
    <tableColumn id="12" xr3:uid="{F3C6F78C-416A-4752-B56E-54C9B8C84155}" name="Monthsort" dataDxfId="5">
      <calculatedColumnFormula>MONTH(A2)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52987-A313-48CC-81A4-65A20145FF8B}">
  <dimension ref="A3:B12"/>
  <sheetViews>
    <sheetView topLeftCell="A2" workbookViewId="0">
      <selection activeCell="A3" sqref="A3:C12"/>
    </sheetView>
  </sheetViews>
  <sheetFormatPr defaultRowHeight="14.4" x14ac:dyDescent="0.3"/>
  <cols>
    <col min="1" max="1" width="17.21875" bestFit="1" customWidth="1"/>
    <col min="2" max="2" width="12.5546875" bestFit="1" customWidth="1"/>
  </cols>
  <sheetData>
    <row r="3" spans="1:2" x14ac:dyDescent="0.3">
      <c r="A3" s="16" t="s">
        <v>806</v>
      </c>
      <c r="B3" t="s">
        <v>805</v>
      </c>
    </row>
    <row r="4" spans="1:2" x14ac:dyDescent="0.3">
      <c r="A4" s="17" t="s">
        <v>17</v>
      </c>
      <c r="B4" s="19">
        <v>7066.5800000000472</v>
      </c>
    </row>
    <row r="5" spans="1:2" x14ac:dyDescent="0.3">
      <c r="A5" s="17" t="s">
        <v>20</v>
      </c>
      <c r="B5" s="19">
        <v>14961.88000000003</v>
      </c>
    </row>
    <row r="6" spans="1:2" x14ac:dyDescent="0.3">
      <c r="A6" s="17" t="s">
        <v>49</v>
      </c>
      <c r="B6" s="19">
        <v>10631.819999999985</v>
      </c>
    </row>
    <row r="7" spans="1:2" x14ac:dyDescent="0.3">
      <c r="A7" s="17" t="s">
        <v>24</v>
      </c>
      <c r="B7" s="19">
        <v>2491.6800000000012</v>
      </c>
    </row>
    <row r="8" spans="1:2" x14ac:dyDescent="0.3">
      <c r="A8" s="17" t="s">
        <v>34</v>
      </c>
      <c r="B8" s="19">
        <v>5146.54000000001</v>
      </c>
    </row>
    <row r="9" spans="1:2" x14ac:dyDescent="0.3">
      <c r="A9" s="17" t="s">
        <v>41</v>
      </c>
      <c r="B9" s="19">
        <v>1698.099999999996</v>
      </c>
    </row>
    <row r="10" spans="1:2" x14ac:dyDescent="0.3">
      <c r="A10" s="17" t="s">
        <v>15</v>
      </c>
      <c r="B10" s="19">
        <v>4844.220000000013</v>
      </c>
    </row>
    <row r="11" spans="1:2" x14ac:dyDescent="0.3">
      <c r="A11" s="17" t="s">
        <v>13</v>
      </c>
      <c r="B11" s="19">
        <v>16423.099999999969</v>
      </c>
    </row>
    <row r="12" spans="1:2" x14ac:dyDescent="0.3">
      <c r="A12" s="17" t="s">
        <v>807</v>
      </c>
      <c r="B12" s="15">
        <v>63263.920000000056</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B19D6-18F1-4E40-AB9C-349678362B74}">
  <dimension ref="A3:C12"/>
  <sheetViews>
    <sheetView workbookViewId="0">
      <selection activeCell="Q4" sqref="Q4"/>
    </sheetView>
  </sheetViews>
  <sheetFormatPr defaultRowHeight="14.4" x14ac:dyDescent="0.3"/>
  <cols>
    <col min="1" max="1" width="12.44140625" bestFit="1" customWidth="1"/>
    <col min="2" max="2" width="16.88671875" bestFit="1" customWidth="1"/>
    <col min="3" max="3" width="12.5546875" bestFit="1" customWidth="1"/>
    <col min="4" max="4" width="11" bestFit="1" customWidth="1"/>
    <col min="5" max="5" width="6.21875" bestFit="1" customWidth="1"/>
    <col min="6" max="6" width="7.6640625" bestFit="1" customWidth="1"/>
    <col min="7" max="7" width="8.44140625" bestFit="1" customWidth="1"/>
    <col min="8" max="8" width="12.77734375" bestFit="1" customWidth="1"/>
    <col min="9" max="9" width="5.21875" bestFit="1" customWidth="1"/>
    <col min="10" max="10" width="10.5546875" bestFit="1" customWidth="1"/>
    <col min="11" max="14" width="6.6640625" bestFit="1" customWidth="1"/>
    <col min="15" max="15" width="22.5546875" bestFit="1" customWidth="1"/>
    <col min="16" max="16" width="12.6640625" bestFit="1" customWidth="1"/>
    <col min="17" max="21" width="6.6640625" bestFit="1" customWidth="1"/>
    <col min="22" max="22" width="15.5546875" bestFit="1" customWidth="1"/>
    <col min="23" max="23" width="7.88671875" bestFit="1" customWidth="1"/>
    <col min="24" max="28" width="6.6640625" bestFit="1" customWidth="1"/>
    <col min="29" max="29" width="10.6640625" bestFit="1" customWidth="1"/>
    <col min="30" max="30" width="9.33203125" bestFit="1" customWidth="1"/>
    <col min="31" max="34" width="6.6640625" bestFit="1" customWidth="1"/>
    <col min="35" max="35" width="12.109375" bestFit="1" customWidth="1"/>
    <col min="36" max="36" width="10.109375" bestFit="1" customWidth="1"/>
    <col min="37" max="40" width="6.6640625" bestFit="1" customWidth="1"/>
    <col min="41" max="41" width="12.88671875" bestFit="1" customWidth="1"/>
    <col min="42" max="42" width="14.44140625" bestFit="1" customWidth="1"/>
    <col min="43" max="47" width="6.6640625" bestFit="1" customWidth="1"/>
    <col min="48" max="48" width="17.44140625" bestFit="1" customWidth="1"/>
    <col min="49" max="49" width="6.88671875" bestFit="1" customWidth="1"/>
    <col min="50" max="54" width="6.6640625" bestFit="1" customWidth="1"/>
    <col min="55" max="55" width="9.6640625" bestFit="1" customWidth="1"/>
    <col min="56" max="56" width="10.5546875" bestFit="1" customWidth="1"/>
    <col min="57" max="785" width="20.33203125" bestFit="1" customWidth="1"/>
    <col min="786" max="786" width="9.21875" bestFit="1" customWidth="1"/>
    <col min="787" max="787" width="7" bestFit="1" customWidth="1"/>
    <col min="788" max="788" width="9.33203125" bestFit="1" customWidth="1"/>
    <col min="789" max="789" width="10.5546875" bestFit="1" customWidth="1"/>
  </cols>
  <sheetData>
    <row r="3" spans="1:3" x14ac:dyDescent="0.3">
      <c r="A3" s="16" t="s">
        <v>806</v>
      </c>
      <c r="B3" t="s">
        <v>819</v>
      </c>
      <c r="C3" t="s">
        <v>805</v>
      </c>
    </row>
    <row r="4" spans="1:3" x14ac:dyDescent="0.3">
      <c r="A4" s="17" t="s">
        <v>811</v>
      </c>
      <c r="B4" s="29">
        <v>2822</v>
      </c>
      <c r="C4" s="19">
        <v>7050.1999999999871</v>
      </c>
    </row>
    <row r="5" spans="1:3" x14ac:dyDescent="0.3">
      <c r="A5" s="17" t="s">
        <v>812</v>
      </c>
      <c r="B5" s="29">
        <v>2829</v>
      </c>
      <c r="C5" s="19">
        <v>6720.5600000000013</v>
      </c>
    </row>
    <row r="6" spans="1:3" x14ac:dyDescent="0.3">
      <c r="A6" s="17" t="s">
        <v>813</v>
      </c>
      <c r="B6" s="29">
        <v>3996</v>
      </c>
      <c r="C6" s="19">
        <v>9063.4200000000019</v>
      </c>
    </row>
    <row r="7" spans="1:3" x14ac:dyDescent="0.3">
      <c r="A7" s="17" t="s">
        <v>814</v>
      </c>
      <c r="B7" s="29">
        <v>3481</v>
      </c>
      <c r="C7" s="19">
        <v>7758.7600000000048</v>
      </c>
    </row>
    <row r="8" spans="1:3" x14ac:dyDescent="0.3">
      <c r="A8" s="17" t="s">
        <v>815</v>
      </c>
      <c r="B8" s="29">
        <v>3360</v>
      </c>
      <c r="C8" s="19">
        <v>6915.940000000006</v>
      </c>
    </row>
    <row r="9" spans="1:3" x14ac:dyDescent="0.3">
      <c r="A9" s="17" t="s">
        <v>816</v>
      </c>
      <c r="B9" s="29">
        <v>3674</v>
      </c>
      <c r="C9" s="19">
        <v>7613.8400000000147</v>
      </c>
    </row>
    <row r="10" spans="1:3" x14ac:dyDescent="0.3">
      <c r="A10" s="17" t="s">
        <v>817</v>
      </c>
      <c r="B10" s="29">
        <v>4954</v>
      </c>
      <c r="C10" s="19">
        <v>9988.6400000000067</v>
      </c>
    </row>
    <row r="11" spans="1:3" x14ac:dyDescent="0.3">
      <c r="A11" s="17" t="s">
        <v>818</v>
      </c>
      <c r="B11" s="29">
        <v>3508</v>
      </c>
      <c r="C11" s="19">
        <v>8152.5600000000222</v>
      </c>
    </row>
    <row r="12" spans="1:3" x14ac:dyDescent="0.3">
      <c r="A12" s="17" t="s">
        <v>807</v>
      </c>
      <c r="B12" s="29">
        <v>28624</v>
      </c>
      <c r="C12" s="19">
        <v>63263.920000000042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C9BF2-FFDB-4070-B963-9E17525E9813}">
  <dimension ref="A3:J12"/>
  <sheetViews>
    <sheetView workbookViewId="0">
      <selection activeCell="L21" sqref="L21"/>
    </sheetView>
  </sheetViews>
  <sheetFormatPr defaultRowHeight="14.4" x14ac:dyDescent="0.3"/>
  <cols>
    <col min="1" max="1" width="12.5546875" bestFit="1" customWidth="1"/>
    <col min="2" max="2" width="15.5546875" bestFit="1" customWidth="1"/>
    <col min="3" max="3" width="18" bestFit="1" customWidth="1"/>
    <col min="4" max="4" width="11.109375" bestFit="1" customWidth="1"/>
    <col min="5" max="7" width="10.109375" bestFit="1" customWidth="1"/>
    <col min="8" max="8" width="12.77734375" bestFit="1" customWidth="1"/>
    <col min="9" max="10" width="11.109375" bestFit="1" customWidth="1"/>
    <col min="11" max="14" width="6.6640625" bestFit="1" customWidth="1"/>
    <col min="15" max="15" width="22.5546875" bestFit="1" customWidth="1"/>
    <col min="16" max="16" width="12.6640625" bestFit="1" customWidth="1"/>
    <col min="17" max="21" width="6.6640625" bestFit="1" customWidth="1"/>
    <col min="22" max="22" width="15.5546875" bestFit="1" customWidth="1"/>
    <col min="23" max="23" width="7.88671875" bestFit="1" customWidth="1"/>
    <col min="24" max="28" width="6.6640625" bestFit="1" customWidth="1"/>
    <col min="29" max="29" width="10.6640625" bestFit="1" customWidth="1"/>
    <col min="30" max="30" width="9.33203125" bestFit="1" customWidth="1"/>
    <col min="31" max="34" width="6.6640625" bestFit="1" customWidth="1"/>
    <col min="35" max="35" width="12.109375" bestFit="1" customWidth="1"/>
    <col min="36" max="36" width="10.109375" bestFit="1" customWidth="1"/>
    <col min="37" max="40" width="6.6640625" bestFit="1" customWidth="1"/>
    <col min="41" max="41" width="12.88671875" bestFit="1" customWidth="1"/>
    <col min="42" max="42" width="14.44140625" bestFit="1" customWidth="1"/>
    <col min="43" max="47" width="6.6640625" bestFit="1" customWidth="1"/>
    <col min="48" max="48" width="17.44140625" bestFit="1" customWidth="1"/>
    <col min="49" max="49" width="6.88671875" bestFit="1" customWidth="1"/>
    <col min="50" max="54" width="6.6640625" bestFit="1" customWidth="1"/>
    <col min="55" max="55" width="9.6640625" bestFit="1" customWidth="1"/>
    <col min="56" max="56" width="10.5546875" bestFit="1" customWidth="1"/>
  </cols>
  <sheetData>
    <row r="3" spans="1:10" x14ac:dyDescent="0.3">
      <c r="A3" s="16" t="s">
        <v>805</v>
      </c>
      <c r="B3" s="16" t="s">
        <v>820</v>
      </c>
    </row>
    <row r="4" spans="1:10" x14ac:dyDescent="0.3">
      <c r="A4" s="16" t="s">
        <v>806</v>
      </c>
      <c r="B4" t="s">
        <v>17</v>
      </c>
      <c r="C4" t="s">
        <v>20</v>
      </c>
      <c r="D4" t="s">
        <v>49</v>
      </c>
      <c r="E4" t="s">
        <v>24</v>
      </c>
      <c r="F4" t="s">
        <v>34</v>
      </c>
      <c r="G4" t="s">
        <v>41</v>
      </c>
      <c r="H4" t="s">
        <v>15</v>
      </c>
      <c r="I4" t="s">
        <v>13</v>
      </c>
      <c r="J4" t="s">
        <v>807</v>
      </c>
    </row>
    <row r="5" spans="1:10" x14ac:dyDescent="0.3">
      <c r="A5" s="17" t="s">
        <v>821</v>
      </c>
      <c r="B5" s="19">
        <v>755.04000000000008</v>
      </c>
      <c r="C5" s="19">
        <v>1954.340000000002</v>
      </c>
      <c r="D5" s="19">
        <v>1919.5799999999995</v>
      </c>
      <c r="E5" s="19">
        <v>169.98</v>
      </c>
      <c r="F5" s="19">
        <v>875.04000000000008</v>
      </c>
      <c r="G5" s="19">
        <v>260.56</v>
      </c>
      <c r="H5" s="19">
        <v>729.9000000000002</v>
      </c>
      <c r="I5" s="19">
        <v>2020.8199999999993</v>
      </c>
      <c r="J5" s="19">
        <v>8685.26</v>
      </c>
    </row>
    <row r="6" spans="1:10" x14ac:dyDescent="0.3">
      <c r="A6" s="17" t="s">
        <v>822</v>
      </c>
      <c r="B6" s="19">
        <v>1373.9599999999996</v>
      </c>
      <c r="C6" s="19">
        <v>2109.6000000000017</v>
      </c>
      <c r="D6" s="19">
        <v>1532.2599999999998</v>
      </c>
      <c r="E6" s="19">
        <v>311.05999999999995</v>
      </c>
      <c r="F6" s="19">
        <v>533.04</v>
      </c>
      <c r="G6" s="19">
        <v>133.26</v>
      </c>
      <c r="H6" s="19">
        <v>352.7</v>
      </c>
      <c r="I6" s="19">
        <v>2535.1600000000017</v>
      </c>
      <c r="J6" s="19">
        <v>8881.0400000000027</v>
      </c>
    </row>
    <row r="7" spans="1:10" x14ac:dyDescent="0.3">
      <c r="A7" s="17" t="s">
        <v>823</v>
      </c>
      <c r="B7" s="19">
        <v>1052.3400000000001</v>
      </c>
      <c r="C7" s="19">
        <v>2862.7400000000052</v>
      </c>
      <c r="D7" s="19">
        <v>1374.52</v>
      </c>
      <c r="E7" s="19">
        <v>572.46</v>
      </c>
      <c r="F7" s="19">
        <v>798.99999999999989</v>
      </c>
      <c r="G7" s="19">
        <v>137.62</v>
      </c>
      <c r="H7" s="19">
        <v>1090.7600000000004</v>
      </c>
      <c r="I7" s="19">
        <v>2784.5000000000027</v>
      </c>
      <c r="J7" s="19">
        <v>10673.94000000001</v>
      </c>
    </row>
    <row r="8" spans="1:10" x14ac:dyDescent="0.3">
      <c r="A8" s="17" t="s">
        <v>824</v>
      </c>
      <c r="B8" s="19">
        <v>959.6400000000001</v>
      </c>
      <c r="C8" s="19">
        <v>2059.5000000000005</v>
      </c>
      <c r="D8" s="19">
        <v>1424.36</v>
      </c>
      <c r="E8" s="19">
        <v>250.32</v>
      </c>
      <c r="F8" s="19">
        <v>679</v>
      </c>
      <c r="G8" s="19">
        <v>376.68000000000006</v>
      </c>
      <c r="H8" s="19">
        <v>520.55999999999995</v>
      </c>
      <c r="I8" s="19">
        <v>2110.2799999999993</v>
      </c>
      <c r="J8" s="19">
        <v>8380.3399999999983</v>
      </c>
    </row>
    <row r="9" spans="1:10" x14ac:dyDescent="0.3">
      <c r="A9" s="17" t="s">
        <v>825</v>
      </c>
      <c r="B9" s="19">
        <v>985.62</v>
      </c>
      <c r="C9" s="19">
        <v>1890.7800000000016</v>
      </c>
      <c r="D9" s="19">
        <v>1611.7799999999997</v>
      </c>
      <c r="E9" s="19">
        <v>68.58</v>
      </c>
      <c r="F9" s="19">
        <v>784.17999999999984</v>
      </c>
      <c r="G9" s="19">
        <v>289.94</v>
      </c>
      <c r="H9" s="19">
        <v>1015.2999999999998</v>
      </c>
      <c r="I9" s="19">
        <v>2654.5000000000032</v>
      </c>
      <c r="J9" s="19">
        <v>9300.6800000000039</v>
      </c>
    </row>
    <row r="10" spans="1:10" x14ac:dyDescent="0.3">
      <c r="A10" s="17" t="s">
        <v>826</v>
      </c>
      <c r="B10" s="19">
        <v>1208.98</v>
      </c>
      <c r="C10" s="19">
        <v>1873.0600000000015</v>
      </c>
      <c r="D10" s="19">
        <v>1270.2000000000005</v>
      </c>
      <c r="E10" s="19">
        <v>653.79999999999995</v>
      </c>
      <c r="F10" s="19">
        <v>654.88000000000011</v>
      </c>
      <c r="G10" s="19">
        <v>271.82</v>
      </c>
      <c r="H10" s="19">
        <v>825.42</v>
      </c>
      <c r="I10" s="19">
        <v>2276.46</v>
      </c>
      <c r="J10" s="19">
        <v>9034.6200000000026</v>
      </c>
    </row>
    <row r="11" spans="1:10" x14ac:dyDescent="0.3">
      <c r="A11" s="17" t="s">
        <v>827</v>
      </c>
      <c r="B11" s="19">
        <v>730.99999999999989</v>
      </c>
      <c r="C11" s="19">
        <v>2211.8600000000019</v>
      </c>
      <c r="D11" s="19">
        <v>1499.1199999999997</v>
      </c>
      <c r="E11" s="19">
        <v>465.47999999999996</v>
      </c>
      <c r="F11" s="19">
        <v>821.4</v>
      </c>
      <c r="G11" s="19">
        <v>228.22000000000003</v>
      </c>
      <c r="H11" s="19">
        <v>309.58000000000004</v>
      </c>
      <c r="I11" s="19">
        <v>2041.379999999999</v>
      </c>
      <c r="J11" s="19">
        <v>8308.0399999999991</v>
      </c>
    </row>
    <row r="12" spans="1:10" x14ac:dyDescent="0.3">
      <c r="A12" s="17" t="s">
        <v>807</v>
      </c>
      <c r="B12" s="20">
        <v>7066.58</v>
      </c>
      <c r="C12" s="20">
        <v>14961.880000000014</v>
      </c>
      <c r="D12" s="20">
        <v>10631.819999999998</v>
      </c>
      <c r="E12" s="20">
        <v>2491.6799999999998</v>
      </c>
      <c r="F12" s="20">
        <v>5146.5399999999991</v>
      </c>
      <c r="G12" s="20">
        <v>1698.1000000000001</v>
      </c>
      <c r="H12" s="20">
        <v>4844.22</v>
      </c>
      <c r="I12" s="20">
        <v>16423.100000000006</v>
      </c>
      <c r="J12" s="20">
        <v>63263.920000000013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87A50-C39D-4525-B594-1FDCF40398AD}">
  <dimension ref="A3:B13"/>
  <sheetViews>
    <sheetView topLeftCell="A3" workbookViewId="0">
      <selection activeCell="B37" sqref="B37"/>
    </sheetView>
  </sheetViews>
  <sheetFormatPr defaultRowHeight="14.4" x14ac:dyDescent="0.3"/>
  <cols>
    <col min="1" max="1" width="12.44140625" bestFit="1" customWidth="1"/>
    <col min="2" max="2" width="12.5546875" bestFit="1" customWidth="1"/>
  </cols>
  <sheetData>
    <row r="3" spans="1:2" x14ac:dyDescent="0.3">
      <c r="A3" s="16" t="s">
        <v>806</v>
      </c>
      <c r="B3" t="s">
        <v>805</v>
      </c>
    </row>
    <row r="4" spans="1:2" x14ac:dyDescent="0.3">
      <c r="A4" s="17" t="s">
        <v>808</v>
      </c>
      <c r="B4" s="19">
        <v>19142.019999999931</v>
      </c>
    </row>
    <row r="5" spans="1:2" x14ac:dyDescent="0.3">
      <c r="A5" s="18" t="s">
        <v>4</v>
      </c>
      <c r="B5" s="19">
        <v>18254.019999999931</v>
      </c>
    </row>
    <row r="6" spans="1:2" x14ac:dyDescent="0.3">
      <c r="A6" s="18" t="s">
        <v>27</v>
      </c>
      <c r="B6" s="19">
        <v>888</v>
      </c>
    </row>
    <row r="7" spans="1:2" x14ac:dyDescent="0.3">
      <c r="A7" s="17" t="s">
        <v>809</v>
      </c>
      <c r="B7" s="19">
        <v>20935.259999999962</v>
      </c>
    </row>
    <row r="8" spans="1:2" x14ac:dyDescent="0.3">
      <c r="A8" s="18" t="s">
        <v>4</v>
      </c>
      <c r="B8" s="19">
        <v>19484.259999999962</v>
      </c>
    </row>
    <row r="9" spans="1:2" x14ac:dyDescent="0.3">
      <c r="A9" s="18" t="s">
        <v>27</v>
      </c>
      <c r="B9" s="19">
        <v>1451</v>
      </c>
    </row>
    <row r="10" spans="1:2" x14ac:dyDescent="0.3">
      <c r="A10" s="17" t="s">
        <v>810</v>
      </c>
      <c r="B10" s="19">
        <v>23186.639999999785</v>
      </c>
    </row>
    <row r="11" spans="1:2" x14ac:dyDescent="0.3">
      <c r="A11" s="18" t="s">
        <v>4</v>
      </c>
      <c r="B11" s="19">
        <v>22339.639999999785</v>
      </c>
    </row>
    <row r="12" spans="1:2" x14ac:dyDescent="0.3">
      <c r="A12" s="18" t="s">
        <v>27</v>
      </c>
      <c r="B12" s="19">
        <v>847</v>
      </c>
    </row>
    <row r="13" spans="1:2" x14ac:dyDescent="0.3">
      <c r="A13" s="17" t="s">
        <v>807</v>
      </c>
      <c r="B13" s="19">
        <v>63263.919999999678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C4F2E-A407-45A7-9AC0-CB6C6C1E0226}">
  <dimension ref="A3:C12"/>
  <sheetViews>
    <sheetView workbookViewId="0">
      <selection activeCell="C3" sqref="C3"/>
    </sheetView>
  </sheetViews>
  <sheetFormatPr defaultRowHeight="14.4" x14ac:dyDescent="0.3"/>
  <cols>
    <col min="1" max="1" width="12.44140625" bestFit="1" customWidth="1"/>
    <col min="2" max="2" width="16.88671875" bestFit="1" customWidth="1"/>
    <col min="3" max="3" width="12.5546875" bestFit="1" customWidth="1"/>
  </cols>
  <sheetData>
    <row r="3" spans="1:3" x14ac:dyDescent="0.3">
      <c r="A3" s="16" t="s">
        <v>806</v>
      </c>
      <c r="B3" t="s">
        <v>819</v>
      </c>
      <c r="C3" t="s">
        <v>805</v>
      </c>
    </row>
    <row r="4" spans="1:3" x14ac:dyDescent="0.3">
      <c r="A4" s="17" t="s">
        <v>811</v>
      </c>
      <c r="B4" s="29">
        <v>2822</v>
      </c>
      <c r="C4" s="15">
        <v>7050.1999999999871</v>
      </c>
    </row>
    <row r="5" spans="1:3" x14ac:dyDescent="0.3">
      <c r="A5" s="17" t="s">
        <v>812</v>
      </c>
      <c r="B5" s="29">
        <v>2829</v>
      </c>
      <c r="C5" s="15">
        <v>6720.5600000000013</v>
      </c>
    </row>
    <row r="6" spans="1:3" x14ac:dyDescent="0.3">
      <c r="A6" s="17" t="s">
        <v>813</v>
      </c>
      <c r="B6" s="29">
        <v>3996</v>
      </c>
      <c r="C6" s="15">
        <v>9063.4200000000019</v>
      </c>
    </row>
    <row r="7" spans="1:3" x14ac:dyDescent="0.3">
      <c r="A7" s="17" t="s">
        <v>814</v>
      </c>
      <c r="B7" s="29">
        <v>3481</v>
      </c>
      <c r="C7" s="15">
        <v>7758.7600000000048</v>
      </c>
    </row>
    <row r="8" spans="1:3" x14ac:dyDescent="0.3">
      <c r="A8" s="17" t="s">
        <v>815</v>
      </c>
      <c r="B8" s="29">
        <v>3360</v>
      </c>
      <c r="C8" s="15">
        <v>6915.940000000006</v>
      </c>
    </row>
    <row r="9" spans="1:3" x14ac:dyDescent="0.3">
      <c r="A9" s="17" t="s">
        <v>816</v>
      </c>
      <c r="B9" s="29">
        <v>3674</v>
      </c>
      <c r="C9" s="15">
        <v>7613.8400000000147</v>
      </c>
    </row>
    <row r="10" spans="1:3" x14ac:dyDescent="0.3">
      <c r="A10" s="17" t="s">
        <v>817</v>
      </c>
      <c r="B10" s="29">
        <v>4954</v>
      </c>
      <c r="C10" s="15">
        <v>9988.6400000000067</v>
      </c>
    </row>
    <row r="11" spans="1:3" x14ac:dyDescent="0.3">
      <c r="A11" s="17" t="s">
        <v>818</v>
      </c>
      <c r="B11" s="29">
        <v>3508</v>
      </c>
      <c r="C11" s="15">
        <v>8152.5600000000222</v>
      </c>
    </row>
    <row r="12" spans="1:3" x14ac:dyDescent="0.3">
      <c r="A12" s="17" t="s">
        <v>807</v>
      </c>
      <c r="B12" s="29">
        <v>28624</v>
      </c>
      <c r="C12" s="15">
        <v>63263.920000000042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DFFAA-6A6A-43DD-B4D3-DA4A6C1D1AAE}">
  <dimension ref="A1:L2001"/>
  <sheetViews>
    <sheetView topLeftCell="A2" workbookViewId="0">
      <selection sqref="A1:L2001"/>
    </sheetView>
  </sheetViews>
  <sheetFormatPr defaultRowHeight="14.4" x14ac:dyDescent="0.3"/>
  <cols>
    <col min="1" max="1" width="10.33203125" bestFit="1" customWidth="1"/>
    <col min="2" max="2" width="18" bestFit="1" customWidth="1"/>
    <col min="3" max="3" width="15.44140625" bestFit="1" customWidth="1"/>
    <col min="4" max="4" width="11.5546875" bestFit="1" customWidth="1"/>
    <col min="5" max="5" width="20.33203125" bestFit="1" customWidth="1"/>
    <col min="6" max="6" width="8.77734375" bestFit="1" customWidth="1"/>
    <col min="7" max="7" width="17.21875" bestFit="1" customWidth="1"/>
    <col min="8" max="8" width="16.109375" bestFit="1" customWidth="1"/>
    <col min="9" max="9" width="12.21875" bestFit="1" customWidth="1"/>
    <col min="10" max="10" width="15.88671875" bestFit="1" customWidth="1"/>
    <col min="11" max="11" width="16.109375" bestFit="1" customWidth="1"/>
    <col min="12" max="12" width="13" bestFit="1" customWidth="1"/>
  </cols>
  <sheetData>
    <row r="1" spans="1:12" x14ac:dyDescent="0.3">
      <c r="A1" s="1" t="s">
        <v>0</v>
      </c>
      <c r="B1" s="2" t="s">
        <v>1</v>
      </c>
      <c r="C1" s="3" t="s">
        <v>2</v>
      </c>
      <c r="D1" s="4" t="s">
        <v>3</v>
      </c>
      <c r="E1" s="4" t="s">
        <v>4</v>
      </c>
      <c r="F1" s="5" t="s">
        <v>5</v>
      </c>
      <c r="G1" s="4" t="s">
        <v>6</v>
      </c>
      <c r="H1" s="3" t="s">
        <v>7</v>
      </c>
      <c r="I1" s="3" t="s">
        <v>8</v>
      </c>
      <c r="J1" s="3" t="s">
        <v>9</v>
      </c>
      <c r="K1" s="3" t="s">
        <v>10</v>
      </c>
      <c r="L1" s="3" t="s">
        <v>11</v>
      </c>
    </row>
    <row r="2" spans="1:12" x14ac:dyDescent="0.3">
      <c r="A2" s="6">
        <v>45352</v>
      </c>
      <c r="B2" s="7">
        <v>45352.427668055556</v>
      </c>
      <c r="C2" s="8">
        <f t="shared" ref="C2:C256" si="0">HOUR(B2)</f>
        <v>10</v>
      </c>
      <c r="D2" s="8" t="s">
        <v>4</v>
      </c>
      <c r="E2" s="8" t="s">
        <v>12</v>
      </c>
      <c r="F2" s="9">
        <v>38.700000000000003</v>
      </c>
      <c r="G2" s="8" t="s">
        <v>13</v>
      </c>
      <c r="H2" s="8" t="str">
        <f t="shared" ref="H2:H256" si="1">IF(AND(C2&gt;=5,C2&lt;12),"Morning",
 IF(AND(C2&gt;=12,C2&lt;17),"Afternoon","Night"))</f>
        <v>Morning</v>
      </c>
      <c r="I2" s="8" t="str">
        <f t="shared" ref="I2:I256" si="2">TEXT(A2, "ddd")</f>
        <v>Fri</v>
      </c>
      <c r="J2" s="8" t="str">
        <f t="shared" ref="J2:J256" si="3">TEXT(A2, "mmm")</f>
        <v>Mar</v>
      </c>
      <c r="K2" s="8">
        <f t="shared" ref="K2:K256" si="4">WEEKDAY(A2, 2)</f>
        <v>5</v>
      </c>
      <c r="L2" s="8">
        <f t="shared" ref="L2:L256" si="5">MONTH(A2)</f>
        <v>3</v>
      </c>
    </row>
    <row r="3" spans="1:12" x14ac:dyDescent="0.3">
      <c r="A3" s="10">
        <v>45352</v>
      </c>
      <c r="B3" s="11">
        <v>45352.513455312503</v>
      </c>
      <c r="C3" s="12">
        <f t="shared" si="0"/>
        <v>12</v>
      </c>
      <c r="D3" s="12" t="s">
        <v>4</v>
      </c>
      <c r="E3" s="12" t="s">
        <v>14</v>
      </c>
      <c r="F3" s="13">
        <v>38.700000000000003</v>
      </c>
      <c r="G3" s="12" t="s">
        <v>15</v>
      </c>
      <c r="H3" s="12" t="str">
        <f t="shared" si="1"/>
        <v>Afternoon</v>
      </c>
      <c r="I3" s="12" t="str">
        <f t="shared" si="2"/>
        <v>Fri</v>
      </c>
      <c r="J3" s="12" t="str">
        <f t="shared" si="3"/>
        <v>Mar</v>
      </c>
      <c r="K3" s="12">
        <f t="shared" si="4"/>
        <v>5</v>
      </c>
      <c r="L3" s="12">
        <f t="shared" si="5"/>
        <v>3</v>
      </c>
    </row>
    <row r="4" spans="1:12" x14ac:dyDescent="0.3">
      <c r="A4" s="6">
        <v>45352</v>
      </c>
      <c r="B4" s="7">
        <v>45352.514098252315</v>
      </c>
      <c r="C4" s="8">
        <f t="shared" si="0"/>
        <v>12</v>
      </c>
      <c r="D4" s="8" t="s">
        <v>4</v>
      </c>
      <c r="E4" s="8" t="s">
        <v>14</v>
      </c>
      <c r="F4" s="9">
        <v>38.700000000000003</v>
      </c>
      <c r="G4" s="8" t="s">
        <v>15</v>
      </c>
      <c r="H4" s="8" t="str">
        <f t="shared" si="1"/>
        <v>Afternoon</v>
      </c>
      <c r="I4" s="8" t="str">
        <f t="shared" si="2"/>
        <v>Fri</v>
      </c>
      <c r="J4" s="8" t="str">
        <f t="shared" si="3"/>
        <v>Mar</v>
      </c>
      <c r="K4" s="8">
        <f t="shared" si="4"/>
        <v>5</v>
      </c>
      <c r="L4" s="8">
        <f t="shared" si="5"/>
        <v>3</v>
      </c>
    </row>
    <row r="5" spans="1:12" x14ac:dyDescent="0.3">
      <c r="A5" s="10">
        <v>45352</v>
      </c>
      <c r="B5" s="11">
        <v>45352.573993124999</v>
      </c>
      <c r="C5" s="12">
        <f t="shared" si="0"/>
        <v>13</v>
      </c>
      <c r="D5" s="12" t="s">
        <v>4</v>
      </c>
      <c r="E5" s="12" t="s">
        <v>16</v>
      </c>
      <c r="F5" s="13">
        <v>28.9</v>
      </c>
      <c r="G5" s="14" t="s">
        <v>17</v>
      </c>
      <c r="H5" s="12" t="str">
        <f t="shared" si="1"/>
        <v>Afternoon</v>
      </c>
      <c r="I5" s="12" t="str">
        <f t="shared" si="2"/>
        <v>Fri</v>
      </c>
      <c r="J5" s="12" t="str">
        <f t="shared" si="3"/>
        <v>Mar</v>
      </c>
      <c r="K5" s="12">
        <f t="shared" si="4"/>
        <v>5</v>
      </c>
      <c r="L5" s="12">
        <f t="shared" si="5"/>
        <v>3</v>
      </c>
    </row>
    <row r="6" spans="1:12" x14ac:dyDescent="0.3">
      <c r="A6" s="6">
        <v>45352</v>
      </c>
      <c r="B6" s="7">
        <v>45352.575169282405</v>
      </c>
      <c r="C6" s="8">
        <f t="shared" si="0"/>
        <v>13</v>
      </c>
      <c r="D6" s="8" t="s">
        <v>4</v>
      </c>
      <c r="E6" s="8" t="s">
        <v>18</v>
      </c>
      <c r="F6" s="9">
        <v>38.700000000000003</v>
      </c>
      <c r="G6" s="8" t="s">
        <v>13</v>
      </c>
      <c r="H6" s="8" t="str">
        <f t="shared" si="1"/>
        <v>Afternoon</v>
      </c>
      <c r="I6" s="8" t="str">
        <f t="shared" si="2"/>
        <v>Fri</v>
      </c>
      <c r="J6" s="8" t="str">
        <f t="shared" si="3"/>
        <v>Mar</v>
      </c>
      <c r="K6" s="8">
        <f t="shared" si="4"/>
        <v>5</v>
      </c>
      <c r="L6" s="8">
        <f t="shared" si="5"/>
        <v>3</v>
      </c>
    </row>
    <row r="7" spans="1:12" x14ac:dyDescent="0.3">
      <c r="A7" s="10">
        <v>45352</v>
      </c>
      <c r="B7" s="11">
        <v>45352.65263571759</v>
      </c>
      <c r="C7" s="12">
        <f t="shared" si="0"/>
        <v>15</v>
      </c>
      <c r="D7" s="12" t="s">
        <v>4</v>
      </c>
      <c r="E7" s="12" t="s">
        <v>19</v>
      </c>
      <c r="F7" s="13">
        <v>33.799999999999997</v>
      </c>
      <c r="G7" s="12" t="s">
        <v>20</v>
      </c>
      <c r="H7" s="12" t="str">
        <f t="shared" si="1"/>
        <v>Afternoon</v>
      </c>
      <c r="I7" s="12" t="str">
        <f t="shared" si="2"/>
        <v>Fri</v>
      </c>
      <c r="J7" s="12" t="str">
        <f t="shared" si="3"/>
        <v>Mar</v>
      </c>
      <c r="K7" s="12">
        <f t="shared" si="4"/>
        <v>5</v>
      </c>
      <c r="L7" s="12">
        <f t="shared" si="5"/>
        <v>3</v>
      </c>
    </row>
    <row r="8" spans="1:12" x14ac:dyDescent="0.3">
      <c r="A8" s="6">
        <v>45352</v>
      </c>
      <c r="B8" s="7">
        <v>45352.679893009263</v>
      </c>
      <c r="C8" s="8">
        <f t="shared" si="0"/>
        <v>16</v>
      </c>
      <c r="D8" s="8" t="s">
        <v>4</v>
      </c>
      <c r="E8" s="8" t="s">
        <v>21</v>
      </c>
      <c r="F8" s="9">
        <v>38.700000000000003</v>
      </c>
      <c r="G8" s="8" t="s">
        <v>15</v>
      </c>
      <c r="H8" s="8" t="str">
        <f t="shared" si="1"/>
        <v>Afternoon</v>
      </c>
      <c r="I8" s="8" t="str">
        <f t="shared" si="2"/>
        <v>Fri</v>
      </c>
      <c r="J8" s="8" t="str">
        <f t="shared" si="3"/>
        <v>Mar</v>
      </c>
      <c r="K8" s="8">
        <f t="shared" si="4"/>
        <v>5</v>
      </c>
      <c r="L8" s="8">
        <f t="shared" si="5"/>
        <v>3</v>
      </c>
    </row>
    <row r="9" spans="1:12" x14ac:dyDescent="0.3">
      <c r="A9" s="10">
        <v>45352</v>
      </c>
      <c r="B9" s="11">
        <v>45352.777124768516</v>
      </c>
      <c r="C9" s="12">
        <f t="shared" si="0"/>
        <v>18</v>
      </c>
      <c r="D9" s="12" t="s">
        <v>4</v>
      </c>
      <c r="E9" s="12" t="s">
        <v>22</v>
      </c>
      <c r="F9" s="13">
        <v>33.799999999999997</v>
      </c>
      <c r="G9" s="12" t="s">
        <v>20</v>
      </c>
      <c r="H9" s="12" t="str">
        <f t="shared" si="1"/>
        <v>Night</v>
      </c>
      <c r="I9" s="12" t="str">
        <f t="shared" si="2"/>
        <v>Fri</v>
      </c>
      <c r="J9" s="12" t="str">
        <f t="shared" si="3"/>
        <v>Mar</v>
      </c>
      <c r="K9" s="12">
        <f t="shared" si="4"/>
        <v>5</v>
      </c>
      <c r="L9" s="12">
        <f t="shared" si="5"/>
        <v>3</v>
      </c>
    </row>
    <row r="10" spans="1:12" x14ac:dyDescent="0.3">
      <c r="A10" s="6">
        <v>45352</v>
      </c>
      <c r="B10" s="7">
        <v>45352.806964837961</v>
      </c>
      <c r="C10" s="8">
        <f t="shared" si="0"/>
        <v>19</v>
      </c>
      <c r="D10" s="8" t="s">
        <v>4</v>
      </c>
      <c r="E10" s="8" t="s">
        <v>23</v>
      </c>
      <c r="F10" s="9">
        <v>38.700000000000003</v>
      </c>
      <c r="G10" s="8" t="s">
        <v>24</v>
      </c>
      <c r="H10" s="8" t="str">
        <f t="shared" si="1"/>
        <v>Night</v>
      </c>
      <c r="I10" s="8" t="str">
        <f t="shared" si="2"/>
        <v>Fri</v>
      </c>
      <c r="J10" s="8" t="str">
        <f t="shared" si="3"/>
        <v>Mar</v>
      </c>
      <c r="K10" s="8">
        <f t="shared" si="4"/>
        <v>5</v>
      </c>
      <c r="L10" s="8">
        <f t="shared" si="5"/>
        <v>3</v>
      </c>
    </row>
    <row r="11" spans="1:12" x14ac:dyDescent="0.3">
      <c r="A11" s="10">
        <v>45352</v>
      </c>
      <c r="B11" s="11">
        <v>45352.807822766204</v>
      </c>
      <c r="C11" s="12">
        <f t="shared" si="0"/>
        <v>19</v>
      </c>
      <c r="D11" s="12" t="s">
        <v>4</v>
      </c>
      <c r="E11" s="12" t="s">
        <v>23</v>
      </c>
      <c r="F11" s="13">
        <v>33.799999999999997</v>
      </c>
      <c r="G11" s="12" t="s">
        <v>20</v>
      </c>
      <c r="H11" s="12" t="str">
        <f t="shared" si="1"/>
        <v>Night</v>
      </c>
      <c r="I11" s="12" t="str">
        <f t="shared" si="2"/>
        <v>Fri</v>
      </c>
      <c r="J11" s="12" t="str">
        <f t="shared" si="3"/>
        <v>Mar</v>
      </c>
      <c r="K11" s="12">
        <f t="shared" si="4"/>
        <v>5</v>
      </c>
      <c r="L11" s="12">
        <f t="shared" si="5"/>
        <v>3</v>
      </c>
    </row>
    <row r="12" spans="1:12" x14ac:dyDescent="0.3">
      <c r="A12" s="6">
        <v>45352</v>
      </c>
      <c r="B12" s="7">
        <v>45352.812006840279</v>
      </c>
      <c r="C12" s="8">
        <f t="shared" si="0"/>
        <v>19</v>
      </c>
      <c r="D12" s="8" t="s">
        <v>4</v>
      </c>
      <c r="E12" s="8" t="s">
        <v>25</v>
      </c>
      <c r="F12" s="9">
        <v>33.799999999999997</v>
      </c>
      <c r="G12" s="8" t="s">
        <v>20</v>
      </c>
      <c r="H12" s="8" t="str">
        <f t="shared" si="1"/>
        <v>Night</v>
      </c>
      <c r="I12" s="8" t="str">
        <f t="shared" si="2"/>
        <v>Fri</v>
      </c>
      <c r="J12" s="8" t="str">
        <f t="shared" si="3"/>
        <v>Mar</v>
      </c>
      <c r="K12" s="8">
        <f t="shared" si="4"/>
        <v>5</v>
      </c>
      <c r="L12" s="8">
        <f t="shared" si="5"/>
        <v>3</v>
      </c>
    </row>
    <row r="13" spans="1:12" x14ac:dyDescent="0.3">
      <c r="A13" s="10">
        <v>45353</v>
      </c>
      <c r="B13" s="11">
        <v>45353.432024965281</v>
      </c>
      <c r="C13" s="12">
        <f t="shared" si="0"/>
        <v>10</v>
      </c>
      <c r="D13" s="12" t="s">
        <v>4</v>
      </c>
      <c r="E13" s="12" t="s">
        <v>26</v>
      </c>
      <c r="F13" s="13">
        <v>28.9</v>
      </c>
      <c r="G13" s="12" t="s">
        <v>17</v>
      </c>
      <c r="H13" s="12" t="str">
        <f t="shared" si="1"/>
        <v>Morning</v>
      </c>
      <c r="I13" s="12" t="str">
        <f t="shared" si="2"/>
        <v>Sat</v>
      </c>
      <c r="J13" s="12" t="str">
        <f t="shared" si="3"/>
        <v>Mar</v>
      </c>
      <c r="K13" s="12">
        <f t="shared" si="4"/>
        <v>6</v>
      </c>
      <c r="L13" s="12">
        <f t="shared" si="5"/>
        <v>3</v>
      </c>
    </row>
    <row r="14" spans="1:12" x14ac:dyDescent="0.3">
      <c r="A14" s="6">
        <v>45353</v>
      </c>
      <c r="B14" s="7">
        <v>45353.437912824076</v>
      </c>
      <c r="C14" s="8">
        <f t="shared" si="0"/>
        <v>10</v>
      </c>
      <c r="D14" s="8" t="s">
        <v>27</v>
      </c>
      <c r="E14" s="8"/>
      <c r="F14" s="9">
        <v>40</v>
      </c>
      <c r="G14" s="8" t="s">
        <v>13</v>
      </c>
      <c r="H14" s="8" t="str">
        <f t="shared" si="1"/>
        <v>Morning</v>
      </c>
      <c r="I14" s="8" t="str">
        <f t="shared" si="2"/>
        <v>Sat</v>
      </c>
      <c r="J14" s="8" t="str">
        <f t="shared" si="3"/>
        <v>Mar</v>
      </c>
      <c r="K14" s="8">
        <f t="shared" si="4"/>
        <v>6</v>
      </c>
      <c r="L14" s="8">
        <f t="shared" si="5"/>
        <v>3</v>
      </c>
    </row>
    <row r="15" spans="1:12" x14ac:dyDescent="0.3">
      <c r="A15" s="10">
        <v>45353</v>
      </c>
      <c r="B15" s="11">
        <v>45353.445616307872</v>
      </c>
      <c r="C15" s="12">
        <f t="shared" si="0"/>
        <v>10</v>
      </c>
      <c r="D15" s="12" t="s">
        <v>4</v>
      </c>
      <c r="E15" s="12" t="s">
        <v>28</v>
      </c>
      <c r="F15" s="13">
        <v>33.799999999999997</v>
      </c>
      <c r="G15" s="12" t="s">
        <v>20</v>
      </c>
      <c r="H15" s="12" t="str">
        <f t="shared" si="1"/>
        <v>Morning</v>
      </c>
      <c r="I15" s="12" t="str">
        <f t="shared" si="2"/>
        <v>Sat</v>
      </c>
      <c r="J15" s="12" t="str">
        <f t="shared" si="3"/>
        <v>Mar</v>
      </c>
      <c r="K15" s="12">
        <f t="shared" si="4"/>
        <v>6</v>
      </c>
      <c r="L15" s="12">
        <f t="shared" si="5"/>
        <v>3</v>
      </c>
    </row>
    <row r="16" spans="1:12" x14ac:dyDescent="0.3">
      <c r="A16" s="6">
        <v>45353</v>
      </c>
      <c r="B16" s="7">
        <v>45353.499831990739</v>
      </c>
      <c r="C16" s="8">
        <f t="shared" si="0"/>
        <v>11</v>
      </c>
      <c r="D16" s="8" t="s">
        <v>4</v>
      </c>
      <c r="E16" s="8" t="s">
        <v>29</v>
      </c>
      <c r="F16" s="9">
        <v>33.799999999999997</v>
      </c>
      <c r="G16" s="8" t="s">
        <v>20</v>
      </c>
      <c r="H16" s="8" t="str">
        <f t="shared" si="1"/>
        <v>Morning</v>
      </c>
      <c r="I16" s="8" t="str">
        <f t="shared" si="2"/>
        <v>Sat</v>
      </c>
      <c r="J16" s="8" t="str">
        <f t="shared" si="3"/>
        <v>Mar</v>
      </c>
      <c r="K16" s="8">
        <f t="shared" si="4"/>
        <v>6</v>
      </c>
      <c r="L16" s="8">
        <f t="shared" si="5"/>
        <v>3</v>
      </c>
    </row>
    <row r="17" spans="1:12" x14ac:dyDescent="0.3">
      <c r="A17" s="10">
        <v>45353</v>
      </c>
      <c r="B17" s="11">
        <v>45353.610133506947</v>
      </c>
      <c r="C17" s="12">
        <f t="shared" si="0"/>
        <v>14</v>
      </c>
      <c r="D17" s="12" t="s">
        <v>4</v>
      </c>
      <c r="E17" s="12" t="s">
        <v>30</v>
      </c>
      <c r="F17" s="13">
        <v>28.9</v>
      </c>
      <c r="G17" s="12" t="s">
        <v>17</v>
      </c>
      <c r="H17" s="12" t="str">
        <f t="shared" si="1"/>
        <v>Afternoon</v>
      </c>
      <c r="I17" s="12" t="str">
        <f t="shared" si="2"/>
        <v>Sat</v>
      </c>
      <c r="J17" s="12" t="str">
        <f t="shared" si="3"/>
        <v>Mar</v>
      </c>
      <c r="K17" s="12">
        <f t="shared" si="4"/>
        <v>6</v>
      </c>
      <c r="L17" s="12">
        <f t="shared" si="5"/>
        <v>3</v>
      </c>
    </row>
    <row r="18" spans="1:12" x14ac:dyDescent="0.3">
      <c r="A18" s="6">
        <v>45353</v>
      </c>
      <c r="B18" s="7">
        <v>45353.692644386574</v>
      </c>
      <c r="C18" s="8">
        <f t="shared" si="0"/>
        <v>16</v>
      </c>
      <c r="D18" s="8" t="s">
        <v>4</v>
      </c>
      <c r="E18" s="8" t="s">
        <v>31</v>
      </c>
      <c r="F18" s="9">
        <v>33.799999999999997</v>
      </c>
      <c r="G18" s="8" t="s">
        <v>20</v>
      </c>
      <c r="H18" s="8" t="str">
        <f t="shared" si="1"/>
        <v>Afternoon</v>
      </c>
      <c r="I18" s="8" t="str">
        <f t="shared" si="2"/>
        <v>Sat</v>
      </c>
      <c r="J18" s="8" t="str">
        <f t="shared" si="3"/>
        <v>Mar</v>
      </c>
      <c r="K18" s="8">
        <f t="shared" si="4"/>
        <v>6</v>
      </c>
      <c r="L18" s="8">
        <f t="shared" si="5"/>
        <v>3</v>
      </c>
    </row>
    <row r="19" spans="1:12" x14ac:dyDescent="0.3">
      <c r="A19" s="10">
        <v>45353</v>
      </c>
      <c r="B19" s="11">
        <v>45353.732580659722</v>
      </c>
      <c r="C19" s="12">
        <f t="shared" si="0"/>
        <v>17</v>
      </c>
      <c r="D19" s="12" t="s">
        <v>4</v>
      </c>
      <c r="E19" s="12" t="s">
        <v>18</v>
      </c>
      <c r="F19" s="13">
        <v>28.9</v>
      </c>
      <c r="G19" s="12" t="s">
        <v>17</v>
      </c>
      <c r="H19" s="12" t="str">
        <f t="shared" si="1"/>
        <v>Night</v>
      </c>
      <c r="I19" s="12" t="str">
        <f t="shared" si="2"/>
        <v>Sat</v>
      </c>
      <c r="J19" s="12" t="str">
        <f t="shared" si="3"/>
        <v>Mar</v>
      </c>
      <c r="K19" s="12">
        <f t="shared" si="4"/>
        <v>6</v>
      </c>
      <c r="L19" s="12">
        <f t="shared" si="5"/>
        <v>3</v>
      </c>
    </row>
    <row r="20" spans="1:12" x14ac:dyDescent="0.3">
      <c r="A20" s="6">
        <v>45354</v>
      </c>
      <c r="B20" s="7">
        <v>45354.424120150463</v>
      </c>
      <c r="C20" s="8">
        <f t="shared" si="0"/>
        <v>10</v>
      </c>
      <c r="D20" s="8" t="s">
        <v>27</v>
      </c>
      <c r="E20" s="8"/>
      <c r="F20" s="9">
        <v>40</v>
      </c>
      <c r="G20" s="8" t="s">
        <v>13</v>
      </c>
      <c r="H20" s="8" t="str">
        <f t="shared" si="1"/>
        <v>Morning</v>
      </c>
      <c r="I20" s="8" t="str">
        <f t="shared" si="2"/>
        <v>Sun</v>
      </c>
      <c r="J20" s="8" t="str">
        <f t="shared" si="3"/>
        <v>Mar</v>
      </c>
      <c r="K20" s="8">
        <f t="shared" si="4"/>
        <v>7</v>
      </c>
      <c r="L20" s="8">
        <f t="shared" si="5"/>
        <v>3</v>
      </c>
    </row>
    <row r="21" spans="1:12" x14ac:dyDescent="0.3">
      <c r="A21" s="10">
        <v>45354</v>
      </c>
      <c r="B21" s="11">
        <v>45354.435631493056</v>
      </c>
      <c r="C21" s="12">
        <f t="shared" si="0"/>
        <v>10</v>
      </c>
      <c r="D21" s="12" t="s">
        <v>4</v>
      </c>
      <c r="E21" s="12" t="s">
        <v>32</v>
      </c>
      <c r="F21" s="13">
        <v>38.700000000000003</v>
      </c>
      <c r="G21" s="12" t="s">
        <v>13</v>
      </c>
      <c r="H21" s="12" t="str">
        <f t="shared" si="1"/>
        <v>Morning</v>
      </c>
      <c r="I21" s="12" t="str">
        <f t="shared" si="2"/>
        <v>Sun</v>
      </c>
      <c r="J21" s="12" t="str">
        <f t="shared" si="3"/>
        <v>Mar</v>
      </c>
      <c r="K21" s="12">
        <f t="shared" si="4"/>
        <v>7</v>
      </c>
      <c r="L21" s="12">
        <f t="shared" si="5"/>
        <v>3</v>
      </c>
    </row>
    <row r="22" spans="1:12" x14ac:dyDescent="0.3">
      <c r="A22" s="6">
        <v>45354</v>
      </c>
      <c r="B22" s="7">
        <v>45354.481899513892</v>
      </c>
      <c r="C22" s="8">
        <f t="shared" si="0"/>
        <v>11</v>
      </c>
      <c r="D22" s="8" t="s">
        <v>4</v>
      </c>
      <c r="E22" s="8" t="s">
        <v>33</v>
      </c>
      <c r="F22" s="9">
        <v>28.9</v>
      </c>
      <c r="G22" s="8" t="s">
        <v>34</v>
      </c>
      <c r="H22" s="8" t="str">
        <f t="shared" si="1"/>
        <v>Morning</v>
      </c>
      <c r="I22" s="8" t="str">
        <f t="shared" si="2"/>
        <v>Sun</v>
      </c>
      <c r="J22" s="8" t="str">
        <f t="shared" si="3"/>
        <v>Mar</v>
      </c>
      <c r="K22" s="8">
        <f t="shared" si="4"/>
        <v>7</v>
      </c>
      <c r="L22" s="8">
        <f t="shared" si="5"/>
        <v>3</v>
      </c>
    </row>
    <row r="23" spans="1:12" x14ac:dyDescent="0.3">
      <c r="A23" s="10">
        <v>45354</v>
      </c>
      <c r="B23" s="11">
        <v>45354.518704837959</v>
      </c>
      <c r="C23" s="12">
        <f t="shared" si="0"/>
        <v>12</v>
      </c>
      <c r="D23" s="12" t="s">
        <v>4</v>
      </c>
      <c r="E23" s="12" t="s">
        <v>29</v>
      </c>
      <c r="F23" s="13">
        <v>28.9</v>
      </c>
      <c r="G23" s="12" t="s">
        <v>17</v>
      </c>
      <c r="H23" s="12" t="str">
        <f t="shared" si="1"/>
        <v>Afternoon</v>
      </c>
      <c r="I23" s="12" t="str">
        <f t="shared" si="2"/>
        <v>Sun</v>
      </c>
      <c r="J23" s="12" t="str">
        <f t="shared" si="3"/>
        <v>Mar</v>
      </c>
      <c r="K23" s="12">
        <f t="shared" si="4"/>
        <v>7</v>
      </c>
      <c r="L23" s="12">
        <f t="shared" si="5"/>
        <v>3</v>
      </c>
    </row>
    <row r="24" spans="1:12" x14ac:dyDescent="0.3">
      <c r="A24" s="6">
        <v>45354</v>
      </c>
      <c r="B24" s="7">
        <v>45354.548337048611</v>
      </c>
      <c r="C24" s="8">
        <f t="shared" si="0"/>
        <v>13</v>
      </c>
      <c r="D24" s="8" t="s">
        <v>4</v>
      </c>
      <c r="E24" s="8" t="s">
        <v>35</v>
      </c>
      <c r="F24" s="9">
        <v>38.700000000000003</v>
      </c>
      <c r="G24" s="8" t="s">
        <v>15</v>
      </c>
      <c r="H24" s="8" t="str">
        <f t="shared" si="1"/>
        <v>Afternoon</v>
      </c>
      <c r="I24" s="8" t="str">
        <f t="shared" si="2"/>
        <v>Sun</v>
      </c>
      <c r="J24" s="8" t="str">
        <f t="shared" si="3"/>
        <v>Mar</v>
      </c>
      <c r="K24" s="8">
        <f t="shared" si="4"/>
        <v>7</v>
      </c>
      <c r="L24" s="8">
        <f t="shared" si="5"/>
        <v>3</v>
      </c>
    </row>
    <row r="25" spans="1:12" x14ac:dyDescent="0.3">
      <c r="A25" s="10">
        <v>45354</v>
      </c>
      <c r="B25" s="11">
        <v>45354.712966099534</v>
      </c>
      <c r="C25" s="12">
        <f t="shared" si="0"/>
        <v>17</v>
      </c>
      <c r="D25" s="12" t="s">
        <v>4</v>
      </c>
      <c r="E25" s="12" t="s">
        <v>36</v>
      </c>
      <c r="F25" s="13">
        <v>38.700000000000003</v>
      </c>
      <c r="G25" s="12" t="s">
        <v>24</v>
      </c>
      <c r="H25" s="12" t="str">
        <f t="shared" si="1"/>
        <v>Night</v>
      </c>
      <c r="I25" s="12" t="str">
        <f t="shared" si="2"/>
        <v>Sun</v>
      </c>
      <c r="J25" s="12" t="str">
        <f t="shared" si="3"/>
        <v>Mar</v>
      </c>
      <c r="K25" s="12">
        <f t="shared" si="4"/>
        <v>7</v>
      </c>
      <c r="L25" s="12">
        <f t="shared" si="5"/>
        <v>3</v>
      </c>
    </row>
    <row r="26" spans="1:12" x14ac:dyDescent="0.3">
      <c r="A26" s="6">
        <v>45354</v>
      </c>
      <c r="B26" s="7">
        <v>45354.714420081022</v>
      </c>
      <c r="C26" s="8">
        <f t="shared" si="0"/>
        <v>17</v>
      </c>
      <c r="D26" s="8" t="s">
        <v>4</v>
      </c>
      <c r="E26" s="8" t="s">
        <v>37</v>
      </c>
      <c r="F26" s="9">
        <v>28.9</v>
      </c>
      <c r="G26" s="8" t="s">
        <v>34</v>
      </c>
      <c r="H26" s="8" t="str">
        <f t="shared" si="1"/>
        <v>Night</v>
      </c>
      <c r="I26" s="8" t="str">
        <f t="shared" si="2"/>
        <v>Sun</v>
      </c>
      <c r="J26" s="8" t="str">
        <f t="shared" si="3"/>
        <v>Mar</v>
      </c>
      <c r="K26" s="8">
        <f t="shared" si="4"/>
        <v>7</v>
      </c>
      <c r="L26" s="8">
        <f t="shared" si="5"/>
        <v>3</v>
      </c>
    </row>
    <row r="27" spans="1:12" x14ac:dyDescent="0.3">
      <c r="A27" s="10">
        <v>45354</v>
      </c>
      <c r="B27" s="11">
        <v>45354.752353807868</v>
      </c>
      <c r="C27" s="12">
        <f t="shared" si="0"/>
        <v>18</v>
      </c>
      <c r="D27" s="12" t="s">
        <v>4</v>
      </c>
      <c r="E27" s="12" t="s">
        <v>38</v>
      </c>
      <c r="F27" s="13">
        <v>33.799999999999997</v>
      </c>
      <c r="G27" s="12" t="s">
        <v>20</v>
      </c>
      <c r="H27" s="12" t="str">
        <f t="shared" si="1"/>
        <v>Night</v>
      </c>
      <c r="I27" s="12" t="str">
        <f t="shared" si="2"/>
        <v>Sun</v>
      </c>
      <c r="J27" s="12" t="str">
        <f t="shared" si="3"/>
        <v>Mar</v>
      </c>
      <c r="K27" s="12">
        <f t="shared" si="4"/>
        <v>7</v>
      </c>
      <c r="L27" s="12">
        <f t="shared" si="5"/>
        <v>3</v>
      </c>
    </row>
    <row r="28" spans="1:12" x14ac:dyDescent="0.3">
      <c r="A28" s="6">
        <v>45354</v>
      </c>
      <c r="B28" s="7">
        <v>45354.753101226852</v>
      </c>
      <c r="C28" s="8">
        <f t="shared" si="0"/>
        <v>18</v>
      </c>
      <c r="D28" s="8" t="s">
        <v>4</v>
      </c>
      <c r="E28" s="8" t="s">
        <v>38</v>
      </c>
      <c r="F28" s="9">
        <v>33.799999999999997</v>
      </c>
      <c r="G28" s="8" t="s">
        <v>20</v>
      </c>
      <c r="H28" s="8" t="str">
        <f t="shared" si="1"/>
        <v>Night</v>
      </c>
      <c r="I28" s="8" t="str">
        <f t="shared" si="2"/>
        <v>Sun</v>
      </c>
      <c r="J28" s="8" t="str">
        <f t="shared" si="3"/>
        <v>Mar</v>
      </c>
      <c r="K28" s="8">
        <f t="shared" si="4"/>
        <v>7</v>
      </c>
      <c r="L28" s="8">
        <f t="shared" si="5"/>
        <v>3</v>
      </c>
    </row>
    <row r="29" spans="1:12" x14ac:dyDescent="0.3">
      <c r="A29" s="10">
        <v>45354</v>
      </c>
      <c r="B29" s="11">
        <v>45354.755612951391</v>
      </c>
      <c r="C29" s="12">
        <f t="shared" si="0"/>
        <v>18</v>
      </c>
      <c r="D29" s="12" t="s">
        <v>4</v>
      </c>
      <c r="E29" s="12" t="s">
        <v>38</v>
      </c>
      <c r="F29" s="13">
        <v>38.700000000000003</v>
      </c>
      <c r="G29" s="12" t="s">
        <v>15</v>
      </c>
      <c r="H29" s="12" t="str">
        <f t="shared" si="1"/>
        <v>Night</v>
      </c>
      <c r="I29" s="12" t="str">
        <f t="shared" si="2"/>
        <v>Sun</v>
      </c>
      <c r="J29" s="12" t="str">
        <f t="shared" si="3"/>
        <v>Mar</v>
      </c>
      <c r="K29" s="12">
        <f t="shared" si="4"/>
        <v>7</v>
      </c>
      <c r="L29" s="12">
        <f t="shared" si="5"/>
        <v>3</v>
      </c>
    </row>
    <row r="30" spans="1:12" x14ac:dyDescent="0.3">
      <c r="A30" s="6">
        <v>45355</v>
      </c>
      <c r="B30" s="7">
        <v>45355.41935178241</v>
      </c>
      <c r="C30" s="8">
        <f t="shared" si="0"/>
        <v>10</v>
      </c>
      <c r="D30" s="8" t="s">
        <v>4</v>
      </c>
      <c r="E30" s="8" t="s">
        <v>12</v>
      </c>
      <c r="F30" s="9">
        <v>38.700000000000003</v>
      </c>
      <c r="G30" s="8" t="s">
        <v>13</v>
      </c>
      <c r="H30" s="8" t="str">
        <f t="shared" si="1"/>
        <v>Morning</v>
      </c>
      <c r="I30" s="8" t="str">
        <f t="shared" si="2"/>
        <v>Mon</v>
      </c>
      <c r="J30" s="8" t="str">
        <f t="shared" si="3"/>
        <v>Mar</v>
      </c>
      <c r="K30" s="8">
        <f t="shared" si="4"/>
        <v>1</v>
      </c>
      <c r="L30" s="8">
        <f t="shared" si="5"/>
        <v>3</v>
      </c>
    </row>
    <row r="31" spans="1:12" x14ac:dyDescent="0.3">
      <c r="A31" s="10">
        <v>45355</v>
      </c>
      <c r="B31" s="11">
        <v>45355.454756458334</v>
      </c>
      <c r="C31" s="12">
        <f t="shared" si="0"/>
        <v>10</v>
      </c>
      <c r="D31" s="12" t="s">
        <v>4</v>
      </c>
      <c r="E31" s="12" t="s">
        <v>39</v>
      </c>
      <c r="F31" s="13">
        <v>38.700000000000003</v>
      </c>
      <c r="G31" s="12" t="s">
        <v>13</v>
      </c>
      <c r="H31" s="12" t="str">
        <f t="shared" si="1"/>
        <v>Morning</v>
      </c>
      <c r="I31" s="12" t="str">
        <f t="shared" si="2"/>
        <v>Mon</v>
      </c>
      <c r="J31" s="12" t="str">
        <f t="shared" si="3"/>
        <v>Mar</v>
      </c>
      <c r="K31" s="12">
        <f t="shared" si="4"/>
        <v>1</v>
      </c>
      <c r="L31" s="12">
        <f t="shared" si="5"/>
        <v>3</v>
      </c>
    </row>
    <row r="32" spans="1:12" x14ac:dyDescent="0.3">
      <c r="A32" s="6">
        <v>45355</v>
      </c>
      <c r="B32" s="7">
        <v>45355.461992870369</v>
      </c>
      <c r="C32" s="8">
        <f t="shared" si="0"/>
        <v>11</v>
      </c>
      <c r="D32" s="8" t="s">
        <v>4</v>
      </c>
      <c r="E32" s="8" t="s">
        <v>29</v>
      </c>
      <c r="F32" s="9">
        <v>33.799999999999997</v>
      </c>
      <c r="G32" s="8" t="s">
        <v>20</v>
      </c>
      <c r="H32" s="8" t="str">
        <f t="shared" si="1"/>
        <v>Morning</v>
      </c>
      <c r="I32" s="8" t="str">
        <f t="shared" si="2"/>
        <v>Mon</v>
      </c>
      <c r="J32" s="8" t="str">
        <f t="shared" si="3"/>
        <v>Mar</v>
      </c>
      <c r="K32" s="8">
        <f t="shared" si="4"/>
        <v>1</v>
      </c>
      <c r="L32" s="8">
        <f t="shared" si="5"/>
        <v>3</v>
      </c>
    </row>
    <row r="33" spans="1:12" x14ac:dyDescent="0.3">
      <c r="A33" s="10">
        <v>45355</v>
      </c>
      <c r="B33" s="11">
        <v>45355.586547847219</v>
      </c>
      <c r="C33" s="12">
        <f t="shared" si="0"/>
        <v>14</v>
      </c>
      <c r="D33" s="12" t="s">
        <v>4</v>
      </c>
      <c r="E33" s="12" t="s">
        <v>40</v>
      </c>
      <c r="F33" s="13">
        <v>24</v>
      </c>
      <c r="G33" s="12" t="s">
        <v>41</v>
      </c>
      <c r="H33" s="12" t="str">
        <f t="shared" si="1"/>
        <v>Afternoon</v>
      </c>
      <c r="I33" s="12" t="str">
        <f t="shared" si="2"/>
        <v>Mon</v>
      </c>
      <c r="J33" s="12" t="str">
        <f t="shared" si="3"/>
        <v>Mar</v>
      </c>
      <c r="K33" s="12">
        <f t="shared" si="4"/>
        <v>1</v>
      </c>
      <c r="L33" s="12">
        <f t="shared" si="5"/>
        <v>3</v>
      </c>
    </row>
    <row r="34" spans="1:12" x14ac:dyDescent="0.3">
      <c r="A34" s="6">
        <v>45356</v>
      </c>
      <c r="B34" s="7">
        <v>45356.416581608799</v>
      </c>
      <c r="C34" s="8">
        <f t="shared" si="0"/>
        <v>9</v>
      </c>
      <c r="D34" s="8" t="s">
        <v>4</v>
      </c>
      <c r="E34" s="8" t="s">
        <v>12</v>
      </c>
      <c r="F34" s="9">
        <v>38.700000000000003</v>
      </c>
      <c r="G34" s="8" t="s">
        <v>13</v>
      </c>
      <c r="H34" s="8" t="str">
        <f t="shared" si="1"/>
        <v>Morning</v>
      </c>
      <c r="I34" s="8" t="str">
        <f t="shared" si="2"/>
        <v>Tue</v>
      </c>
      <c r="J34" s="8" t="str">
        <f t="shared" si="3"/>
        <v>Mar</v>
      </c>
      <c r="K34" s="8">
        <f t="shared" si="4"/>
        <v>2</v>
      </c>
      <c r="L34" s="8">
        <f t="shared" si="5"/>
        <v>3</v>
      </c>
    </row>
    <row r="35" spans="1:12" x14ac:dyDescent="0.3">
      <c r="A35" s="10">
        <v>45356</v>
      </c>
      <c r="B35" s="11">
        <v>45356.60759216435</v>
      </c>
      <c r="C35" s="12">
        <f t="shared" si="0"/>
        <v>14</v>
      </c>
      <c r="D35" s="12" t="s">
        <v>4</v>
      </c>
      <c r="E35" s="12" t="s">
        <v>42</v>
      </c>
      <c r="F35" s="13">
        <v>38.700000000000003</v>
      </c>
      <c r="G35" s="12" t="s">
        <v>13</v>
      </c>
      <c r="H35" s="12" t="str">
        <f t="shared" si="1"/>
        <v>Afternoon</v>
      </c>
      <c r="I35" s="12" t="str">
        <f t="shared" si="2"/>
        <v>Tue</v>
      </c>
      <c r="J35" s="12" t="str">
        <f t="shared" si="3"/>
        <v>Mar</v>
      </c>
      <c r="K35" s="12">
        <f t="shared" si="4"/>
        <v>2</v>
      </c>
      <c r="L35" s="12">
        <f t="shared" si="5"/>
        <v>3</v>
      </c>
    </row>
    <row r="36" spans="1:12" x14ac:dyDescent="0.3">
      <c r="A36" s="6">
        <v>45356</v>
      </c>
      <c r="B36" s="7">
        <v>45356.732014386573</v>
      </c>
      <c r="C36" s="8">
        <f t="shared" si="0"/>
        <v>17</v>
      </c>
      <c r="D36" s="8" t="s">
        <v>4</v>
      </c>
      <c r="E36" s="8" t="s">
        <v>43</v>
      </c>
      <c r="F36" s="9">
        <v>38.700000000000003</v>
      </c>
      <c r="G36" s="8" t="s">
        <v>13</v>
      </c>
      <c r="H36" s="8" t="str">
        <f t="shared" si="1"/>
        <v>Night</v>
      </c>
      <c r="I36" s="8" t="str">
        <f t="shared" si="2"/>
        <v>Tue</v>
      </c>
      <c r="J36" s="8" t="str">
        <f t="shared" si="3"/>
        <v>Mar</v>
      </c>
      <c r="K36" s="8">
        <f t="shared" si="4"/>
        <v>2</v>
      </c>
      <c r="L36" s="8">
        <f t="shared" si="5"/>
        <v>3</v>
      </c>
    </row>
    <row r="37" spans="1:12" x14ac:dyDescent="0.3">
      <c r="A37" s="10">
        <v>45356</v>
      </c>
      <c r="B37" s="11">
        <v>45356.732928483798</v>
      </c>
      <c r="C37" s="12">
        <f t="shared" si="0"/>
        <v>17</v>
      </c>
      <c r="D37" s="12" t="s">
        <v>4</v>
      </c>
      <c r="E37" s="12" t="s">
        <v>44</v>
      </c>
      <c r="F37" s="13">
        <v>38.700000000000003</v>
      </c>
      <c r="G37" s="12" t="s">
        <v>15</v>
      </c>
      <c r="H37" s="12" t="str">
        <f t="shared" si="1"/>
        <v>Night</v>
      </c>
      <c r="I37" s="12" t="str">
        <f t="shared" si="2"/>
        <v>Tue</v>
      </c>
      <c r="J37" s="12" t="str">
        <f t="shared" si="3"/>
        <v>Mar</v>
      </c>
      <c r="K37" s="12">
        <f t="shared" si="4"/>
        <v>2</v>
      </c>
      <c r="L37" s="12">
        <f t="shared" si="5"/>
        <v>3</v>
      </c>
    </row>
    <row r="38" spans="1:12" x14ac:dyDescent="0.3">
      <c r="A38" s="6">
        <v>45356</v>
      </c>
      <c r="B38" s="7">
        <v>45356.733664016203</v>
      </c>
      <c r="C38" s="8">
        <f t="shared" si="0"/>
        <v>17</v>
      </c>
      <c r="D38" s="8" t="s">
        <v>4</v>
      </c>
      <c r="E38" s="8" t="s">
        <v>45</v>
      </c>
      <c r="F38" s="9">
        <v>38.700000000000003</v>
      </c>
      <c r="G38" s="8" t="s">
        <v>24</v>
      </c>
      <c r="H38" s="8" t="str">
        <f t="shared" si="1"/>
        <v>Night</v>
      </c>
      <c r="I38" s="8" t="str">
        <f t="shared" si="2"/>
        <v>Tue</v>
      </c>
      <c r="J38" s="8" t="str">
        <f t="shared" si="3"/>
        <v>Mar</v>
      </c>
      <c r="K38" s="8">
        <f t="shared" si="4"/>
        <v>2</v>
      </c>
      <c r="L38" s="8">
        <f t="shared" si="5"/>
        <v>3</v>
      </c>
    </row>
    <row r="39" spans="1:12" x14ac:dyDescent="0.3">
      <c r="A39" s="10">
        <v>45356</v>
      </c>
      <c r="B39" s="11">
        <v>45356.734185868052</v>
      </c>
      <c r="C39" s="12">
        <f t="shared" si="0"/>
        <v>17</v>
      </c>
      <c r="D39" s="12" t="s">
        <v>4</v>
      </c>
      <c r="E39" s="12" t="s">
        <v>46</v>
      </c>
      <c r="F39" s="13">
        <v>38.700000000000003</v>
      </c>
      <c r="G39" s="12" t="s">
        <v>15</v>
      </c>
      <c r="H39" s="12" t="str">
        <f t="shared" si="1"/>
        <v>Night</v>
      </c>
      <c r="I39" s="12" t="str">
        <f t="shared" si="2"/>
        <v>Tue</v>
      </c>
      <c r="J39" s="12" t="str">
        <f t="shared" si="3"/>
        <v>Mar</v>
      </c>
      <c r="K39" s="12">
        <f t="shared" si="4"/>
        <v>2</v>
      </c>
      <c r="L39" s="12">
        <f t="shared" si="5"/>
        <v>3</v>
      </c>
    </row>
    <row r="40" spans="1:12" x14ac:dyDescent="0.3">
      <c r="A40" s="6">
        <v>45356</v>
      </c>
      <c r="B40" s="7">
        <v>45356.734830486108</v>
      </c>
      <c r="C40" s="8">
        <f t="shared" si="0"/>
        <v>17</v>
      </c>
      <c r="D40" s="8" t="s">
        <v>4</v>
      </c>
      <c r="E40" s="8" t="s">
        <v>25</v>
      </c>
      <c r="F40" s="9">
        <v>38.700000000000003</v>
      </c>
      <c r="G40" s="8" t="s">
        <v>15</v>
      </c>
      <c r="H40" s="8" t="str">
        <f t="shared" si="1"/>
        <v>Night</v>
      </c>
      <c r="I40" s="8" t="str">
        <f t="shared" si="2"/>
        <v>Tue</v>
      </c>
      <c r="J40" s="8" t="str">
        <f t="shared" si="3"/>
        <v>Mar</v>
      </c>
      <c r="K40" s="8">
        <f t="shared" si="4"/>
        <v>2</v>
      </c>
      <c r="L40" s="8">
        <f t="shared" si="5"/>
        <v>3</v>
      </c>
    </row>
    <row r="41" spans="1:12" x14ac:dyDescent="0.3">
      <c r="A41" s="10">
        <v>45356</v>
      </c>
      <c r="B41" s="11">
        <v>45356.747404814814</v>
      </c>
      <c r="C41" s="12">
        <f t="shared" si="0"/>
        <v>17</v>
      </c>
      <c r="D41" s="12" t="s">
        <v>4</v>
      </c>
      <c r="E41" s="12" t="s">
        <v>47</v>
      </c>
      <c r="F41" s="13">
        <v>28.9</v>
      </c>
      <c r="G41" s="12" t="s">
        <v>34</v>
      </c>
      <c r="H41" s="12" t="str">
        <f t="shared" si="1"/>
        <v>Night</v>
      </c>
      <c r="I41" s="12" t="str">
        <f t="shared" si="2"/>
        <v>Tue</v>
      </c>
      <c r="J41" s="12" t="str">
        <f t="shared" si="3"/>
        <v>Mar</v>
      </c>
      <c r="K41" s="12">
        <f t="shared" si="4"/>
        <v>2</v>
      </c>
      <c r="L41" s="12">
        <f t="shared" si="5"/>
        <v>3</v>
      </c>
    </row>
    <row r="42" spans="1:12" x14ac:dyDescent="0.3">
      <c r="A42" s="6">
        <v>45356</v>
      </c>
      <c r="B42" s="7">
        <v>45356.751056041663</v>
      </c>
      <c r="C42" s="8">
        <f t="shared" si="0"/>
        <v>18</v>
      </c>
      <c r="D42" s="8" t="s">
        <v>4</v>
      </c>
      <c r="E42" s="8" t="s">
        <v>47</v>
      </c>
      <c r="F42" s="9">
        <v>38.700000000000003</v>
      </c>
      <c r="G42" s="8" t="s">
        <v>15</v>
      </c>
      <c r="H42" s="8" t="str">
        <f t="shared" si="1"/>
        <v>Night</v>
      </c>
      <c r="I42" s="8" t="str">
        <f t="shared" si="2"/>
        <v>Tue</v>
      </c>
      <c r="J42" s="8" t="str">
        <f t="shared" si="3"/>
        <v>Mar</v>
      </c>
      <c r="K42" s="8">
        <f t="shared" si="4"/>
        <v>2</v>
      </c>
      <c r="L42" s="8">
        <f t="shared" si="5"/>
        <v>3</v>
      </c>
    </row>
    <row r="43" spans="1:12" x14ac:dyDescent="0.3">
      <c r="A43" s="10">
        <v>45357</v>
      </c>
      <c r="B43" s="11">
        <v>45357.521146863422</v>
      </c>
      <c r="C43" s="12">
        <f t="shared" si="0"/>
        <v>12</v>
      </c>
      <c r="D43" s="12" t="s">
        <v>27</v>
      </c>
      <c r="E43" s="12"/>
      <c r="F43" s="13">
        <v>35</v>
      </c>
      <c r="G43" s="12" t="s">
        <v>20</v>
      </c>
      <c r="H43" s="12" t="str">
        <f t="shared" si="1"/>
        <v>Afternoon</v>
      </c>
      <c r="I43" s="12" t="str">
        <f t="shared" si="2"/>
        <v>Wed</v>
      </c>
      <c r="J43" s="12" t="str">
        <f t="shared" si="3"/>
        <v>Mar</v>
      </c>
      <c r="K43" s="12">
        <f t="shared" si="4"/>
        <v>3</v>
      </c>
      <c r="L43" s="12">
        <f t="shared" si="5"/>
        <v>3</v>
      </c>
    </row>
    <row r="44" spans="1:12" x14ac:dyDescent="0.3">
      <c r="A44" s="6">
        <v>45357</v>
      </c>
      <c r="B44" s="7">
        <v>45357.558422071757</v>
      </c>
      <c r="C44" s="8">
        <f t="shared" si="0"/>
        <v>13</v>
      </c>
      <c r="D44" s="8" t="s">
        <v>4</v>
      </c>
      <c r="E44" s="8" t="s">
        <v>29</v>
      </c>
      <c r="F44" s="9">
        <v>28.9</v>
      </c>
      <c r="G44" s="8" t="s">
        <v>17</v>
      </c>
      <c r="H44" s="8" t="str">
        <f t="shared" si="1"/>
        <v>Afternoon</v>
      </c>
      <c r="I44" s="8" t="str">
        <f t="shared" si="2"/>
        <v>Wed</v>
      </c>
      <c r="J44" s="8" t="str">
        <f t="shared" si="3"/>
        <v>Mar</v>
      </c>
      <c r="K44" s="8">
        <f t="shared" si="4"/>
        <v>3</v>
      </c>
      <c r="L44" s="8">
        <f t="shared" si="5"/>
        <v>3</v>
      </c>
    </row>
    <row r="45" spans="1:12" x14ac:dyDescent="0.3">
      <c r="A45" s="10">
        <v>45357</v>
      </c>
      <c r="B45" s="11">
        <v>45357.559193877314</v>
      </c>
      <c r="C45" s="12">
        <f t="shared" si="0"/>
        <v>13</v>
      </c>
      <c r="D45" s="12" t="s">
        <v>4</v>
      </c>
      <c r="E45" s="12" t="s">
        <v>29</v>
      </c>
      <c r="F45" s="13">
        <v>28.9</v>
      </c>
      <c r="G45" s="12" t="s">
        <v>34</v>
      </c>
      <c r="H45" s="12" t="str">
        <f t="shared" si="1"/>
        <v>Afternoon</v>
      </c>
      <c r="I45" s="12" t="str">
        <f t="shared" si="2"/>
        <v>Wed</v>
      </c>
      <c r="J45" s="12" t="str">
        <f t="shared" si="3"/>
        <v>Mar</v>
      </c>
      <c r="K45" s="12">
        <f t="shared" si="4"/>
        <v>3</v>
      </c>
      <c r="L45" s="12">
        <f t="shared" si="5"/>
        <v>3</v>
      </c>
    </row>
    <row r="46" spans="1:12" x14ac:dyDescent="0.3">
      <c r="A46" s="6">
        <v>45357</v>
      </c>
      <c r="B46" s="7">
        <v>45357.619464826392</v>
      </c>
      <c r="C46" s="8">
        <f t="shared" si="0"/>
        <v>14</v>
      </c>
      <c r="D46" s="8" t="s">
        <v>4</v>
      </c>
      <c r="E46" s="8" t="s">
        <v>48</v>
      </c>
      <c r="F46" s="9">
        <v>38.700000000000003</v>
      </c>
      <c r="G46" s="8" t="s">
        <v>49</v>
      </c>
      <c r="H46" s="8" t="str">
        <f t="shared" si="1"/>
        <v>Afternoon</v>
      </c>
      <c r="I46" s="8" t="str">
        <f t="shared" si="2"/>
        <v>Wed</v>
      </c>
      <c r="J46" s="8" t="str">
        <f t="shared" si="3"/>
        <v>Mar</v>
      </c>
      <c r="K46" s="8">
        <f t="shared" si="4"/>
        <v>3</v>
      </c>
      <c r="L46" s="8">
        <f t="shared" si="5"/>
        <v>3</v>
      </c>
    </row>
    <row r="47" spans="1:12" x14ac:dyDescent="0.3">
      <c r="A47" s="10">
        <v>45357</v>
      </c>
      <c r="B47" s="11">
        <v>45357.620351203703</v>
      </c>
      <c r="C47" s="12">
        <f t="shared" si="0"/>
        <v>14</v>
      </c>
      <c r="D47" s="12" t="s">
        <v>4</v>
      </c>
      <c r="E47" s="12" t="s">
        <v>48</v>
      </c>
      <c r="F47" s="13">
        <v>38.700000000000003</v>
      </c>
      <c r="G47" s="12" t="s">
        <v>49</v>
      </c>
      <c r="H47" s="12" t="str">
        <f t="shared" si="1"/>
        <v>Afternoon</v>
      </c>
      <c r="I47" s="12" t="str">
        <f t="shared" si="2"/>
        <v>Wed</v>
      </c>
      <c r="J47" s="12" t="str">
        <f t="shared" si="3"/>
        <v>Mar</v>
      </c>
      <c r="K47" s="12">
        <f t="shared" si="4"/>
        <v>3</v>
      </c>
      <c r="L47" s="12">
        <f t="shared" si="5"/>
        <v>3</v>
      </c>
    </row>
    <row r="48" spans="1:12" x14ac:dyDescent="0.3">
      <c r="A48" s="6">
        <v>45358</v>
      </c>
      <c r="B48" s="7">
        <v>45358.42290445602</v>
      </c>
      <c r="C48" s="8">
        <f t="shared" si="0"/>
        <v>10</v>
      </c>
      <c r="D48" s="8" t="s">
        <v>27</v>
      </c>
      <c r="E48" s="8"/>
      <c r="F48" s="9">
        <v>40</v>
      </c>
      <c r="G48" s="8" t="s">
        <v>13</v>
      </c>
      <c r="H48" s="8" t="str">
        <f t="shared" si="1"/>
        <v>Morning</v>
      </c>
      <c r="I48" s="8" t="str">
        <f t="shared" si="2"/>
        <v>Thu</v>
      </c>
      <c r="J48" s="8" t="str">
        <f t="shared" si="3"/>
        <v>Mar</v>
      </c>
      <c r="K48" s="8">
        <f t="shared" si="4"/>
        <v>4</v>
      </c>
      <c r="L48" s="8">
        <f t="shared" si="5"/>
        <v>3</v>
      </c>
    </row>
    <row r="49" spans="1:12" x14ac:dyDescent="0.3">
      <c r="A49" s="10">
        <v>45358</v>
      </c>
      <c r="B49" s="11">
        <v>45358.429635914355</v>
      </c>
      <c r="C49" s="12">
        <f t="shared" si="0"/>
        <v>10</v>
      </c>
      <c r="D49" s="12" t="s">
        <v>4</v>
      </c>
      <c r="E49" s="12" t="s">
        <v>50</v>
      </c>
      <c r="F49" s="13">
        <v>38.700000000000003</v>
      </c>
      <c r="G49" s="12" t="s">
        <v>15</v>
      </c>
      <c r="H49" s="12" t="str">
        <f t="shared" si="1"/>
        <v>Morning</v>
      </c>
      <c r="I49" s="12" t="str">
        <f t="shared" si="2"/>
        <v>Thu</v>
      </c>
      <c r="J49" s="12" t="str">
        <f t="shared" si="3"/>
        <v>Mar</v>
      </c>
      <c r="K49" s="12">
        <f t="shared" si="4"/>
        <v>4</v>
      </c>
      <c r="L49" s="12">
        <f t="shared" si="5"/>
        <v>3</v>
      </c>
    </row>
    <row r="50" spans="1:12" x14ac:dyDescent="0.3">
      <c r="A50" s="6">
        <v>45358</v>
      </c>
      <c r="B50" s="7">
        <v>45358.461099259257</v>
      </c>
      <c r="C50" s="8">
        <f t="shared" si="0"/>
        <v>11</v>
      </c>
      <c r="D50" s="8" t="s">
        <v>4</v>
      </c>
      <c r="E50" s="8" t="s">
        <v>51</v>
      </c>
      <c r="F50" s="9">
        <v>38.700000000000003</v>
      </c>
      <c r="G50" s="8" t="s">
        <v>13</v>
      </c>
      <c r="H50" s="8" t="str">
        <f t="shared" si="1"/>
        <v>Morning</v>
      </c>
      <c r="I50" s="8" t="str">
        <f t="shared" si="2"/>
        <v>Thu</v>
      </c>
      <c r="J50" s="8" t="str">
        <f t="shared" si="3"/>
        <v>Mar</v>
      </c>
      <c r="K50" s="8">
        <f t="shared" si="4"/>
        <v>4</v>
      </c>
      <c r="L50" s="8">
        <f t="shared" si="5"/>
        <v>3</v>
      </c>
    </row>
    <row r="51" spans="1:12" x14ac:dyDescent="0.3">
      <c r="A51" s="10">
        <v>45358</v>
      </c>
      <c r="B51" s="11">
        <v>45358.476203437502</v>
      </c>
      <c r="C51" s="12">
        <f t="shared" si="0"/>
        <v>11</v>
      </c>
      <c r="D51" s="12" t="s">
        <v>27</v>
      </c>
      <c r="E51" s="12"/>
      <c r="F51" s="13">
        <v>40</v>
      </c>
      <c r="G51" s="12" t="s">
        <v>13</v>
      </c>
      <c r="H51" s="12" t="str">
        <f t="shared" si="1"/>
        <v>Morning</v>
      </c>
      <c r="I51" s="12" t="str">
        <f t="shared" si="2"/>
        <v>Thu</v>
      </c>
      <c r="J51" s="12" t="str">
        <f t="shared" si="3"/>
        <v>Mar</v>
      </c>
      <c r="K51" s="12">
        <f t="shared" si="4"/>
        <v>4</v>
      </c>
      <c r="L51" s="12">
        <f t="shared" si="5"/>
        <v>3</v>
      </c>
    </row>
    <row r="52" spans="1:12" x14ac:dyDescent="0.3">
      <c r="A52" s="6">
        <v>45358</v>
      </c>
      <c r="B52" s="7">
        <v>45358.653039421297</v>
      </c>
      <c r="C52" s="8">
        <f t="shared" si="0"/>
        <v>15</v>
      </c>
      <c r="D52" s="8" t="s">
        <v>4</v>
      </c>
      <c r="E52" s="8" t="s">
        <v>52</v>
      </c>
      <c r="F52" s="9">
        <v>28.9</v>
      </c>
      <c r="G52" s="8" t="s">
        <v>17</v>
      </c>
      <c r="H52" s="8" t="str">
        <f t="shared" si="1"/>
        <v>Afternoon</v>
      </c>
      <c r="I52" s="8" t="str">
        <f t="shared" si="2"/>
        <v>Thu</v>
      </c>
      <c r="J52" s="8" t="str">
        <f t="shared" si="3"/>
        <v>Mar</v>
      </c>
      <c r="K52" s="8">
        <f t="shared" si="4"/>
        <v>4</v>
      </c>
      <c r="L52" s="8">
        <f t="shared" si="5"/>
        <v>3</v>
      </c>
    </row>
    <row r="53" spans="1:12" x14ac:dyDescent="0.3">
      <c r="A53" s="10">
        <v>45358</v>
      </c>
      <c r="B53" s="11">
        <v>45358.65380537037</v>
      </c>
      <c r="C53" s="12">
        <f t="shared" si="0"/>
        <v>15</v>
      </c>
      <c r="D53" s="12" t="s">
        <v>4</v>
      </c>
      <c r="E53" s="12" t="s">
        <v>53</v>
      </c>
      <c r="F53" s="13">
        <v>33.799999999999997</v>
      </c>
      <c r="G53" s="12" t="s">
        <v>20</v>
      </c>
      <c r="H53" s="12" t="str">
        <f t="shared" si="1"/>
        <v>Afternoon</v>
      </c>
      <c r="I53" s="12" t="str">
        <f t="shared" si="2"/>
        <v>Thu</v>
      </c>
      <c r="J53" s="12" t="str">
        <f t="shared" si="3"/>
        <v>Mar</v>
      </c>
      <c r="K53" s="12">
        <f t="shared" si="4"/>
        <v>4</v>
      </c>
      <c r="L53" s="12">
        <f t="shared" si="5"/>
        <v>3</v>
      </c>
    </row>
    <row r="54" spans="1:12" x14ac:dyDescent="0.3">
      <c r="A54" s="6">
        <v>45359</v>
      </c>
      <c r="B54" s="7">
        <v>45359.44075559028</v>
      </c>
      <c r="C54" s="8">
        <f t="shared" si="0"/>
        <v>10</v>
      </c>
      <c r="D54" s="8" t="s">
        <v>4</v>
      </c>
      <c r="E54" s="8" t="s">
        <v>29</v>
      </c>
      <c r="F54" s="9">
        <v>28.9</v>
      </c>
      <c r="G54" s="8" t="s">
        <v>34</v>
      </c>
      <c r="H54" s="8" t="str">
        <f t="shared" si="1"/>
        <v>Morning</v>
      </c>
      <c r="I54" s="8" t="str">
        <f t="shared" si="2"/>
        <v>Fri</v>
      </c>
      <c r="J54" s="8" t="str">
        <f t="shared" si="3"/>
        <v>Mar</v>
      </c>
      <c r="K54" s="8">
        <f t="shared" si="4"/>
        <v>5</v>
      </c>
      <c r="L54" s="8">
        <f t="shared" si="5"/>
        <v>3</v>
      </c>
    </row>
    <row r="55" spans="1:12" x14ac:dyDescent="0.3">
      <c r="A55" s="10">
        <v>45359</v>
      </c>
      <c r="B55" s="11">
        <v>45359.515609409726</v>
      </c>
      <c r="C55" s="12">
        <f t="shared" si="0"/>
        <v>12</v>
      </c>
      <c r="D55" s="12" t="s">
        <v>4</v>
      </c>
      <c r="E55" s="12" t="s">
        <v>54</v>
      </c>
      <c r="F55" s="13">
        <v>38.700000000000003</v>
      </c>
      <c r="G55" s="12" t="s">
        <v>49</v>
      </c>
      <c r="H55" s="12" t="str">
        <f t="shared" si="1"/>
        <v>Afternoon</v>
      </c>
      <c r="I55" s="12" t="str">
        <f t="shared" si="2"/>
        <v>Fri</v>
      </c>
      <c r="J55" s="12" t="str">
        <f t="shared" si="3"/>
        <v>Mar</v>
      </c>
      <c r="K55" s="12">
        <f t="shared" si="4"/>
        <v>5</v>
      </c>
      <c r="L55" s="12">
        <f t="shared" si="5"/>
        <v>3</v>
      </c>
    </row>
    <row r="56" spans="1:12" x14ac:dyDescent="0.3">
      <c r="A56" s="6">
        <v>45359</v>
      </c>
      <c r="B56" s="7">
        <v>45359.578495856484</v>
      </c>
      <c r="C56" s="8">
        <f t="shared" si="0"/>
        <v>13</v>
      </c>
      <c r="D56" s="8" t="s">
        <v>4</v>
      </c>
      <c r="E56" s="8" t="s">
        <v>55</v>
      </c>
      <c r="F56" s="9">
        <v>28.9</v>
      </c>
      <c r="G56" s="8" t="s">
        <v>17</v>
      </c>
      <c r="H56" s="8" t="str">
        <f t="shared" si="1"/>
        <v>Afternoon</v>
      </c>
      <c r="I56" s="8" t="str">
        <f t="shared" si="2"/>
        <v>Fri</v>
      </c>
      <c r="J56" s="8" t="str">
        <f t="shared" si="3"/>
        <v>Mar</v>
      </c>
      <c r="K56" s="8">
        <f t="shared" si="4"/>
        <v>5</v>
      </c>
      <c r="L56" s="8">
        <f t="shared" si="5"/>
        <v>3</v>
      </c>
    </row>
    <row r="57" spans="1:12" x14ac:dyDescent="0.3">
      <c r="A57" s="10">
        <v>45359</v>
      </c>
      <c r="B57" s="11">
        <v>45359.61403571759</v>
      </c>
      <c r="C57" s="12">
        <f t="shared" si="0"/>
        <v>14</v>
      </c>
      <c r="D57" s="12" t="s">
        <v>4</v>
      </c>
      <c r="E57" s="12" t="s">
        <v>29</v>
      </c>
      <c r="F57" s="13">
        <v>28.9</v>
      </c>
      <c r="G57" s="12" t="s">
        <v>17</v>
      </c>
      <c r="H57" s="12" t="str">
        <f t="shared" si="1"/>
        <v>Afternoon</v>
      </c>
      <c r="I57" s="12" t="str">
        <f t="shared" si="2"/>
        <v>Fri</v>
      </c>
      <c r="J57" s="12" t="str">
        <f t="shared" si="3"/>
        <v>Mar</v>
      </c>
      <c r="K57" s="12">
        <f t="shared" si="4"/>
        <v>5</v>
      </c>
      <c r="L57" s="12">
        <f t="shared" si="5"/>
        <v>3</v>
      </c>
    </row>
    <row r="58" spans="1:12" x14ac:dyDescent="0.3">
      <c r="A58" s="6">
        <v>45359</v>
      </c>
      <c r="B58" s="7">
        <v>45359.614711203707</v>
      </c>
      <c r="C58" s="8">
        <f t="shared" si="0"/>
        <v>14</v>
      </c>
      <c r="D58" s="8" t="s">
        <v>4</v>
      </c>
      <c r="E58" s="8" t="s">
        <v>53</v>
      </c>
      <c r="F58" s="9">
        <v>28.9</v>
      </c>
      <c r="G58" s="8" t="s">
        <v>17</v>
      </c>
      <c r="H58" s="8" t="str">
        <f t="shared" si="1"/>
        <v>Afternoon</v>
      </c>
      <c r="I58" s="8" t="str">
        <f t="shared" si="2"/>
        <v>Fri</v>
      </c>
      <c r="J58" s="8" t="str">
        <f t="shared" si="3"/>
        <v>Mar</v>
      </c>
      <c r="K58" s="8">
        <f t="shared" si="4"/>
        <v>5</v>
      </c>
      <c r="L58" s="8">
        <f t="shared" si="5"/>
        <v>3</v>
      </c>
    </row>
    <row r="59" spans="1:12" x14ac:dyDescent="0.3">
      <c r="A59" s="10">
        <v>45359</v>
      </c>
      <c r="B59" s="11">
        <v>45359.615406886573</v>
      </c>
      <c r="C59" s="12">
        <f t="shared" si="0"/>
        <v>14</v>
      </c>
      <c r="D59" s="12" t="s">
        <v>4</v>
      </c>
      <c r="E59" s="12" t="s">
        <v>29</v>
      </c>
      <c r="F59" s="13">
        <v>33.799999999999997</v>
      </c>
      <c r="G59" s="12" t="s">
        <v>20</v>
      </c>
      <c r="H59" s="12" t="str">
        <f t="shared" si="1"/>
        <v>Afternoon</v>
      </c>
      <c r="I59" s="12" t="str">
        <f t="shared" si="2"/>
        <v>Fri</v>
      </c>
      <c r="J59" s="12" t="str">
        <f t="shared" si="3"/>
        <v>Mar</v>
      </c>
      <c r="K59" s="12">
        <f t="shared" si="4"/>
        <v>5</v>
      </c>
      <c r="L59" s="12">
        <f t="shared" si="5"/>
        <v>3</v>
      </c>
    </row>
    <row r="60" spans="1:12" x14ac:dyDescent="0.3">
      <c r="A60" s="6">
        <v>45359</v>
      </c>
      <c r="B60" s="7">
        <v>45359.790178831019</v>
      </c>
      <c r="C60" s="8">
        <f t="shared" si="0"/>
        <v>18</v>
      </c>
      <c r="D60" s="8" t="s">
        <v>4</v>
      </c>
      <c r="E60" s="8" t="s">
        <v>56</v>
      </c>
      <c r="F60" s="9">
        <v>38.700000000000003</v>
      </c>
      <c r="G60" s="8" t="s">
        <v>13</v>
      </c>
      <c r="H60" s="8" t="str">
        <f t="shared" si="1"/>
        <v>Night</v>
      </c>
      <c r="I60" s="8" t="str">
        <f t="shared" si="2"/>
        <v>Fri</v>
      </c>
      <c r="J60" s="8" t="str">
        <f t="shared" si="3"/>
        <v>Mar</v>
      </c>
      <c r="K60" s="8">
        <f t="shared" si="4"/>
        <v>5</v>
      </c>
      <c r="L60" s="8">
        <f t="shared" si="5"/>
        <v>3</v>
      </c>
    </row>
    <row r="61" spans="1:12" x14ac:dyDescent="0.3">
      <c r="A61" s="10">
        <v>45359</v>
      </c>
      <c r="B61" s="11">
        <v>45359.791260891201</v>
      </c>
      <c r="C61" s="12">
        <f t="shared" si="0"/>
        <v>18</v>
      </c>
      <c r="D61" s="12" t="s">
        <v>4</v>
      </c>
      <c r="E61" s="12" t="s">
        <v>57</v>
      </c>
      <c r="F61" s="13">
        <v>38.700000000000003</v>
      </c>
      <c r="G61" s="12" t="s">
        <v>13</v>
      </c>
      <c r="H61" s="12" t="str">
        <f t="shared" si="1"/>
        <v>Night</v>
      </c>
      <c r="I61" s="12" t="str">
        <f t="shared" si="2"/>
        <v>Fri</v>
      </c>
      <c r="J61" s="12" t="str">
        <f t="shared" si="3"/>
        <v>Mar</v>
      </c>
      <c r="K61" s="12">
        <f t="shared" si="4"/>
        <v>5</v>
      </c>
      <c r="L61" s="12">
        <f t="shared" si="5"/>
        <v>3</v>
      </c>
    </row>
    <row r="62" spans="1:12" x14ac:dyDescent="0.3">
      <c r="A62" s="6">
        <v>45360</v>
      </c>
      <c r="B62" s="7">
        <v>45360.492792731478</v>
      </c>
      <c r="C62" s="8">
        <f t="shared" si="0"/>
        <v>11</v>
      </c>
      <c r="D62" s="8" t="s">
        <v>27</v>
      </c>
      <c r="E62" s="8"/>
      <c r="F62" s="9">
        <v>40</v>
      </c>
      <c r="G62" s="8" t="s">
        <v>15</v>
      </c>
      <c r="H62" s="8" t="str">
        <f t="shared" si="1"/>
        <v>Morning</v>
      </c>
      <c r="I62" s="8" t="str">
        <f t="shared" si="2"/>
        <v>Sat</v>
      </c>
      <c r="J62" s="8" t="str">
        <f t="shared" si="3"/>
        <v>Mar</v>
      </c>
      <c r="K62" s="8">
        <f t="shared" si="4"/>
        <v>6</v>
      </c>
      <c r="L62" s="8">
        <f t="shared" si="5"/>
        <v>3</v>
      </c>
    </row>
    <row r="63" spans="1:12" x14ac:dyDescent="0.3">
      <c r="A63" s="10">
        <v>45360</v>
      </c>
      <c r="B63" s="11">
        <v>45360.50365230324</v>
      </c>
      <c r="C63" s="12">
        <f t="shared" si="0"/>
        <v>12</v>
      </c>
      <c r="D63" s="12" t="s">
        <v>4</v>
      </c>
      <c r="E63" s="12" t="s">
        <v>58</v>
      </c>
      <c r="F63" s="13">
        <v>24</v>
      </c>
      <c r="G63" s="12" t="s">
        <v>41</v>
      </c>
      <c r="H63" s="12" t="str">
        <f t="shared" si="1"/>
        <v>Afternoon</v>
      </c>
      <c r="I63" s="12" t="str">
        <f t="shared" si="2"/>
        <v>Sat</v>
      </c>
      <c r="J63" s="12" t="str">
        <f t="shared" si="3"/>
        <v>Mar</v>
      </c>
      <c r="K63" s="12">
        <f t="shared" si="4"/>
        <v>6</v>
      </c>
      <c r="L63" s="12">
        <f t="shared" si="5"/>
        <v>3</v>
      </c>
    </row>
    <row r="64" spans="1:12" x14ac:dyDescent="0.3">
      <c r="A64" s="6">
        <v>45360</v>
      </c>
      <c r="B64" s="7">
        <v>45360.505304108796</v>
      </c>
      <c r="C64" s="8">
        <f t="shared" si="0"/>
        <v>12</v>
      </c>
      <c r="D64" s="8" t="s">
        <v>4</v>
      </c>
      <c r="E64" s="8" t="s">
        <v>59</v>
      </c>
      <c r="F64" s="9">
        <v>28.9</v>
      </c>
      <c r="G64" s="8" t="s">
        <v>17</v>
      </c>
      <c r="H64" s="8" t="str">
        <f t="shared" si="1"/>
        <v>Afternoon</v>
      </c>
      <c r="I64" s="8" t="str">
        <f t="shared" si="2"/>
        <v>Sat</v>
      </c>
      <c r="J64" s="8" t="str">
        <f t="shared" si="3"/>
        <v>Mar</v>
      </c>
      <c r="K64" s="8">
        <f t="shared" si="4"/>
        <v>6</v>
      </c>
      <c r="L64" s="8">
        <f t="shared" si="5"/>
        <v>3</v>
      </c>
    </row>
    <row r="65" spans="1:12" x14ac:dyDescent="0.3">
      <c r="A65" s="10">
        <v>45360</v>
      </c>
      <c r="B65" s="11">
        <v>45360.506802245371</v>
      </c>
      <c r="C65" s="12">
        <f t="shared" si="0"/>
        <v>12</v>
      </c>
      <c r="D65" s="12" t="s">
        <v>4</v>
      </c>
      <c r="E65" s="12" t="s">
        <v>29</v>
      </c>
      <c r="F65" s="13">
        <v>38.700000000000003</v>
      </c>
      <c r="G65" s="12" t="s">
        <v>49</v>
      </c>
      <c r="H65" s="12" t="str">
        <f t="shared" si="1"/>
        <v>Afternoon</v>
      </c>
      <c r="I65" s="12" t="str">
        <f t="shared" si="2"/>
        <v>Sat</v>
      </c>
      <c r="J65" s="12" t="str">
        <f t="shared" si="3"/>
        <v>Mar</v>
      </c>
      <c r="K65" s="12">
        <f t="shared" si="4"/>
        <v>6</v>
      </c>
      <c r="L65" s="12">
        <f t="shared" si="5"/>
        <v>3</v>
      </c>
    </row>
    <row r="66" spans="1:12" x14ac:dyDescent="0.3">
      <c r="A66" s="6">
        <v>45360</v>
      </c>
      <c r="B66" s="7">
        <v>45360.509068530089</v>
      </c>
      <c r="C66" s="8">
        <f t="shared" si="0"/>
        <v>12</v>
      </c>
      <c r="D66" s="8" t="s">
        <v>4</v>
      </c>
      <c r="E66" s="8" t="s">
        <v>60</v>
      </c>
      <c r="F66" s="9">
        <v>28.9</v>
      </c>
      <c r="G66" s="8" t="s">
        <v>17</v>
      </c>
      <c r="H66" s="8" t="str">
        <f t="shared" si="1"/>
        <v>Afternoon</v>
      </c>
      <c r="I66" s="8" t="str">
        <f t="shared" si="2"/>
        <v>Sat</v>
      </c>
      <c r="J66" s="8" t="str">
        <f t="shared" si="3"/>
        <v>Mar</v>
      </c>
      <c r="K66" s="8">
        <f t="shared" si="4"/>
        <v>6</v>
      </c>
      <c r="L66" s="8">
        <f t="shared" si="5"/>
        <v>3</v>
      </c>
    </row>
    <row r="67" spans="1:12" x14ac:dyDescent="0.3">
      <c r="A67" s="10">
        <v>45360</v>
      </c>
      <c r="B67" s="11">
        <v>45360.510028449076</v>
      </c>
      <c r="C67" s="12">
        <f t="shared" si="0"/>
        <v>12</v>
      </c>
      <c r="D67" s="12" t="s">
        <v>4</v>
      </c>
      <c r="E67" s="12" t="s">
        <v>60</v>
      </c>
      <c r="F67" s="13">
        <v>28.9</v>
      </c>
      <c r="G67" s="12" t="s">
        <v>17</v>
      </c>
      <c r="H67" s="12" t="str">
        <f t="shared" si="1"/>
        <v>Afternoon</v>
      </c>
      <c r="I67" s="12" t="str">
        <f t="shared" si="2"/>
        <v>Sat</v>
      </c>
      <c r="J67" s="12" t="str">
        <f t="shared" si="3"/>
        <v>Mar</v>
      </c>
      <c r="K67" s="12">
        <f t="shared" si="4"/>
        <v>6</v>
      </c>
      <c r="L67" s="12">
        <f t="shared" si="5"/>
        <v>3</v>
      </c>
    </row>
    <row r="68" spans="1:12" x14ac:dyDescent="0.3">
      <c r="A68" s="6">
        <v>45360</v>
      </c>
      <c r="B68" s="7">
        <v>45360.548173946758</v>
      </c>
      <c r="C68" s="8">
        <f t="shared" si="0"/>
        <v>13</v>
      </c>
      <c r="D68" s="8" t="s">
        <v>4</v>
      </c>
      <c r="E68" s="8" t="s">
        <v>61</v>
      </c>
      <c r="F68" s="9">
        <v>38.700000000000003</v>
      </c>
      <c r="G68" s="8" t="s">
        <v>13</v>
      </c>
      <c r="H68" s="8" t="str">
        <f t="shared" si="1"/>
        <v>Afternoon</v>
      </c>
      <c r="I68" s="8" t="str">
        <f t="shared" si="2"/>
        <v>Sat</v>
      </c>
      <c r="J68" s="8" t="str">
        <f t="shared" si="3"/>
        <v>Mar</v>
      </c>
      <c r="K68" s="8">
        <f t="shared" si="4"/>
        <v>6</v>
      </c>
      <c r="L68" s="8">
        <f t="shared" si="5"/>
        <v>3</v>
      </c>
    </row>
    <row r="69" spans="1:12" x14ac:dyDescent="0.3">
      <c r="A69" s="10">
        <v>45360</v>
      </c>
      <c r="B69" s="11">
        <v>45360.570210266204</v>
      </c>
      <c r="C69" s="12">
        <f t="shared" si="0"/>
        <v>13</v>
      </c>
      <c r="D69" s="12" t="s">
        <v>4</v>
      </c>
      <c r="E69" s="12" t="s">
        <v>62</v>
      </c>
      <c r="F69" s="13">
        <v>33.799999999999997</v>
      </c>
      <c r="G69" s="12" t="s">
        <v>20</v>
      </c>
      <c r="H69" s="12" t="str">
        <f t="shared" si="1"/>
        <v>Afternoon</v>
      </c>
      <c r="I69" s="12" t="str">
        <f t="shared" si="2"/>
        <v>Sat</v>
      </c>
      <c r="J69" s="12" t="str">
        <f t="shared" si="3"/>
        <v>Mar</v>
      </c>
      <c r="K69" s="12">
        <f t="shared" si="4"/>
        <v>6</v>
      </c>
      <c r="L69" s="12">
        <f t="shared" si="5"/>
        <v>3</v>
      </c>
    </row>
    <row r="70" spans="1:12" x14ac:dyDescent="0.3">
      <c r="A70" s="6">
        <v>45360</v>
      </c>
      <c r="B70" s="7">
        <v>45360.578592685182</v>
      </c>
      <c r="C70" s="8">
        <f t="shared" si="0"/>
        <v>13</v>
      </c>
      <c r="D70" s="8" t="s">
        <v>4</v>
      </c>
      <c r="E70" s="8" t="s">
        <v>63</v>
      </c>
      <c r="F70" s="9">
        <v>28.9</v>
      </c>
      <c r="G70" s="8" t="s">
        <v>34</v>
      </c>
      <c r="H70" s="8" t="str">
        <f t="shared" si="1"/>
        <v>Afternoon</v>
      </c>
      <c r="I70" s="8" t="str">
        <f t="shared" si="2"/>
        <v>Sat</v>
      </c>
      <c r="J70" s="8" t="str">
        <f t="shared" si="3"/>
        <v>Mar</v>
      </c>
      <c r="K70" s="8">
        <f t="shared" si="4"/>
        <v>6</v>
      </c>
      <c r="L70" s="8">
        <f t="shared" si="5"/>
        <v>3</v>
      </c>
    </row>
    <row r="71" spans="1:12" x14ac:dyDescent="0.3">
      <c r="A71" s="10">
        <v>45360</v>
      </c>
      <c r="B71" s="11">
        <v>45360.579592916663</v>
      </c>
      <c r="C71" s="12">
        <f t="shared" si="0"/>
        <v>13</v>
      </c>
      <c r="D71" s="12" t="s">
        <v>4</v>
      </c>
      <c r="E71" s="12" t="s">
        <v>63</v>
      </c>
      <c r="F71" s="13">
        <v>38.700000000000003</v>
      </c>
      <c r="G71" s="12" t="s">
        <v>49</v>
      </c>
      <c r="H71" s="12" t="str">
        <f t="shared" si="1"/>
        <v>Afternoon</v>
      </c>
      <c r="I71" s="12" t="str">
        <f t="shared" si="2"/>
        <v>Sat</v>
      </c>
      <c r="J71" s="12" t="str">
        <f t="shared" si="3"/>
        <v>Mar</v>
      </c>
      <c r="K71" s="12">
        <f t="shared" si="4"/>
        <v>6</v>
      </c>
      <c r="L71" s="12">
        <f t="shared" si="5"/>
        <v>3</v>
      </c>
    </row>
    <row r="72" spans="1:12" x14ac:dyDescent="0.3">
      <c r="A72" s="6">
        <v>45360</v>
      </c>
      <c r="B72" s="7">
        <v>45360.588910057872</v>
      </c>
      <c r="C72" s="8">
        <f t="shared" si="0"/>
        <v>14</v>
      </c>
      <c r="D72" s="8" t="s">
        <v>4</v>
      </c>
      <c r="E72" s="8" t="s">
        <v>25</v>
      </c>
      <c r="F72" s="9">
        <v>33.799999999999997</v>
      </c>
      <c r="G72" s="8" t="s">
        <v>20</v>
      </c>
      <c r="H72" s="8" t="str">
        <f t="shared" si="1"/>
        <v>Afternoon</v>
      </c>
      <c r="I72" s="8" t="str">
        <f t="shared" si="2"/>
        <v>Sat</v>
      </c>
      <c r="J72" s="8" t="str">
        <f t="shared" si="3"/>
        <v>Mar</v>
      </c>
      <c r="K72" s="8">
        <f t="shared" si="4"/>
        <v>6</v>
      </c>
      <c r="L72" s="8">
        <f t="shared" si="5"/>
        <v>3</v>
      </c>
    </row>
    <row r="73" spans="1:12" x14ac:dyDescent="0.3">
      <c r="A73" s="10">
        <v>45360</v>
      </c>
      <c r="B73" s="11">
        <v>45360.602000844905</v>
      </c>
      <c r="C73" s="12">
        <f t="shared" si="0"/>
        <v>14</v>
      </c>
      <c r="D73" s="12" t="s">
        <v>4</v>
      </c>
      <c r="E73" s="12" t="s">
        <v>64</v>
      </c>
      <c r="F73" s="13">
        <v>38.700000000000003</v>
      </c>
      <c r="G73" s="12" t="s">
        <v>15</v>
      </c>
      <c r="H73" s="12" t="str">
        <f t="shared" si="1"/>
        <v>Afternoon</v>
      </c>
      <c r="I73" s="12" t="str">
        <f t="shared" si="2"/>
        <v>Sat</v>
      </c>
      <c r="J73" s="12" t="str">
        <f t="shared" si="3"/>
        <v>Mar</v>
      </c>
      <c r="K73" s="12">
        <f t="shared" si="4"/>
        <v>6</v>
      </c>
      <c r="L73" s="12">
        <f t="shared" si="5"/>
        <v>3</v>
      </c>
    </row>
    <row r="74" spans="1:12" x14ac:dyDescent="0.3">
      <c r="A74" s="6">
        <v>45360</v>
      </c>
      <c r="B74" s="7">
        <v>45360.804138564818</v>
      </c>
      <c r="C74" s="8">
        <f t="shared" si="0"/>
        <v>19</v>
      </c>
      <c r="D74" s="8" t="s">
        <v>4</v>
      </c>
      <c r="E74" s="8" t="s">
        <v>25</v>
      </c>
      <c r="F74" s="9">
        <v>38.700000000000003</v>
      </c>
      <c r="G74" s="8" t="s">
        <v>49</v>
      </c>
      <c r="H74" s="8" t="str">
        <f t="shared" si="1"/>
        <v>Night</v>
      </c>
      <c r="I74" s="8" t="str">
        <f t="shared" si="2"/>
        <v>Sat</v>
      </c>
      <c r="J74" s="8" t="str">
        <f t="shared" si="3"/>
        <v>Mar</v>
      </c>
      <c r="K74" s="8">
        <f t="shared" si="4"/>
        <v>6</v>
      </c>
      <c r="L74" s="8">
        <f t="shared" si="5"/>
        <v>3</v>
      </c>
    </row>
    <row r="75" spans="1:12" x14ac:dyDescent="0.3">
      <c r="A75" s="10">
        <v>45360</v>
      </c>
      <c r="B75" s="11">
        <v>45360.804977824075</v>
      </c>
      <c r="C75" s="12">
        <f t="shared" si="0"/>
        <v>19</v>
      </c>
      <c r="D75" s="12" t="s">
        <v>4</v>
      </c>
      <c r="E75" s="12" t="s">
        <v>25</v>
      </c>
      <c r="F75" s="13">
        <v>38.700000000000003</v>
      </c>
      <c r="G75" s="12" t="s">
        <v>15</v>
      </c>
      <c r="H75" s="12" t="str">
        <f t="shared" si="1"/>
        <v>Night</v>
      </c>
      <c r="I75" s="12" t="str">
        <f t="shared" si="2"/>
        <v>Sat</v>
      </c>
      <c r="J75" s="12" t="str">
        <f t="shared" si="3"/>
        <v>Mar</v>
      </c>
      <c r="K75" s="12">
        <f t="shared" si="4"/>
        <v>6</v>
      </c>
      <c r="L75" s="12">
        <f t="shared" si="5"/>
        <v>3</v>
      </c>
    </row>
    <row r="76" spans="1:12" x14ac:dyDescent="0.3">
      <c r="A76" s="6">
        <v>45361</v>
      </c>
      <c r="B76" s="7">
        <v>45361.322436782408</v>
      </c>
      <c r="C76" s="8">
        <f t="shared" si="0"/>
        <v>7</v>
      </c>
      <c r="D76" s="8" t="s">
        <v>27</v>
      </c>
      <c r="E76" s="8"/>
      <c r="F76" s="9">
        <v>30</v>
      </c>
      <c r="G76" s="8" t="s">
        <v>17</v>
      </c>
      <c r="H76" s="8" t="str">
        <f t="shared" si="1"/>
        <v>Morning</v>
      </c>
      <c r="I76" s="8" t="str">
        <f t="shared" si="2"/>
        <v>Sun</v>
      </c>
      <c r="J76" s="8" t="str">
        <f t="shared" si="3"/>
        <v>Mar</v>
      </c>
      <c r="K76" s="8">
        <f t="shared" si="4"/>
        <v>7</v>
      </c>
      <c r="L76" s="8">
        <f t="shared" si="5"/>
        <v>3</v>
      </c>
    </row>
    <row r="77" spans="1:12" x14ac:dyDescent="0.3">
      <c r="A77" s="10">
        <v>45361</v>
      </c>
      <c r="B77" s="11">
        <v>45361.323257418982</v>
      </c>
      <c r="C77" s="12">
        <f t="shared" si="0"/>
        <v>7</v>
      </c>
      <c r="D77" s="12" t="s">
        <v>27</v>
      </c>
      <c r="E77" s="12"/>
      <c r="F77" s="13">
        <v>35</v>
      </c>
      <c r="G77" s="12" t="s">
        <v>20</v>
      </c>
      <c r="H77" s="12" t="str">
        <f t="shared" si="1"/>
        <v>Morning</v>
      </c>
      <c r="I77" s="12" t="str">
        <f t="shared" si="2"/>
        <v>Sun</v>
      </c>
      <c r="J77" s="12" t="str">
        <f t="shared" si="3"/>
        <v>Mar</v>
      </c>
      <c r="K77" s="12">
        <f t="shared" si="4"/>
        <v>7</v>
      </c>
      <c r="L77" s="12">
        <f t="shared" si="5"/>
        <v>3</v>
      </c>
    </row>
    <row r="78" spans="1:12" x14ac:dyDescent="0.3">
      <c r="A78" s="6">
        <v>45361</v>
      </c>
      <c r="B78" s="7">
        <v>45361.420867592591</v>
      </c>
      <c r="C78" s="8">
        <f t="shared" si="0"/>
        <v>10</v>
      </c>
      <c r="D78" s="8" t="s">
        <v>27</v>
      </c>
      <c r="E78" s="8"/>
      <c r="F78" s="9">
        <v>40</v>
      </c>
      <c r="G78" s="8" t="s">
        <v>13</v>
      </c>
      <c r="H78" s="8" t="str">
        <f t="shared" si="1"/>
        <v>Morning</v>
      </c>
      <c r="I78" s="8" t="str">
        <f t="shared" si="2"/>
        <v>Sun</v>
      </c>
      <c r="J78" s="8" t="str">
        <f t="shared" si="3"/>
        <v>Mar</v>
      </c>
      <c r="K78" s="8">
        <f t="shared" si="4"/>
        <v>7</v>
      </c>
      <c r="L78" s="8">
        <f t="shared" si="5"/>
        <v>3</v>
      </c>
    </row>
    <row r="79" spans="1:12" x14ac:dyDescent="0.3">
      <c r="A79" s="10">
        <v>45361</v>
      </c>
      <c r="B79" s="11">
        <v>45361.471768101852</v>
      </c>
      <c r="C79" s="12">
        <f t="shared" si="0"/>
        <v>11</v>
      </c>
      <c r="D79" s="12" t="s">
        <v>4</v>
      </c>
      <c r="E79" s="12" t="s">
        <v>65</v>
      </c>
      <c r="F79" s="13">
        <v>24</v>
      </c>
      <c r="G79" s="12" t="s">
        <v>41</v>
      </c>
      <c r="H79" s="12" t="str">
        <f t="shared" si="1"/>
        <v>Morning</v>
      </c>
      <c r="I79" s="12" t="str">
        <f t="shared" si="2"/>
        <v>Sun</v>
      </c>
      <c r="J79" s="12" t="str">
        <f t="shared" si="3"/>
        <v>Mar</v>
      </c>
      <c r="K79" s="12">
        <f t="shared" si="4"/>
        <v>7</v>
      </c>
      <c r="L79" s="12">
        <f t="shared" si="5"/>
        <v>3</v>
      </c>
    </row>
    <row r="80" spans="1:12" x14ac:dyDescent="0.3">
      <c r="A80" s="6">
        <v>45361</v>
      </c>
      <c r="B80" s="7">
        <v>45361.74378527778</v>
      </c>
      <c r="C80" s="8">
        <f t="shared" si="0"/>
        <v>17</v>
      </c>
      <c r="D80" s="8" t="s">
        <v>27</v>
      </c>
      <c r="E80" s="8"/>
      <c r="F80" s="9">
        <v>35</v>
      </c>
      <c r="G80" s="8" t="s">
        <v>20</v>
      </c>
      <c r="H80" s="8" t="str">
        <f t="shared" si="1"/>
        <v>Night</v>
      </c>
      <c r="I80" s="8" t="str">
        <f t="shared" si="2"/>
        <v>Sun</v>
      </c>
      <c r="J80" s="8" t="str">
        <f t="shared" si="3"/>
        <v>Mar</v>
      </c>
      <c r="K80" s="8">
        <f t="shared" si="4"/>
        <v>7</v>
      </c>
      <c r="L80" s="8">
        <f t="shared" si="5"/>
        <v>3</v>
      </c>
    </row>
    <row r="81" spans="1:12" x14ac:dyDescent="0.3">
      <c r="A81" s="10">
        <v>45361</v>
      </c>
      <c r="B81" s="11">
        <v>45361.815283310185</v>
      </c>
      <c r="C81" s="12">
        <f t="shared" si="0"/>
        <v>19</v>
      </c>
      <c r="D81" s="12" t="s">
        <v>4</v>
      </c>
      <c r="E81" s="12" t="s">
        <v>66</v>
      </c>
      <c r="F81" s="13">
        <v>38.700000000000003</v>
      </c>
      <c r="G81" s="12" t="s">
        <v>13</v>
      </c>
      <c r="H81" s="12" t="str">
        <f t="shared" si="1"/>
        <v>Night</v>
      </c>
      <c r="I81" s="12" t="str">
        <f t="shared" si="2"/>
        <v>Sun</v>
      </c>
      <c r="J81" s="12" t="str">
        <f t="shared" si="3"/>
        <v>Mar</v>
      </c>
      <c r="K81" s="12">
        <f t="shared" si="4"/>
        <v>7</v>
      </c>
      <c r="L81" s="12">
        <f t="shared" si="5"/>
        <v>3</v>
      </c>
    </row>
    <row r="82" spans="1:12" x14ac:dyDescent="0.3">
      <c r="A82" s="6">
        <v>45361</v>
      </c>
      <c r="B82" s="7">
        <v>45361.816605462962</v>
      </c>
      <c r="C82" s="8">
        <f t="shared" si="0"/>
        <v>19</v>
      </c>
      <c r="D82" s="8" t="s">
        <v>4</v>
      </c>
      <c r="E82" s="8" t="s">
        <v>66</v>
      </c>
      <c r="F82" s="9">
        <v>28.9</v>
      </c>
      <c r="G82" s="8" t="s">
        <v>34</v>
      </c>
      <c r="H82" s="8" t="str">
        <f t="shared" si="1"/>
        <v>Night</v>
      </c>
      <c r="I82" s="8" t="str">
        <f t="shared" si="2"/>
        <v>Sun</v>
      </c>
      <c r="J82" s="8" t="str">
        <f t="shared" si="3"/>
        <v>Mar</v>
      </c>
      <c r="K82" s="8">
        <f t="shared" si="4"/>
        <v>7</v>
      </c>
      <c r="L82" s="8">
        <f t="shared" si="5"/>
        <v>3</v>
      </c>
    </row>
    <row r="83" spans="1:12" x14ac:dyDescent="0.3">
      <c r="A83" s="10">
        <v>45362</v>
      </c>
      <c r="B83" s="11">
        <v>45362.429707453703</v>
      </c>
      <c r="C83" s="12">
        <f t="shared" si="0"/>
        <v>10</v>
      </c>
      <c r="D83" s="12" t="s">
        <v>27</v>
      </c>
      <c r="E83" s="12"/>
      <c r="F83" s="13">
        <v>40</v>
      </c>
      <c r="G83" s="12" t="s">
        <v>13</v>
      </c>
      <c r="H83" s="12" t="str">
        <f t="shared" si="1"/>
        <v>Morning</v>
      </c>
      <c r="I83" s="12" t="str">
        <f t="shared" si="2"/>
        <v>Mon</v>
      </c>
      <c r="J83" s="12" t="str">
        <f t="shared" si="3"/>
        <v>Mar</v>
      </c>
      <c r="K83" s="12">
        <f t="shared" si="4"/>
        <v>1</v>
      </c>
      <c r="L83" s="12">
        <f t="shared" si="5"/>
        <v>3</v>
      </c>
    </row>
    <row r="84" spans="1:12" x14ac:dyDescent="0.3">
      <c r="A84" s="6">
        <v>45362</v>
      </c>
      <c r="B84" s="7">
        <v>45362.475173865743</v>
      </c>
      <c r="C84" s="8">
        <f t="shared" si="0"/>
        <v>11</v>
      </c>
      <c r="D84" s="8" t="s">
        <v>27</v>
      </c>
      <c r="E84" s="8"/>
      <c r="F84" s="9">
        <v>40</v>
      </c>
      <c r="G84" s="8" t="s">
        <v>49</v>
      </c>
      <c r="H84" s="8" t="str">
        <f t="shared" si="1"/>
        <v>Morning</v>
      </c>
      <c r="I84" s="8" t="str">
        <f t="shared" si="2"/>
        <v>Mon</v>
      </c>
      <c r="J84" s="8" t="str">
        <f t="shared" si="3"/>
        <v>Mar</v>
      </c>
      <c r="K84" s="8">
        <f t="shared" si="4"/>
        <v>1</v>
      </c>
      <c r="L84" s="8">
        <f t="shared" si="5"/>
        <v>3</v>
      </c>
    </row>
    <row r="85" spans="1:12" x14ac:dyDescent="0.3">
      <c r="A85" s="10">
        <v>45362</v>
      </c>
      <c r="B85" s="11">
        <v>45362.47559681713</v>
      </c>
      <c r="C85" s="12">
        <f t="shared" si="0"/>
        <v>11</v>
      </c>
      <c r="D85" s="12" t="s">
        <v>27</v>
      </c>
      <c r="E85" s="12"/>
      <c r="F85" s="13">
        <v>30</v>
      </c>
      <c r="G85" s="12" t="s">
        <v>34</v>
      </c>
      <c r="H85" s="12" t="str">
        <f t="shared" si="1"/>
        <v>Morning</v>
      </c>
      <c r="I85" s="12" t="str">
        <f t="shared" si="2"/>
        <v>Mon</v>
      </c>
      <c r="J85" s="12" t="str">
        <f t="shared" si="3"/>
        <v>Mar</v>
      </c>
      <c r="K85" s="12">
        <f t="shared" si="4"/>
        <v>1</v>
      </c>
      <c r="L85" s="12">
        <f t="shared" si="5"/>
        <v>3</v>
      </c>
    </row>
    <row r="86" spans="1:12" x14ac:dyDescent="0.3">
      <c r="A86" s="6">
        <v>45362</v>
      </c>
      <c r="B86" s="7">
        <v>45362.476900706017</v>
      </c>
      <c r="C86" s="8">
        <f t="shared" si="0"/>
        <v>11</v>
      </c>
      <c r="D86" s="8" t="s">
        <v>27</v>
      </c>
      <c r="E86" s="8"/>
      <c r="F86" s="9">
        <v>30</v>
      </c>
      <c r="G86" s="8" t="s">
        <v>17</v>
      </c>
      <c r="H86" s="8" t="str">
        <f t="shared" si="1"/>
        <v>Morning</v>
      </c>
      <c r="I86" s="8" t="str">
        <f t="shared" si="2"/>
        <v>Mon</v>
      </c>
      <c r="J86" s="8" t="str">
        <f t="shared" si="3"/>
        <v>Mar</v>
      </c>
      <c r="K86" s="8">
        <f t="shared" si="4"/>
        <v>1</v>
      </c>
      <c r="L86" s="8">
        <f t="shared" si="5"/>
        <v>3</v>
      </c>
    </row>
    <row r="87" spans="1:12" x14ac:dyDescent="0.3">
      <c r="A87" s="10">
        <v>45362</v>
      </c>
      <c r="B87" s="11">
        <v>45362.481235891202</v>
      </c>
      <c r="C87" s="12">
        <f t="shared" si="0"/>
        <v>11</v>
      </c>
      <c r="D87" s="12" t="s">
        <v>4</v>
      </c>
      <c r="E87" s="12" t="s">
        <v>55</v>
      </c>
      <c r="F87" s="13">
        <v>38.700000000000003</v>
      </c>
      <c r="G87" s="12" t="s">
        <v>49</v>
      </c>
      <c r="H87" s="12" t="str">
        <f t="shared" si="1"/>
        <v>Morning</v>
      </c>
      <c r="I87" s="12" t="str">
        <f t="shared" si="2"/>
        <v>Mon</v>
      </c>
      <c r="J87" s="12" t="str">
        <f t="shared" si="3"/>
        <v>Mar</v>
      </c>
      <c r="K87" s="12">
        <f t="shared" si="4"/>
        <v>1</v>
      </c>
      <c r="L87" s="12">
        <f t="shared" si="5"/>
        <v>3</v>
      </c>
    </row>
    <row r="88" spans="1:12" x14ac:dyDescent="0.3">
      <c r="A88" s="6">
        <v>45362</v>
      </c>
      <c r="B88" s="7">
        <v>45362.68363890046</v>
      </c>
      <c r="C88" s="8">
        <f t="shared" si="0"/>
        <v>16</v>
      </c>
      <c r="D88" s="8" t="s">
        <v>4</v>
      </c>
      <c r="E88" s="8" t="s">
        <v>67</v>
      </c>
      <c r="F88" s="9">
        <v>28.9</v>
      </c>
      <c r="G88" s="8" t="s">
        <v>17</v>
      </c>
      <c r="H88" s="8" t="str">
        <f t="shared" si="1"/>
        <v>Afternoon</v>
      </c>
      <c r="I88" s="8" t="str">
        <f t="shared" si="2"/>
        <v>Mon</v>
      </c>
      <c r="J88" s="8" t="str">
        <f t="shared" si="3"/>
        <v>Mar</v>
      </c>
      <c r="K88" s="8">
        <f t="shared" si="4"/>
        <v>1</v>
      </c>
      <c r="L88" s="8">
        <f t="shared" si="5"/>
        <v>3</v>
      </c>
    </row>
    <row r="89" spans="1:12" x14ac:dyDescent="0.3">
      <c r="A89" s="10">
        <v>45362</v>
      </c>
      <c r="B89" s="11">
        <v>45362.684556296299</v>
      </c>
      <c r="C89" s="12">
        <f t="shared" si="0"/>
        <v>16</v>
      </c>
      <c r="D89" s="12" t="s">
        <v>4</v>
      </c>
      <c r="E89" s="12" t="s">
        <v>67</v>
      </c>
      <c r="F89" s="13">
        <v>38.700000000000003</v>
      </c>
      <c r="G89" s="12" t="s">
        <v>13</v>
      </c>
      <c r="H89" s="12" t="str">
        <f t="shared" si="1"/>
        <v>Afternoon</v>
      </c>
      <c r="I89" s="12" t="str">
        <f t="shared" si="2"/>
        <v>Mon</v>
      </c>
      <c r="J89" s="12" t="str">
        <f t="shared" si="3"/>
        <v>Mar</v>
      </c>
      <c r="K89" s="12">
        <f t="shared" si="4"/>
        <v>1</v>
      </c>
      <c r="L89" s="12">
        <f t="shared" si="5"/>
        <v>3</v>
      </c>
    </row>
    <row r="90" spans="1:12" x14ac:dyDescent="0.3">
      <c r="A90" s="6">
        <v>45362</v>
      </c>
      <c r="B90" s="7">
        <v>45362.701963055559</v>
      </c>
      <c r="C90" s="8">
        <f t="shared" si="0"/>
        <v>16</v>
      </c>
      <c r="D90" s="8" t="s">
        <v>4</v>
      </c>
      <c r="E90" s="8" t="s">
        <v>68</v>
      </c>
      <c r="F90" s="9">
        <v>28.9</v>
      </c>
      <c r="G90" s="8" t="s">
        <v>34</v>
      </c>
      <c r="H90" s="8" t="str">
        <f t="shared" si="1"/>
        <v>Afternoon</v>
      </c>
      <c r="I90" s="8" t="str">
        <f t="shared" si="2"/>
        <v>Mon</v>
      </c>
      <c r="J90" s="8" t="str">
        <f t="shared" si="3"/>
        <v>Mar</v>
      </c>
      <c r="K90" s="8">
        <f t="shared" si="4"/>
        <v>1</v>
      </c>
      <c r="L90" s="8">
        <f t="shared" si="5"/>
        <v>3</v>
      </c>
    </row>
    <row r="91" spans="1:12" x14ac:dyDescent="0.3">
      <c r="A91" s="10">
        <v>45363</v>
      </c>
      <c r="B91" s="11">
        <v>45363.427086770833</v>
      </c>
      <c r="C91" s="12">
        <f t="shared" si="0"/>
        <v>10</v>
      </c>
      <c r="D91" s="12" t="s">
        <v>27</v>
      </c>
      <c r="E91" s="12"/>
      <c r="F91" s="13">
        <v>40</v>
      </c>
      <c r="G91" s="12" t="s">
        <v>13</v>
      </c>
      <c r="H91" s="12" t="str">
        <f t="shared" si="1"/>
        <v>Morning</v>
      </c>
      <c r="I91" s="12" t="str">
        <f t="shared" si="2"/>
        <v>Tue</v>
      </c>
      <c r="J91" s="12" t="str">
        <f t="shared" si="3"/>
        <v>Mar</v>
      </c>
      <c r="K91" s="12">
        <f t="shared" si="4"/>
        <v>2</v>
      </c>
      <c r="L91" s="12">
        <f t="shared" si="5"/>
        <v>3</v>
      </c>
    </row>
    <row r="92" spans="1:12" x14ac:dyDescent="0.3">
      <c r="A92" s="6">
        <v>45363</v>
      </c>
      <c r="B92" s="7">
        <v>45363.427483136576</v>
      </c>
      <c r="C92" s="8">
        <f t="shared" si="0"/>
        <v>10</v>
      </c>
      <c r="D92" s="8" t="s">
        <v>4</v>
      </c>
      <c r="E92" s="8" t="s">
        <v>53</v>
      </c>
      <c r="F92" s="9">
        <v>28.9</v>
      </c>
      <c r="G92" s="8" t="s">
        <v>17</v>
      </c>
      <c r="H92" s="8" t="str">
        <f t="shared" si="1"/>
        <v>Morning</v>
      </c>
      <c r="I92" s="8" t="str">
        <f t="shared" si="2"/>
        <v>Tue</v>
      </c>
      <c r="J92" s="8" t="str">
        <f t="shared" si="3"/>
        <v>Mar</v>
      </c>
      <c r="K92" s="8">
        <f t="shared" si="4"/>
        <v>2</v>
      </c>
      <c r="L92" s="8">
        <f t="shared" si="5"/>
        <v>3</v>
      </c>
    </row>
    <row r="93" spans="1:12" x14ac:dyDescent="0.3">
      <c r="A93" s="10">
        <v>45363</v>
      </c>
      <c r="B93" s="11">
        <v>45363.428065810185</v>
      </c>
      <c r="C93" s="12">
        <f t="shared" si="0"/>
        <v>10</v>
      </c>
      <c r="D93" s="12" t="s">
        <v>4</v>
      </c>
      <c r="E93" s="12" t="s">
        <v>53</v>
      </c>
      <c r="F93" s="13">
        <v>28.9</v>
      </c>
      <c r="G93" s="12" t="s">
        <v>34</v>
      </c>
      <c r="H93" s="12" t="str">
        <f t="shared" si="1"/>
        <v>Morning</v>
      </c>
      <c r="I93" s="12" t="str">
        <f t="shared" si="2"/>
        <v>Tue</v>
      </c>
      <c r="J93" s="12" t="str">
        <f t="shared" si="3"/>
        <v>Mar</v>
      </c>
      <c r="K93" s="12">
        <f t="shared" si="4"/>
        <v>2</v>
      </c>
      <c r="L93" s="12">
        <f t="shared" si="5"/>
        <v>3</v>
      </c>
    </row>
    <row r="94" spans="1:12" x14ac:dyDescent="0.3">
      <c r="A94" s="6">
        <v>45363</v>
      </c>
      <c r="B94" s="7">
        <v>45363.472750370369</v>
      </c>
      <c r="C94" s="8">
        <f t="shared" si="0"/>
        <v>11</v>
      </c>
      <c r="D94" s="8" t="s">
        <v>4</v>
      </c>
      <c r="E94" s="8" t="s">
        <v>69</v>
      </c>
      <c r="F94" s="9">
        <v>38.700000000000003</v>
      </c>
      <c r="G94" s="8" t="s">
        <v>15</v>
      </c>
      <c r="H94" s="8" t="str">
        <f t="shared" si="1"/>
        <v>Morning</v>
      </c>
      <c r="I94" s="8" t="str">
        <f t="shared" si="2"/>
        <v>Tue</v>
      </c>
      <c r="J94" s="8" t="str">
        <f t="shared" si="3"/>
        <v>Mar</v>
      </c>
      <c r="K94" s="8">
        <f t="shared" si="4"/>
        <v>2</v>
      </c>
      <c r="L94" s="8">
        <f t="shared" si="5"/>
        <v>3</v>
      </c>
    </row>
    <row r="95" spans="1:12" x14ac:dyDescent="0.3">
      <c r="A95" s="10">
        <v>45363</v>
      </c>
      <c r="B95" s="11">
        <v>45363.532213831022</v>
      </c>
      <c r="C95" s="12">
        <f t="shared" si="0"/>
        <v>12</v>
      </c>
      <c r="D95" s="12" t="s">
        <v>4</v>
      </c>
      <c r="E95" s="12" t="s">
        <v>18</v>
      </c>
      <c r="F95" s="13">
        <v>33.799999999999997</v>
      </c>
      <c r="G95" s="12" t="s">
        <v>20</v>
      </c>
      <c r="H95" s="12" t="str">
        <f t="shared" si="1"/>
        <v>Afternoon</v>
      </c>
      <c r="I95" s="12" t="str">
        <f t="shared" si="2"/>
        <v>Tue</v>
      </c>
      <c r="J95" s="12" t="str">
        <f t="shared" si="3"/>
        <v>Mar</v>
      </c>
      <c r="K95" s="12">
        <f t="shared" si="4"/>
        <v>2</v>
      </c>
      <c r="L95" s="12">
        <f t="shared" si="5"/>
        <v>3</v>
      </c>
    </row>
    <row r="96" spans="1:12" x14ac:dyDescent="0.3">
      <c r="A96" s="6">
        <v>45363</v>
      </c>
      <c r="B96" s="7">
        <v>45363.532940127312</v>
      </c>
      <c r="C96" s="8">
        <f t="shared" si="0"/>
        <v>12</v>
      </c>
      <c r="D96" s="8" t="s">
        <v>4</v>
      </c>
      <c r="E96" s="8" t="s">
        <v>18</v>
      </c>
      <c r="F96" s="9">
        <v>28.9</v>
      </c>
      <c r="G96" s="8" t="s">
        <v>17</v>
      </c>
      <c r="H96" s="8" t="str">
        <f t="shared" si="1"/>
        <v>Afternoon</v>
      </c>
      <c r="I96" s="8" t="str">
        <f t="shared" si="2"/>
        <v>Tue</v>
      </c>
      <c r="J96" s="8" t="str">
        <f t="shared" si="3"/>
        <v>Mar</v>
      </c>
      <c r="K96" s="8">
        <f t="shared" si="4"/>
        <v>2</v>
      </c>
      <c r="L96" s="8">
        <f t="shared" si="5"/>
        <v>3</v>
      </c>
    </row>
    <row r="97" spans="1:12" x14ac:dyDescent="0.3">
      <c r="A97" s="10">
        <v>45363</v>
      </c>
      <c r="B97" s="11">
        <v>45363.677584780089</v>
      </c>
      <c r="C97" s="12">
        <f t="shared" si="0"/>
        <v>16</v>
      </c>
      <c r="D97" s="12" t="s">
        <v>4</v>
      </c>
      <c r="E97" s="12" t="s">
        <v>70</v>
      </c>
      <c r="F97" s="13">
        <v>28.9</v>
      </c>
      <c r="G97" s="12" t="s">
        <v>17</v>
      </c>
      <c r="H97" s="12" t="str">
        <f t="shared" si="1"/>
        <v>Afternoon</v>
      </c>
      <c r="I97" s="12" t="str">
        <f t="shared" si="2"/>
        <v>Tue</v>
      </c>
      <c r="J97" s="12" t="str">
        <f t="shared" si="3"/>
        <v>Mar</v>
      </c>
      <c r="K97" s="12">
        <f t="shared" si="4"/>
        <v>2</v>
      </c>
      <c r="L97" s="12">
        <f t="shared" si="5"/>
        <v>3</v>
      </c>
    </row>
    <row r="98" spans="1:12" x14ac:dyDescent="0.3">
      <c r="A98" s="6">
        <v>45364</v>
      </c>
      <c r="B98" s="7">
        <v>45364.462998124996</v>
      </c>
      <c r="C98" s="8">
        <f t="shared" si="0"/>
        <v>11</v>
      </c>
      <c r="D98" s="8" t="s">
        <v>4</v>
      </c>
      <c r="E98" s="8" t="s">
        <v>68</v>
      </c>
      <c r="F98" s="9">
        <v>38.700000000000003</v>
      </c>
      <c r="G98" s="8" t="s">
        <v>15</v>
      </c>
      <c r="H98" s="8" t="str">
        <f t="shared" si="1"/>
        <v>Morning</v>
      </c>
      <c r="I98" s="8" t="str">
        <f t="shared" si="2"/>
        <v>Wed</v>
      </c>
      <c r="J98" s="8" t="str">
        <f t="shared" si="3"/>
        <v>Mar</v>
      </c>
      <c r="K98" s="8">
        <f t="shared" si="4"/>
        <v>3</v>
      </c>
      <c r="L98" s="8">
        <f t="shared" si="5"/>
        <v>3</v>
      </c>
    </row>
    <row r="99" spans="1:12" x14ac:dyDescent="0.3">
      <c r="A99" s="10">
        <v>45364</v>
      </c>
      <c r="B99" s="11">
        <v>45364.491860567126</v>
      </c>
      <c r="C99" s="12">
        <f t="shared" si="0"/>
        <v>11</v>
      </c>
      <c r="D99" s="12" t="s">
        <v>4</v>
      </c>
      <c r="E99" s="12" t="s">
        <v>18</v>
      </c>
      <c r="F99" s="13">
        <v>28.9</v>
      </c>
      <c r="G99" s="12" t="s">
        <v>17</v>
      </c>
      <c r="H99" s="12" t="str">
        <f t="shared" si="1"/>
        <v>Morning</v>
      </c>
      <c r="I99" s="12" t="str">
        <f t="shared" si="2"/>
        <v>Wed</v>
      </c>
      <c r="J99" s="12" t="str">
        <f t="shared" si="3"/>
        <v>Mar</v>
      </c>
      <c r="K99" s="12">
        <f t="shared" si="4"/>
        <v>3</v>
      </c>
      <c r="L99" s="12">
        <f t="shared" si="5"/>
        <v>3</v>
      </c>
    </row>
    <row r="100" spans="1:12" x14ac:dyDescent="0.3">
      <c r="A100" s="6">
        <v>45364</v>
      </c>
      <c r="B100" s="7">
        <v>45364.512573333333</v>
      </c>
      <c r="C100" s="8">
        <f t="shared" si="0"/>
        <v>12</v>
      </c>
      <c r="D100" s="8" t="s">
        <v>4</v>
      </c>
      <c r="E100" s="8" t="s">
        <v>71</v>
      </c>
      <c r="F100" s="9">
        <v>28.9</v>
      </c>
      <c r="G100" s="8" t="s">
        <v>17</v>
      </c>
      <c r="H100" s="8" t="str">
        <f t="shared" si="1"/>
        <v>Afternoon</v>
      </c>
      <c r="I100" s="8" t="str">
        <f t="shared" si="2"/>
        <v>Wed</v>
      </c>
      <c r="J100" s="8" t="str">
        <f t="shared" si="3"/>
        <v>Mar</v>
      </c>
      <c r="K100" s="8">
        <f t="shared" si="4"/>
        <v>3</v>
      </c>
      <c r="L100" s="8">
        <f t="shared" si="5"/>
        <v>3</v>
      </c>
    </row>
    <row r="101" spans="1:12" x14ac:dyDescent="0.3">
      <c r="A101" s="10">
        <v>45364</v>
      </c>
      <c r="B101" s="11">
        <v>45364.513253796293</v>
      </c>
      <c r="C101" s="12">
        <f t="shared" si="0"/>
        <v>12</v>
      </c>
      <c r="D101" s="12" t="s">
        <v>4</v>
      </c>
      <c r="E101" s="12" t="s">
        <v>71</v>
      </c>
      <c r="F101" s="13">
        <v>28.9</v>
      </c>
      <c r="G101" s="12" t="s">
        <v>17</v>
      </c>
      <c r="H101" s="12" t="str">
        <f t="shared" si="1"/>
        <v>Afternoon</v>
      </c>
      <c r="I101" s="12" t="str">
        <f t="shared" si="2"/>
        <v>Wed</v>
      </c>
      <c r="J101" s="12" t="str">
        <f t="shared" si="3"/>
        <v>Mar</v>
      </c>
      <c r="K101" s="12">
        <f t="shared" si="4"/>
        <v>3</v>
      </c>
      <c r="L101" s="12">
        <f t="shared" si="5"/>
        <v>3</v>
      </c>
    </row>
    <row r="102" spans="1:12" x14ac:dyDescent="0.3">
      <c r="A102" s="6">
        <v>45364</v>
      </c>
      <c r="B102" s="7">
        <v>45364.523961979168</v>
      </c>
      <c r="C102" s="8">
        <f t="shared" si="0"/>
        <v>12</v>
      </c>
      <c r="D102" s="8" t="s">
        <v>27</v>
      </c>
      <c r="E102" s="8"/>
      <c r="F102" s="9">
        <v>25</v>
      </c>
      <c r="G102" s="8" t="s">
        <v>41</v>
      </c>
      <c r="H102" s="8" t="str">
        <f t="shared" si="1"/>
        <v>Afternoon</v>
      </c>
      <c r="I102" s="8" t="str">
        <f t="shared" si="2"/>
        <v>Wed</v>
      </c>
      <c r="J102" s="8" t="str">
        <f t="shared" si="3"/>
        <v>Mar</v>
      </c>
      <c r="K102" s="8">
        <f t="shared" si="4"/>
        <v>3</v>
      </c>
      <c r="L102" s="8">
        <f t="shared" si="5"/>
        <v>3</v>
      </c>
    </row>
    <row r="103" spans="1:12" x14ac:dyDescent="0.3">
      <c r="A103" s="10">
        <v>45364</v>
      </c>
      <c r="B103" s="11">
        <v>45364.601861979165</v>
      </c>
      <c r="C103" s="12">
        <f t="shared" si="0"/>
        <v>14</v>
      </c>
      <c r="D103" s="12" t="s">
        <v>4</v>
      </c>
      <c r="E103" s="12" t="s">
        <v>72</v>
      </c>
      <c r="F103" s="13">
        <v>33.799999999999997</v>
      </c>
      <c r="G103" s="12" t="s">
        <v>20</v>
      </c>
      <c r="H103" s="12" t="str">
        <f t="shared" si="1"/>
        <v>Afternoon</v>
      </c>
      <c r="I103" s="12" t="str">
        <f t="shared" si="2"/>
        <v>Wed</v>
      </c>
      <c r="J103" s="12" t="str">
        <f t="shared" si="3"/>
        <v>Mar</v>
      </c>
      <c r="K103" s="12">
        <f t="shared" si="4"/>
        <v>3</v>
      </c>
      <c r="L103" s="12">
        <f t="shared" si="5"/>
        <v>3</v>
      </c>
    </row>
    <row r="104" spans="1:12" x14ac:dyDescent="0.3">
      <c r="A104" s="6">
        <v>45364</v>
      </c>
      <c r="B104" s="7">
        <v>45364.653035428244</v>
      </c>
      <c r="C104" s="8">
        <f t="shared" si="0"/>
        <v>15</v>
      </c>
      <c r="D104" s="8" t="s">
        <v>4</v>
      </c>
      <c r="E104" s="8" t="s">
        <v>73</v>
      </c>
      <c r="F104" s="9">
        <v>24</v>
      </c>
      <c r="G104" s="8" t="s">
        <v>41</v>
      </c>
      <c r="H104" s="8" t="str">
        <f t="shared" si="1"/>
        <v>Afternoon</v>
      </c>
      <c r="I104" s="8" t="str">
        <f t="shared" si="2"/>
        <v>Wed</v>
      </c>
      <c r="J104" s="8" t="str">
        <f t="shared" si="3"/>
        <v>Mar</v>
      </c>
      <c r="K104" s="8">
        <f t="shared" si="4"/>
        <v>3</v>
      </c>
      <c r="L104" s="8">
        <f t="shared" si="5"/>
        <v>3</v>
      </c>
    </row>
    <row r="105" spans="1:12" x14ac:dyDescent="0.3">
      <c r="A105" s="10">
        <v>45364</v>
      </c>
      <c r="B105" s="11">
        <v>45364.653708611113</v>
      </c>
      <c r="C105" s="12">
        <f t="shared" si="0"/>
        <v>15</v>
      </c>
      <c r="D105" s="12" t="s">
        <v>4</v>
      </c>
      <c r="E105" s="12" t="s">
        <v>73</v>
      </c>
      <c r="F105" s="13">
        <v>24</v>
      </c>
      <c r="G105" s="12" t="s">
        <v>41</v>
      </c>
      <c r="H105" s="12" t="str">
        <f t="shared" si="1"/>
        <v>Afternoon</v>
      </c>
      <c r="I105" s="12" t="str">
        <f t="shared" si="2"/>
        <v>Wed</v>
      </c>
      <c r="J105" s="12" t="str">
        <f t="shared" si="3"/>
        <v>Mar</v>
      </c>
      <c r="K105" s="12">
        <f t="shared" si="4"/>
        <v>3</v>
      </c>
      <c r="L105" s="12">
        <f t="shared" si="5"/>
        <v>3</v>
      </c>
    </row>
    <row r="106" spans="1:12" x14ac:dyDescent="0.3">
      <c r="A106" s="6">
        <v>45364</v>
      </c>
      <c r="B106" s="7">
        <v>45364.699414039351</v>
      </c>
      <c r="C106" s="8">
        <f t="shared" si="0"/>
        <v>16</v>
      </c>
      <c r="D106" s="8" t="s">
        <v>4</v>
      </c>
      <c r="E106" s="8" t="s">
        <v>74</v>
      </c>
      <c r="F106" s="9">
        <v>24</v>
      </c>
      <c r="G106" s="8" t="s">
        <v>41</v>
      </c>
      <c r="H106" s="8" t="str">
        <f t="shared" si="1"/>
        <v>Afternoon</v>
      </c>
      <c r="I106" s="8" t="str">
        <f t="shared" si="2"/>
        <v>Wed</v>
      </c>
      <c r="J106" s="8" t="str">
        <f t="shared" si="3"/>
        <v>Mar</v>
      </c>
      <c r="K106" s="8">
        <f t="shared" si="4"/>
        <v>3</v>
      </c>
      <c r="L106" s="8">
        <f t="shared" si="5"/>
        <v>3</v>
      </c>
    </row>
    <row r="107" spans="1:12" x14ac:dyDescent="0.3">
      <c r="A107" s="10">
        <v>45365</v>
      </c>
      <c r="B107" s="11">
        <v>45365.418197233797</v>
      </c>
      <c r="C107" s="12">
        <f t="shared" si="0"/>
        <v>10</v>
      </c>
      <c r="D107" s="12" t="s">
        <v>27</v>
      </c>
      <c r="E107" s="12"/>
      <c r="F107" s="13">
        <v>40</v>
      </c>
      <c r="G107" s="12" t="s">
        <v>13</v>
      </c>
      <c r="H107" s="12" t="str">
        <f t="shared" si="1"/>
        <v>Morning</v>
      </c>
      <c r="I107" s="12" t="str">
        <f t="shared" si="2"/>
        <v>Thu</v>
      </c>
      <c r="J107" s="12" t="str">
        <f t="shared" si="3"/>
        <v>Mar</v>
      </c>
      <c r="K107" s="12">
        <f t="shared" si="4"/>
        <v>4</v>
      </c>
      <c r="L107" s="12">
        <f t="shared" si="5"/>
        <v>3</v>
      </c>
    </row>
    <row r="108" spans="1:12" x14ac:dyDescent="0.3">
      <c r="A108" s="6">
        <v>45365</v>
      </c>
      <c r="B108" s="7">
        <v>45365.436493252317</v>
      </c>
      <c r="C108" s="8">
        <f t="shared" si="0"/>
        <v>10</v>
      </c>
      <c r="D108" s="8" t="s">
        <v>4</v>
      </c>
      <c r="E108" s="8" t="s">
        <v>75</v>
      </c>
      <c r="F108" s="9">
        <v>38.700000000000003</v>
      </c>
      <c r="G108" s="8" t="s">
        <v>13</v>
      </c>
      <c r="H108" s="8" t="str">
        <f t="shared" si="1"/>
        <v>Morning</v>
      </c>
      <c r="I108" s="8" t="str">
        <f t="shared" si="2"/>
        <v>Thu</v>
      </c>
      <c r="J108" s="8" t="str">
        <f t="shared" si="3"/>
        <v>Mar</v>
      </c>
      <c r="K108" s="8">
        <f t="shared" si="4"/>
        <v>4</v>
      </c>
      <c r="L108" s="8">
        <f t="shared" si="5"/>
        <v>3</v>
      </c>
    </row>
    <row r="109" spans="1:12" x14ac:dyDescent="0.3">
      <c r="A109" s="10">
        <v>45365</v>
      </c>
      <c r="B109" s="11">
        <v>45365.437202349538</v>
      </c>
      <c r="C109" s="12">
        <f t="shared" si="0"/>
        <v>10</v>
      </c>
      <c r="D109" s="12" t="s">
        <v>4</v>
      </c>
      <c r="E109" s="12" t="s">
        <v>75</v>
      </c>
      <c r="F109" s="13">
        <v>38.700000000000003</v>
      </c>
      <c r="G109" s="12" t="s">
        <v>15</v>
      </c>
      <c r="H109" s="12" t="str">
        <f t="shared" si="1"/>
        <v>Morning</v>
      </c>
      <c r="I109" s="12" t="str">
        <f t="shared" si="2"/>
        <v>Thu</v>
      </c>
      <c r="J109" s="12" t="str">
        <f t="shared" si="3"/>
        <v>Mar</v>
      </c>
      <c r="K109" s="12">
        <f t="shared" si="4"/>
        <v>4</v>
      </c>
      <c r="L109" s="12">
        <f t="shared" si="5"/>
        <v>3</v>
      </c>
    </row>
    <row r="110" spans="1:12" x14ac:dyDescent="0.3">
      <c r="A110" s="6">
        <v>45365</v>
      </c>
      <c r="B110" s="7">
        <v>45365.560758518521</v>
      </c>
      <c r="C110" s="8">
        <f t="shared" si="0"/>
        <v>13</v>
      </c>
      <c r="D110" s="8" t="s">
        <v>4</v>
      </c>
      <c r="E110" s="8" t="s">
        <v>29</v>
      </c>
      <c r="F110" s="9">
        <v>28.9</v>
      </c>
      <c r="G110" s="8" t="s">
        <v>34</v>
      </c>
      <c r="H110" s="8" t="str">
        <f t="shared" si="1"/>
        <v>Afternoon</v>
      </c>
      <c r="I110" s="8" t="str">
        <f t="shared" si="2"/>
        <v>Thu</v>
      </c>
      <c r="J110" s="8" t="str">
        <f t="shared" si="3"/>
        <v>Mar</v>
      </c>
      <c r="K110" s="8">
        <f t="shared" si="4"/>
        <v>4</v>
      </c>
      <c r="L110" s="8">
        <f t="shared" si="5"/>
        <v>3</v>
      </c>
    </row>
    <row r="111" spans="1:12" x14ac:dyDescent="0.3">
      <c r="A111" s="10">
        <v>45365</v>
      </c>
      <c r="B111" s="11">
        <v>45365.561394988428</v>
      </c>
      <c r="C111" s="12">
        <f t="shared" si="0"/>
        <v>13</v>
      </c>
      <c r="D111" s="12" t="s">
        <v>4</v>
      </c>
      <c r="E111" s="12" t="s">
        <v>29</v>
      </c>
      <c r="F111" s="13">
        <v>28.9</v>
      </c>
      <c r="G111" s="12" t="s">
        <v>17</v>
      </c>
      <c r="H111" s="12" t="str">
        <f t="shared" si="1"/>
        <v>Afternoon</v>
      </c>
      <c r="I111" s="12" t="str">
        <f t="shared" si="2"/>
        <v>Thu</v>
      </c>
      <c r="J111" s="12" t="str">
        <f t="shared" si="3"/>
        <v>Mar</v>
      </c>
      <c r="K111" s="12">
        <f t="shared" si="4"/>
        <v>4</v>
      </c>
      <c r="L111" s="12">
        <f t="shared" si="5"/>
        <v>3</v>
      </c>
    </row>
    <row r="112" spans="1:12" x14ac:dyDescent="0.3">
      <c r="A112" s="6">
        <v>45365</v>
      </c>
      <c r="B112" s="7">
        <v>45365.577776678241</v>
      </c>
      <c r="C112" s="8">
        <f t="shared" si="0"/>
        <v>13</v>
      </c>
      <c r="D112" s="8" t="s">
        <v>4</v>
      </c>
      <c r="E112" s="8" t="s">
        <v>76</v>
      </c>
      <c r="F112" s="9">
        <v>33.799999999999997</v>
      </c>
      <c r="G112" s="8" t="s">
        <v>20</v>
      </c>
      <c r="H112" s="8" t="str">
        <f t="shared" si="1"/>
        <v>Afternoon</v>
      </c>
      <c r="I112" s="8" t="str">
        <f t="shared" si="2"/>
        <v>Thu</v>
      </c>
      <c r="J112" s="8" t="str">
        <f t="shared" si="3"/>
        <v>Mar</v>
      </c>
      <c r="K112" s="8">
        <f t="shared" si="4"/>
        <v>4</v>
      </c>
      <c r="L112" s="8">
        <f t="shared" si="5"/>
        <v>3</v>
      </c>
    </row>
    <row r="113" spans="1:12" x14ac:dyDescent="0.3">
      <c r="A113" s="10">
        <v>45365</v>
      </c>
      <c r="B113" s="11">
        <v>45365.578428796296</v>
      </c>
      <c r="C113" s="12">
        <f t="shared" si="0"/>
        <v>13</v>
      </c>
      <c r="D113" s="12" t="s">
        <v>4</v>
      </c>
      <c r="E113" s="12" t="s">
        <v>77</v>
      </c>
      <c r="F113" s="13">
        <v>24</v>
      </c>
      <c r="G113" s="12" t="s">
        <v>41</v>
      </c>
      <c r="H113" s="12" t="str">
        <f t="shared" si="1"/>
        <v>Afternoon</v>
      </c>
      <c r="I113" s="12" t="str">
        <f t="shared" si="2"/>
        <v>Thu</v>
      </c>
      <c r="J113" s="12" t="str">
        <f t="shared" si="3"/>
        <v>Mar</v>
      </c>
      <c r="K113" s="12">
        <f t="shared" si="4"/>
        <v>4</v>
      </c>
      <c r="L113" s="12">
        <f t="shared" si="5"/>
        <v>3</v>
      </c>
    </row>
    <row r="114" spans="1:12" x14ac:dyDescent="0.3">
      <c r="A114" s="6">
        <v>45365</v>
      </c>
      <c r="B114" s="7">
        <v>45365.639332951388</v>
      </c>
      <c r="C114" s="8">
        <f t="shared" si="0"/>
        <v>15</v>
      </c>
      <c r="D114" s="8" t="s">
        <v>4</v>
      </c>
      <c r="E114" s="8" t="s">
        <v>78</v>
      </c>
      <c r="F114" s="9">
        <v>38.700000000000003</v>
      </c>
      <c r="G114" s="8" t="s">
        <v>13</v>
      </c>
      <c r="H114" s="8" t="str">
        <f t="shared" si="1"/>
        <v>Afternoon</v>
      </c>
      <c r="I114" s="8" t="str">
        <f t="shared" si="2"/>
        <v>Thu</v>
      </c>
      <c r="J114" s="8" t="str">
        <f t="shared" si="3"/>
        <v>Mar</v>
      </c>
      <c r="K114" s="8">
        <f t="shared" si="4"/>
        <v>4</v>
      </c>
      <c r="L114" s="8">
        <f t="shared" si="5"/>
        <v>3</v>
      </c>
    </row>
    <row r="115" spans="1:12" x14ac:dyDescent="0.3">
      <c r="A115" s="10">
        <v>45365</v>
      </c>
      <c r="B115" s="11">
        <v>45365.669554467589</v>
      </c>
      <c r="C115" s="12">
        <f t="shared" si="0"/>
        <v>16</v>
      </c>
      <c r="D115" s="12" t="s">
        <v>4</v>
      </c>
      <c r="E115" s="12" t="s">
        <v>79</v>
      </c>
      <c r="F115" s="13">
        <v>33.799999999999997</v>
      </c>
      <c r="G115" s="12" t="s">
        <v>20</v>
      </c>
      <c r="H115" s="12" t="str">
        <f t="shared" si="1"/>
        <v>Afternoon</v>
      </c>
      <c r="I115" s="12" t="str">
        <f t="shared" si="2"/>
        <v>Thu</v>
      </c>
      <c r="J115" s="12" t="str">
        <f t="shared" si="3"/>
        <v>Mar</v>
      </c>
      <c r="K115" s="12">
        <f t="shared" si="4"/>
        <v>4</v>
      </c>
      <c r="L115" s="12">
        <f t="shared" si="5"/>
        <v>3</v>
      </c>
    </row>
    <row r="116" spans="1:12" x14ac:dyDescent="0.3">
      <c r="A116" s="6">
        <v>45365</v>
      </c>
      <c r="B116" s="7">
        <v>45365.704608819447</v>
      </c>
      <c r="C116" s="8">
        <f t="shared" si="0"/>
        <v>16</v>
      </c>
      <c r="D116" s="8" t="s">
        <v>4</v>
      </c>
      <c r="E116" s="8" t="s">
        <v>70</v>
      </c>
      <c r="F116" s="9">
        <v>24</v>
      </c>
      <c r="G116" s="8" t="s">
        <v>41</v>
      </c>
      <c r="H116" s="8" t="str">
        <f t="shared" si="1"/>
        <v>Afternoon</v>
      </c>
      <c r="I116" s="8" t="str">
        <f t="shared" si="2"/>
        <v>Thu</v>
      </c>
      <c r="J116" s="8" t="str">
        <f t="shared" si="3"/>
        <v>Mar</v>
      </c>
      <c r="K116" s="8">
        <f t="shared" si="4"/>
        <v>4</v>
      </c>
      <c r="L116" s="8">
        <f t="shared" si="5"/>
        <v>3</v>
      </c>
    </row>
    <row r="117" spans="1:12" x14ac:dyDescent="0.3">
      <c r="A117" s="10">
        <v>45365</v>
      </c>
      <c r="B117" s="11">
        <v>45365.790924236113</v>
      </c>
      <c r="C117" s="12">
        <f t="shared" si="0"/>
        <v>18</v>
      </c>
      <c r="D117" s="12" t="s">
        <v>4</v>
      </c>
      <c r="E117" s="12" t="s">
        <v>37</v>
      </c>
      <c r="F117" s="13">
        <v>38.700000000000003</v>
      </c>
      <c r="G117" s="12" t="s">
        <v>15</v>
      </c>
      <c r="H117" s="12" t="str">
        <f t="shared" si="1"/>
        <v>Night</v>
      </c>
      <c r="I117" s="12" t="str">
        <f t="shared" si="2"/>
        <v>Thu</v>
      </c>
      <c r="J117" s="12" t="str">
        <f t="shared" si="3"/>
        <v>Mar</v>
      </c>
      <c r="K117" s="12">
        <f t="shared" si="4"/>
        <v>4</v>
      </c>
      <c r="L117" s="12">
        <f t="shared" si="5"/>
        <v>3</v>
      </c>
    </row>
    <row r="118" spans="1:12" x14ac:dyDescent="0.3">
      <c r="A118" s="6">
        <v>45365</v>
      </c>
      <c r="B118" s="7">
        <v>45365.791766932867</v>
      </c>
      <c r="C118" s="8">
        <f t="shared" si="0"/>
        <v>19</v>
      </c>
      <c r="D118" s="8" t="s">
        <v>4</v>
      </c>
      <c r="E118" s="8" t="s">
        <v>29</v>
      </c>
      <c r="F118" s="9">
        <v>28.9</v>
      </c>
      <c r="G118" s="8" t="s">
        <v>34</v>
      </c>
      <c r="H118" s="8" t="str">
        <f t="shared" si="1"/>
        <v>Night</v>
      </c>
      <c r="I118" s="8" t="str">
        <f t="shared" si="2"/>
        <v>Thu</v>
      </c>
      <c r="J118" s="8" t="str">
        <f t="shared" si="3"/>
        <v>Mar</v>
      </c>
      <c r="K118" s="8">
        <f t="shared" si="4"/>
        <v>4</v>
      </c>
      <c r="L118" s="8">
        <f t="shared" si="5"/>
        <v>3</v>
      </c>
    </row>
    <row r="119" spans="1:12" x14ac:dyDescent="0.3">
      <c r="A119" s="10">
        <v>45366</v>
      </c>
      <c r="B119" s="11">
        <v>45366.418246909721</v>
      </c>
      <c r="C119" s="12">
        <f t="shared" si="0"/>
        <v>10</v>
      </c>
      <c r="D119" s="12" t="s">
        <v>27</v>
      </c>
      <c r="E119" s="12"/>
      <c r="F119" s="13">
        <v>40</v>
      </c>
      <c r="G119" s="12" t="s">
        <v>13</v>
      </c>
      <c r="H119" s="12" t="str">
        <f t="shared" si="1"/>
        <v>Morning</v>
      </c>
      <c r="I119" s="12" t="str">
        <f t="shared" si="2"/>
        <v>Fri</v>
      </c>
      <c r="J119" s="12" t="str">
        <f t="shared" si="3"/>
        <v>Mar</v>
      </c>
      <c r="K119" s="12">
        <f t="shared" si="4"/>
        <v>5</v>
      </c>
      <c r="L119" s="12">
        <f t="shared" si="5"/>
        <v>3</v>
      </c>
    </row>
    <row r="120" spans="1:12" x14ac:dyDescent="0.3">
      <c r="A120" s="6">
        <v>45366</v>
      </c>
      <c r="B120" s="7">
        <v>45366.453497453702</v>
      </c>
      <c r="C120" s="8">
        <f t="shared" si="0"/>
        <v>10</v>
      </c>
      <c r="D120" s="8" t="s">
        <v>4</v>
      </c>
      <c r="E120" s="8" t="s">
        <v>80</v>
      </c>
      <c r="F120" s="9">
        <v>38.700000000000003</v>
      </c>
      <c r="G120" s="8" t="s">
        <v>15</v>
      </c>
      <c r="H120" s="8" t="str">
        <f t="shared" si="1"/>
        <v>Morning</v>
      </c>
      <c r="I120" s="8" t="str">
        <f t="shared" si="2"/>
        <v>Fri</v>
      </c>
      <c r="J120" s="8" t="str">
        <f t="shared" si="3"/>
        <v>Mar</v>
      </c>
      <c r="K120" s="8">
        <f t="shared" si="4"/>
        <v>5</v>
      </c>
      <c r="L120" s="8">
        <f t="shared" si="5"/>
        <v>3</v>
      </c>
    </row>
    <row r="121" spans="1:12" x14ac:dyDescent="0.3">
      <c r="A121" s="10">
        <v>45366</v>
      </c>
      <c r="B121" s="11">
        <v>45366.763517615742</v>
      </c>
      <c r="C121" s="12">
        <f t="shared" si="0"/>
        <v>18</v>
      </c>
      <c r="D121" s="12" t="s">
        <v>4</v>
      </c>
      <c r="E121" s="12" t="s">
        <v>29</v>
      </c>
      <c r="F121" s="13">
        <v>28.9</v>
      </c>
      <c r="G121" s="12" t="s">
        <v>17</v>
      </c>
      <c r="H121" s="12" t="str">
        <f t="shared" si="1"/>
        <v>Night</v>
      </c>
      <c r="I121" s="12" t="str">
        <f t="shared" si="2"/>
        <v>Fri</v>
      </c>
      <c r="J121" s="12" t="str">
        <f t="shared" si="3"/>
        <v>Mar</v>
      </c>
      <c r="K121" s="12">
        <f t="shared" si="4"/>
        <v>5</v>
      </c>
      <c r="L121" s="12">
        <f t="shared" si="5"/>
        <v>3</v>
      </c>
    </row>
    <row r="122" spans="1:12" x14ac:dyDescent="0.3">
      <c r="A122" s="6">
        <v>45367</v>
      </c>
      <c r="B122" s="7">
        <v>45367.504805659722</v>
      </c>
      <c r="C122" s="8">
        <f t="shared" si="0"/>
        <v>12</v>
      </c>
      <c r="D122" s="8" t="s">
        <v>4</v>
      </c>
      <c r="E122" s="8" t="s">
        <v>81</v>
      </c>
      <c r="F122" s="9">
        <v>33.799999999999997</v>
      </c>
      <c r="G122" s="8" t="s">
        <v>20</v>
      </c>
      <c r="H122" s="8" t="str">
        <f t="shared" si="1"/>
        <v>Afternoon</v>
      </c>
      <c r="I122" s="8" t="str">
        <f t="shared" si="2"/>
        <v>Sat</v>
      </c>
      <c r="J122" s="8" t="str">
        <f t="shared" si="3"/>
        <v>Mar</v>
      </c>
      <c r="K122" s="8">
        <f t="shared" si="4"/>
        <v>6</v>
      </c>
      <c r="L122" s="8">
        <f t="shared" si="5"/>
        <v>3</v>
      </c>
    </row>
    <row r="123" spans="1:12" x14ac:dyDescent="0.3">
      <c r="A123" s="10">
        <v>45367</v>
      </c>
      <c r="B123" s="11">
        <v>45367.505485127316</v>
      </c>
      <c r="C123" s="12">
        <f t="shared" si="0"/>
        <v>12</v>
      </c>
      <c r="D123" s="12" t="s">
        <v>4</v>
      </c>
      <c r="E123" s="12" t="s">
        <v>81</v>
      </c>
      <c r="F123" s="13">
        <v>28.9</v>
      </c>
      <c r="G123" s="12" t="s">
        <v>17</v>
      </c>
      <c r="H123" s="12" t="str">
        <f t="shared" si="1"/>
        <v>Afternoon</v>
      </c>
      <c r="I123" s="12" t="str">
        <f t="shared" si="2"/>
        <v>Sat</v>
      </c>
      <c r="J123" s="12" t="str">
        <f t="shared" si="3"/>
        <v>Mar</v>
      </c>
      <c r="K123" s="12">
        <f t="shared" si="4"/>
        <v>6</v>
      </c>
      <c r="L123" s="12">
        <f t="shared" si="5"/>
        <v>3</v>
      </c>
    </row>
    <row r="124" spans="1:12" x14ac:dyDescent="0.3">
      <c r="A124" s="6">
        <v>45367</v>
      </c>
      <c r="B124" s="7">
        <v>45367.665491412037</v>
      </c>
      <c r="C124" s="8">
        <f t="shared" si="0"/>
        <v>15</v>
      </c>
      <c r="D124" s="8" t="s">
        <v>4</v>
      </c>
      <c r="E124" s="8" t="s">
        <v>25</v>
      </c>
      <c r="F124" s="9">
        <v>28.9</v>
      </c>
      <c r="G124" s="8" t="s">
        <v>34</v>
      </c>
      <c r="H124" s="8" t="str">
        <f t="shared" si="1"/>
        <v>Afternoon</v>
      </c>
      <c r="I124" s="8" t="str">
        <f t="shared" si="2"/>
        <v>Sat</v>
      </c>
      <c r="J124" s="8" t="str">
        <f t="shared" si="3"/>
        <v>Mar</v>
      </c>
      <c r="K124" s="8">
        <f t="shared" si="4"/>
        <v>6</v>
      </c>
      <c r="L124" s="8">
        <f t="shared" si="5"/>
        <v>3</v>
      </c>
    </row>
    <row r="125" spans="1:12" x14ac:dyDescent="0.3">
      <c r="A125" s="10">
        <v>45367</v>
      </c>
      <c r="B125" s="11">
        <v>45367.66900159722</v>
      </c>
      <c r="C125" s="12">
        <f t="shared" si="0"/>
        <v>16</v>
      </c>
      <c r="D125" s="12" t="s">
        <v>4</v>
      </c>
      <c r="E125" s="12" t="s">
        <v>25</v>
      </c>
      <c r="F125" s="13">
        <v>28.9</v>
      </c>
      <c r="G125" s="12" t="s">
        <v>34</v>
      </c>
      <c r="H125" s="12" t="str">
        <f t="shared" si="1"/>
        <v>Afternoon</v>
      </c>
      <c r="I125" s="12" t="str">
        <f t="shared" si="2"/>
        <v>Sat</v>
      </c>
      <c r="J125" s="12" t="str">
        <f t="shared" si="3"/>
        <v>Mar</v>
      </c>
      <c r="K125" s="12">
        <f t="shared" si="4"/>
        <v>6</v>
      </c>
      <c r="L125" s="12">
        <f t="shared" si="5"/>
        <v>3</v>
      </c>
    </row>
    <row r="126" spans="1:12" x14ac:dyDescent="0.3">
      <c r="A126" s="6">
        <v>45367</v>
      </c>
      <c r="B126" s="7">
        <v>45367.669576898152</v>
      </c>
      <c r="C126" s="8">
        <f t="shared" si="0"/>
        <v>16</v>
      </c>
      <c r="D126" s="8" t="s">
        <v>4</v>
      </c>
      <c r="E126" s="8" t="s">
        <v>29</v>
      </c>
      <c r="F126" s="9">
        <v>28.9</v>
      </c>
      <c r="G126" s="8" t="s">
        <v>34</v>
      </c>
      <c r="H126" s="8" t="str">
        <f t="shared" si="1"/>
        <v>Afternoon</v>
      </c>
      <c r="I126" s="8" t="str">
        <f t="shared" si="2"/>
        <v>Sat</v>
      </c>
      <c r="J126" s="8" t="str">
        <f t="shared" si="3"/>
        <v>Mar</v>
      </c>
      <c r="K126" s="8">
        <f t="shared" si="4"/>
        <v>6</v>
      </c>
      <c r="L126" s="8">
        <f t="shared" si="5"/>
        <v>3</v>
      </c>
    </row>
    <row r="127" spans="1:12" x14ac:dyDescent="0.3">
      <c r="A127" s="10">
        <v>45367</v>
      </c>
      <c r="B127" s="11">
        <v>45367.748694918984</v>
      </c>
      <c r="C127" s="12">
        <f t="shared" si="0"/>
        <v>17</v>
      </c>
      <c r="D127" s="12" t="s">
        <v>4</v>
      </c>
      <c r="E127" s="12" t="s">
        <v>82</v>
      </c>
      <c r="F127" s="13">
        <v>33.799999999999997</v>
      </c>
      <c r="G127" s="12" t="s">
        <v>20</v>
      </c>
      <c r="H127" s="12" t="str">
        <f t="shared" si="1"/>
        <v>Night</v>
      </c>
      <c r="I127" s="12" t="str">
        <f t="shared" si="2"/>
        <v>Sat</v>
      </c>
      <c r="J127" s="12" t="str">
        <f t="shared" si="3"/>
        <v>Mar</v>
      </c>
      <c r="K127" s="12">
        <f t="shared" si="4"/>
        <v>6</v>
      </c>
      <c r="L127" s="12">
        <f t="shared" si="5"/>
        <v>3</v>
      </c>
    </row>
    <row r="128" spans="1:12" x14ac:dyDescent="0.3">
      <c r="A128" s="6">
        <v>45368</v>
      </c>
      <c r="B128" s="7">
        <v>45368.423858784721</v>
      </c>
      <c r="C128" s="8">
        <f t="shared" si="0"/>
        <v>10</v>
      </c>
      <c r="D128" s="8" t="s">
        <v>27</v>
      </c>
      <c r="E128" s="8"/>
      <c r="F128" s="9">
        <v>40</v>
      </c>
      <c r="G128" s="8" t="s">
        <v>13</v>
      </c>
      <c r="H128" s="8" t="str">
        <f t="shared" si="1"/>
        <v>Morning</v>
      </c>
      <c r="I128" s="8" t="str">
        <f t="shared" si="2"/>
        <v>Sun</v>
      </c>
      <c r="J128" s="8" t="str">
        <f t="shared" si="3"/>
        <v>Mar</v>
      </c>
      <c r="K128" s="8">
        <f t="shared" si="4"/>
        <v>7</v>
      </c>
      <c r="L128" s="8">
        <f t="shared" si="5"/>
        <v>3</v>
      </c>
    </row>
    <row r="129" spans="1:12" x14ac:dyDescent="0.3">
      <c r="A129" s="10">
        <v>45368</v>
      </c>
      <c r="B129" s="11">
        <v>45368.538496122688</v>
      </c>
      <c r="C129" s="12">
        <f t="shared" si="0"/>
        <v>12</v>
      </c>
      <c r="D129" s="12" t="s">
        <v>4</v>
      </c>
      <c r="E129" s="12" t="s">
        <v>83</v>
      </c>
      <c r="F129" s="13">
        <v>28.9</v>
      </c>
      <c r="G129" s="12" t="s">
        <v>34</v>
      </c>
      <c r="H129" s="12" t="str">
        <f t="shared" si="1"/>
        <v>Afternoon</v>
      </c>
      <c r="I129" s="12" t="str">
        <f t="shared" si="2"/>
        <v>Sun</v>
      </c>
      <c r="J129" s="12" t="str">
        <f t="shared" si="3"/>
        <v>Mar</v>
      </c>
      <c r="K129" s="12">
        <f t="shared" si="4"/>
        <v>7</v>
      </c>
      <c r="L129" s="12">
        <f t="shared" si="5"/>
        <v>3</v>
      </c>
    </row>
    <row r="130" spans="1:12" x14ac:dyDescent="0.3">
      <c r="A130" s="6">
        <v>45369</v>
      </c>
      <c r="B130" s="7">
        <v>45369.47082952546</v>
      </c>
      <c r="C130" s="8">
        <f t="shared" si="0"/>
        <v>11</v>
      </c>
      <c r="D130" s="8" t="s">
        <v>4</v>
      </c>
      <c r="E130" s="8" t="s">
        <v>84</v>
      </c>
      <c r="F130" s="9">
        <v>28.9</v>
      </c>
      <c r="G130" s="8" t="s">
        <v>34</v>
      </c>
      <c r="H130" s="8" t="str">
        <f t="shared" si="1"/>
        <v>Morning</v>
      </c>
      <c r="I130" s="8" t="str">
        <f t="shared" si="2"/>
        <v>Mon</v>
      </c>
      <c r="J130" s="8" t="str">
        <f t="shared" si="3"/>
        <v>Mar</v>
      </c>
      <c r="K130" s="8">
        <f t="shared" si="4"/>
        <v>1</v>
      </c>
      <c r="L130" s="8">
        <f t="shared" si="5"/>
        <v>3</v>
      </c>
    </row>
    <row r="131" spans="1:12" x14ac:dyDescent="0.3">
      <c r="A131" s="10">
        <v>45369</v>
      </c>
      <c r="B131" s="11">
        <v>45369.64698755787</v>
      </c>
      <c r="C131" s="12">
        <f t="shared" si="0"/>
        <v>15</v>
      </c>
      <c r="D131" s="12" t="s">
        <v>4</v>
      </c>
      <c r="E131" s="12" t="s">
        <v>16</v>
      </c>
      <c r="F131" s="13">
        <v>28.9</v>
      </c>
      <c r="G131" s="12" t="s">
        <v>17</v>
      </c>
      <c r="H131" s="12" t="str">
        <f t="shared" si="1"/>
        <v>Afternoon</v>
      </c>
      <c r="I131" s="12" t="str">
        <f t="shared" si="2"/>
        <v>Mon</v>
      </c>
      <c r="J131" s="12" t="str">
        <f t="shared" si="3"/>
        <v>Mar</v>
      </c>
      <c r="K131" s="12">
        <f t="shared" si="4"/>
        <v>1</v>
      </c>
      <c r="L131" s="12">
        <f t="shared" si="5"/>
        <v>3</v>
      </c>
    </row>
    <row r="132" spans="1:12" x14ac:dyDescent="0.3">
      <c r="A132" s="6">
        <v>45369</v>
      </c>
      <c r="B132" s="7">
        <v>45369.64766480324</v>
      </c>
      <c r="C132" s="8">
        <f t="shared" si="0"/>
        <v>15</v>
      </c>
      <c r="D132" s="8" t="s">
        <v>4</v>
      </c>
      <c r="E132" s="8" t="s">
        <v>16</v>
      </c>
      <c r="F132" s="9">
        <v>28.9</v>
      </c>
      <c r="G132" s="8" t="s">
        <v>17</v>
      </c>
      <c r="H132" s="8" t="str">
        <f t="shared" si="1"/>
        <v>Afternoon</v>
      </c>
      <c r="I132" s="8" t="str">
        <f t="shared" si="2"/>
        <v>Mon</v>
      </c>
      <c r="J132" s="8" t="str">
        <f t="shared" si="3"/>
        <v>Mar</v>
      </c>
      <c r="K132" s="8">
        <f t="shared" si="4"/>
        <v>1</v>
      </c>
      <c r="L132" s="8">
        <f t="shared" si="5"/>
        <v>3</v>
      </c>
    </row>
    <row r="133" spans="1:12" x14ac:dyDescent="0.3">
      <c r="A133" s="10">
        <v>45369</v>
      </c>
      <c r="B133" s="11">
        <v>45369.648341527776</v>
      </c>
      <c r="C133" s="12">
        <f t="shared" si="0"/>
        <v>15</v>
      </c>
      <c r="D133" s="12" t="s">
        <v>4</v>
      </c>
      <c r="E133" s="12" t="s">
        <v>16</v>
      </c>
      <c r="F133" s="13">
        <v>28.9</v>
      </c>
      <c r="G133" s="12" t="s">
        <v>17</v>
      </c>
      <c r="H133" s="12" t="str">
        <f t="shared" si="1"/>
        <v>Afternoon</v>
      </c>
      <c r="I133" s="12" t="str">
        <f t="shared" si="2"/>
        <v>Mon</v>
      </c>
      <c r="J133" s="12" t="str">
        <f t="shared" si="3"/>
        <v>Mar</v>
      </c>
      <c r="K133" s="12">
        <f t="shared" si="4"/>
        <v>1</v>
      </c>
      <c r="L133" s="12">
        <f t="shared" si="5"/>
        <v>3</v>
      </c>
    </row>
    <row r="134" spans="1:12" x14ac:dyDescent="0.3">
      <c r="A134" s="6">
        <v>45370</v>
      </c>
      <c r="B134" s="7">
        <v>45370.430856435189</v>
      </c>
      <c r="C134" s="8">
        <f t="shared" si="0"/>
        <v>10</v>
      </c>
      <c r="D134" s="8" t="s">
        <v>27</v>
      </c>
      <c r="E134" s="8"/>
      <c r="F134" s="9">
        <v>30</v>
      </c>
      <c r="G134" s="8" t="s">
        <v>34</v>
      </c>
      <c r="H134" s="8" t="str">
        <f t="shared" si="1"/>
        <v>Morning</v>
      </c>
      <c r="I134" s="8" t="str">
        <f t="shared" si="2"/>
        <v>Tue</v>
      </c>
      <c r="J134" s="8" t="str">
        <f t="shared" si="3"/>
        <v>Mar</v>
      </c>
      <c r="K134" s="8">
        <f t="shared" si="4"/>
        <v>2</v>
      </c>
      <c r="L134" s="8">
        <f t="shared" si="5"/>
        <v>3</v>
      </c>
    </row>
    <row r="135" spans="1:12" x14ac:dyDescent="0.3">
      <c r="A135" s="10">
        <v>45370</v>
      </c>
      <c r="B135" s="11">
        <v>45370.584971481483</v>
      </c>
      <c r="C135" s="12">
        <f t="shared" si="0"/>
        <v>14</v>
      </c>
      <c r="D135" s="12" t="s">
        <v>4</v>
      </c>
      <c r="E135" s="12" t="s">
        <v>85</v>
      </c>
      <c r="F135" s="13">
        <v>38.700000000000003</v>
      </c>
      <c r="G135" s="12" t="s">
        <v>13</v>
      </c>
      <c r="H135" s="12" t="str">
        <f t="shared" si="1"/>
        <v>Afternoon</v>
      </c>
      <c r="I135" s="12" t="str">
        <f t="shared" si="2"/>
        <v>Tue</v>
      </c>
      <c r="J135" s="12" t="str">
        <f t="shared" si="3"/>
        <v>Mar</v>
      </c>
      <c r="K135" s="12">
        <f t="shared" si="4"/>
        <v>2</v>
      </c>
      <c r="L135" s="12">
        <f t="shared" si="5"/>
        <v>3</v>
      </c>
    </row>
    <row r="136" spans="1:12" x14ac:dyDescent="0.3">
      <c r="A136" s="6">
        <v>45370</v>
      </c>
      <c r="B136" s="7">
        <v>45370.58564542824</v>
      </c>
      <c r="C136" s="8">
        <f t="shared" si="0"/>
        <v>14</v>
      </c>
      <c r="D136" s="8" t="s">
        <v>4</v>
      </c>
      <c r="E136" s="8" t="s">
        <v>85</v>
      </c>
      <c r="F136" s="9">
        <v>38.700000000000003</v>
      </c>
      <c r="G136" s="8" t="s">
        <v>13</v>
      </c>
      <c r="H136" s="8" t="str">
        <f t="shared" si="1"/>
        <v>Afternoon</v>
      </c>
      <c r="I136" s="8" t="str">
        <f t="shared" si="2"/>
        <v>Tue</v>
      </c>
      <c r="J136" s="8" t="str">
        <f t="shared" si="3"/>
        <v>Mar</v>
      </c>
      <c r="K136" s="8">
        <f t="shared" si="4"/>
        <v>2</v>
      </c>
      <c r="L136" s="8">
        <f t="shared" si="5"/>
        <v>3</v>
      </c>
    </row>
    <row r="137" spans="1:12" x14ac:dyDescent="0.3">
      <c r="A137" s="10">
        <v>45370</v>
      </c>
      <c r="B137" s="11">
        <v>45370.628198020837</v>
      </c>
      <c r="C137" s="12">
        <f t="shared" si="0"/>
        <v>15</v>
      </c>
      <c r="D137" s="12" t="s">
        <v>4</v>
      </c>
      <c r="E137" s="12" t="s">
        <v>69</v>
      </c>
      <c r="F137" s="13">
        <v>38.700000000000003</v>
      </c>
      <c r="G137" s="12" t="s">
        <v>15</v>
      </c>
      <c r="H137" s="12" t="str">
        <f t="shared" si="1"/>
        <v>Afternoon</v>
      </c>
      <c r="I137" s="12" t="str">
        <f t="shared" si="2"/>
        <v>Tue</v>
      </c>
      <c r="J137" s="12" t="str">
        <f t="shared" si="3"/>
        <v>Mar</v>
      </c>
      <c r="K137" s="12">
        <f t="shared" si="4"/>
        <v>2</v>
      </c>
      <c r="L137" s="12">
        <f t="shared" si="5"/>
        <v>3</v>
      </c>
    </row>
    <row r="138" spans="1:12" x14ac:dyDescent="0.3">
      <c r="A138" s="6">
        <v>45370</v>
      </c>
      <c r="B138" s="7">
        <v>45370.704035949071</v>
      </c>
      <c r="C138" s="8">
        <f t="shared" si="0"/>
        <v>16</v>
      </c>
      <c r="D138" s="8" t="s">
        <v>4</v>
      </c>
      <c r="E138" s="8" t="s">
        <v>86</v>
      </c>
      <c r="F138" s="9">
        <v>33.799999999999997</v>
      </c>
      <c r="G138" s="8" t="s">
        <v>20</v>
      </c>
      <c r="H138" s="8" t="str">
        <f t="shared" si="1"/>
        <v>Afternoon</v>
      </c>
      <c r="I138" s="8" t="str">
        <f t="shared" si="2"/>
        <v>Tue</v>
      </c>
      <c r="J138" s="8" t="str">
        <f t="shared" si="3"/>
        <v>Mar</v>
      </c>
      <c r="K138" s="8">
        <f t="shared" si="4"/>
        <v>2</v>
      </c>
      <c r="L138" s="8">
        <f t="shared" si="5"/>
        <v>3</v>
      </c>
    </row>
    <row r="139" spans="1:12" x14ac:dyDescent="0.3">
      <c r="A139" s="10">
        <v>45370</v>
      </c>
      <c r="B139" s="11">
        <v>45370.810100428243</v>
      </c>
      <c r="C139" s="12">
        <f t="shared" si="0"/>
        <v>19</v>
      </c>
      <c r="D139" s="12" t="s">
        <v>27</v>
      </c>
      <c r="E139" s="12"/>
      <c r="F139" s="13">
        <v>40</v>
      </c>
      <c r="G139" s="12" t="s">
        <v>15</v>
      </c>
      <c r="H139" s="12" t="str">
        <f t="shared" si="1"/>
        <v>Night</v>
      </c>
      <c r="I139" s="12" t="str">
        <f t="shared" si="2"/>
        <v>Tue</v>
      </c>
      <c r="J139" s="12" t="str">
        <f t="shared" si="3"/>
        <v>Mar</v>
      </c>
      <c r="K139" s="12">
        <f t="shared" si="4"/>
        <v>2</v>
      </c>
      <c r="L139" s="12">
        <f t="shared" si="5"/>
        <v>3</v>
      </c>
    </row>
    <row r="140" spans="1:12" x14ac:dyDescent="0.3">
      <c r="A140" s="6">
        <v>45371</v>
      </c>
      <c r="B140" s="7">
        <v>45371.486995405096</v>
      </c>
      <c r="C140" s="8">
        <f t="shared" si="0"/>
        <v>11</v>
      </c>
      <c r="D140" s="8" t="s">
        <v>4</v>
      </c>
      <c r="E140" s="8" t="s">
        <v>29</v>
      </c>
      <c r="F140" s="9">
        <v>28.9</v>
      </c>
      <c r="G140" s="8" t="s">
        <v>34</v>
      </c>
      <c r="H140" s="8" t="str">
        <f t="shared" si="1"/>
        <v>Morning</v>
      </c>
      <c r="I140" s="8" t="str">
        <f t="shared" si="2"/>
        <v>Wed</v>
      </c>
      <c r="J140" s="8" t="str">
        <f t="shared" si="3"/>
        <v>Mar</v>
      </c>
      <c r="K140" s="8">
        <f t="shared" si="4"/>
        <v>3</v>
      </c>
      <c r="L140" s="8">
        <f t="shared" si="5"/>
        <v>3</v>
      </c>
    </row>
    <row r="141" spans="1:12" x14ac:dyDescent="0.3">
      <c r="A141" s="10">
        <v>45371</v>
      </c>
      <c r="B141" s="11">
        <v>45371.514672777776</v>
      </c>
      <c r="C141" s="12">
        <f t="shared" si="0"/>
        <v>12</v>
      </c>
      <c r="D141" s="12" t="s">
        <v>27</v>
      </c>
      <c r="E141" s="12"/>
      <c r="F141" s="13">
        <v>40</v>
      </c>
      <c r="G141" s="12" t="s">
        <v>13</v>
      </c>
      <c r="H141" s="12" t="str">
        <f t="shared" si="1"/>
        <v>Afternoon</v>
      </c>
      <c r="I141" s="12" t="str">
        <f t="shared" si="2"/>
        <v>Wed</v>
      </c>
      <c r="J141" s="12" t="str">
        <f t="shared" si="3"/>
        <v>Mar</v>
      </c>
      <c r="K141" s="12">
        <f t="shared" si="4"/>
        <v>3</v>
      </c>
      <c r="L141" s="12">
        <f t="shared" si="5"/>
        <v>3</v>
      </c>
    </row>
    <row r="142" spans="1:12" x14ac:dyDescent="0.3">
      <c r="A142" s="6">
        <v>45371</v>
      </c>
      <c r="B142" s="7">
        <v>45371.521400092592</v>
      </c>
      <c r="C142" s="8">
        <f t="shared" si="0"/>
        <v>12</v>
      </c>
      <c r="D142" s="8" t="s">
        <v>4</v>
      </c>
      <c r="E142" s="8" t="s">
        <v>69</v>
      </c>
      <c r="F142" s="9">
        <v>28.9</v>
      </c>
      <c r="G142" s="8" t="s">
        <v>34</v>
      </c>
      <c r="H142" s="8" t="str">
        <f t="shared" si="1"/>
        <v>Afternoon</v>
      </c>
      <c r="I142" s="8" t="str">
        <f t="shared" si="2"/>
        <v>Wed</v>
      </c>
      <c r="J142" s="8" t="str">
        <f t="shared" si="3"/>
        <v>Mar</v>
      </c>
      <c r="K142" s="8">
        <f t="shared" si="4"/>
        <v>3</v>
      </c>
      <c r="L142" s="8">
        <f t="shared" si="5"/>
        <v>3</v>
      </c>
    </row>
    <row r="143" spans="1:12" x14ac:dyDescent="0.3">
      <c r="A143" s="10">
        <v>45371</v>
      </c>
      <c r="B143" s="11">
        <v>45371.553326319445</v>
      </c>
      <c r="C143" s="12">
        <f t="shared" si="0"/>
        <v>13</v>
      </c>
      <c r="D143" s="12" t="s">
        <v>4</v>
      </c>
      <c r="E143" s="12" t="s">
        <v>87</v>
      </c>
      <c r="F143" s="13">
        <v>38.700000000000003</v>
      </c>
      <c r="G143" s="12" t="s">
        <v>49</v>
      </c>
      <c r="H143" s="12" t="str">
        <f t="shared" si="1"/>
        <v>Afternoon</v>
      </c>
      <c r="I143" s="12" t="str">
        <f t="shared" si="2"/>
        <v>Wed</v>
      </c>
      <c r="J143" s="12" t="str">
        <f t="shared" si="3"/>
        <v>Mar</v>
      </c>
      <c r="K143" s="12">
        <f t="shared" si="4"/>
        <v>3</v>
      </c>
      <c r="L143" s="12">
        <f t="shared" si="5"/>
        <v>3</v>
      </c>
    </row>
    <row r="144" spans="1:12" x14ac:dyDescent="0.3">
      <c r="A144" s="6">
        <v>45371</v>
      </c>
      <c r="B144" s="7">
        <v>45371.696274502312</v>
      </c>
      <c r="C144" s="8">
        <f t="shared" si="0"/>
        <v>16</v>
      </c>
      <c r="D144" s="8" t="s">
        <v>4</v>
      </c>
      <c r="E144" s="8" t="s">
        <v>70</v>
      </c>
      <c r="F144" s="9">
        <v>38.700000000000003</v>
      </c>
      <c r="G144" s="8" t="s">
        <v>24</v>
      </c>
      <c r="H144" s="8" t="str">
        <f t="shared" si="1"/>
        <v>Afternoon</v>
      </c>
      <c r="I144" s="8" t="str">
        <f t="shared" si="2"/>
        <v>Wed</v>
      </c>
      <c r="J144" s="8" t="str">
        <f t="shared" si="3"/>
        <v>Mar</v>
      </c>
      <c r="K144" s="8">
        <f t="shared" si="4"/>
        <v>3</v>
      </c>
      <c r="L144" s="8">
        <f t="shared" si="5"/>
        <v>3</v>
      </c>
    </row>
    <row r="145" spans="1:12" x14ac:dyDescent="0.3">
      <c r="A145" s="10">
        <v>45371</v>
      </c>
      <c r="B145" s="11">
        <v>45371.743388668983</v>
      </c>
      <c r="C145" s="12">
        <f t="shared" si="0"/>
        <v>17</v>
      </c>
      <c r="D145" s="12" t="s">
        <v>4</v>
      </c>
      <c r="E145" s="12" t="s">
        <v>88</v>
      </c>
      <c r="F145" s="13">
        <v>38.700000000000003</v>
      </c>
      <c r="G145" s="12" t="s">
        <v>13</v>
      </c>
      <c r="H145" s="12" t="str">
        <f t="shared" si="1"/>
        <v>Night</v>
      </c>
      <c r="I145" s="12" t="str">
        <f t="shared" si="2"/>
        <v>Wed</v>
      </c>
      <c r="J145" s="12" t="str">
        <f t="shared" si="3"/>
        <v>Mar</v>
      </c>
      <c r="K145" s="12">
        <f t="shared" si="4"/>
        <v>3</v>
      </c>
      <c r="L145" s="12">
        <f t="shared" si="5"/>
        <v>3</v>
      </c>
    </row>
    <row r="146" spans="1:12" x14ac:dyDescent="0.3">
      <c r="A146" s="6">
        <v>45372</v>
      </c>
      <c r="B146" s="7">
        <v>45372.429826122687</v>
      </c>
      <c r="C146" s="8">
        <f t="shared" si="0"/>
        <v>10</v>
      </c>
      <c r="D146" s="8" t="s">
        <v>27</v>
      </c>
      <c r="E146" s="8"/>
      <c r="F146" s="9">
        <v>40</v>
      </c>
      <c r="G146" s="8" t="s">
        <v>49</v>
      </c>
      <c r="H146" s="8" t="str">
        <f t="shared" si="1"/>
        <v>Morning</v>
      </c>
      <c r="I146" s="8" t="str">
        <f t="shared" si="2"/>
        <v>Thu</v>
      </c>
      <c r="J146" s="8" t="str">
        <f t="shared" si="3"/>
        <v>Mar</v>
      </c>
      <c r="K146" s="8">
        <f t="shared" si="4"/>
        <v>4</v>
      </c>
      <c r="L146" s="8">
        <f t="shared" si="5"/>
        <v>3</v>
      </c>
    </row>
    <row r="147" spans="1:12" x14ac:dyDescent="0.3">
      <c r="A147" s="10">
        <v>45372</v>
      </c>
      <c r="B147" s="11">
        <v>45372.517467523146</v>
      </c>
      <c r="C147" s="12">
        <f t="shared" si="0"/>
        <v>12</v>
      </c>
      <c r="D147" s="12" t="s">
        <v>4</v>
      </c>
      <c r="E147" s="12" t="s">
        <v>29</v>
      </c>
      <c r="F147" s="13">
        <v>28.9</v>
      </c>
      <c r="G147" s="12" t="s">
        <v>34</v>
      </c>
      <c r="H147" s="12" t="str">
        <f t="shared" si="1"/>
        <v>Afternoon</v>
      </c>
      <c r="I147" s="12" t="str">
        <f t="shared" si="2"/>
        <v>Thu</v>
      </c>
      <c r="J147" s="12" t="str">
        <f t="shared" si="3"/>
        <v>Mar</v>
      </c>
      <c r="K147" s="12">
        <f t="shared" si="4"/>
        <v>4</v>
      </c>
      <c r="L147" s="12">
        <f t="shared" si="5"/>
        <v>3</v>
      </c>
    </row>
    <row r="148" spans="1:12" x14ac:dyDescent="0.3">
      <c r="A148" s="6">
        <v>45372</v>
      </c>
      <c r="B148" s="7">
        <v>45372.518257268515</v>
      </c>
      <c r="C148" s="8">
        <f t="shared" si="0"/>
        <v>12</v>
      </c>
      <c r="D148" s="8" t="s">
        <v>4</v>
      </c>
      <c r="E148" s="8" t="s">
        <v>29</v>
      </c>
      <c r="F148" s="9">
        <v>38.700000000000003</v>
      </c>
      <c r="G148" s="8" t="s">
        <v>49</v>
      </c>
      <c r="H148" s="8" t="str">
        <f t="shared" si="1"/>
        <v>Afternoon</v>
      </c>
      <c r="I148" s="8" t="str">
        <f t="shared" si="2"/>
        <v>Thu</v>
      </c>
      <c r="J148" s="8" t="str">
        <f t="shared" si="3"/>
        <v>Mar</v>
      </c>
      <c r="K148" s="8">
        <f t="shared" si="4"/>
        <v>4</v>
      </c>
      <c r="L148" s="8">
        <f t="shared" si="5"/>
        <v>3</v>
      </c>
    </row>
    <row r="149" spans="1:12" x14ac:dyDescent="0.3">
      <c r="A149" s="10">
        <v>45372</v>
      </c>
      <c r="B149" s="11">
        <v>45372.722933483798</v>
      </c>
      <c r="C149" s="12">
        <f t="shared" si="0"/>
        <v>17</v>
      </c>
      <c r="D149" s="12" t="s">
        <v>27</v>
      </c>
      <c r="E149" s="12"/>
      <c r="F149" s="13">
        <v>30</v>
      </c>
      <c r="G149" s="12" t="s">
        <v>17</v>
      </c>
      <c r="H149" s="12" t="str">
        <f t="shared" si="1"/>
        <v>Night</v>
      </c>
      <c r="I149" s="12" t="str">
        <f t="shared" si="2"/>
        <v>Thu</v>
      </c>
      <c r="J149" s="12" t="str">
        <f t="shared" si="3"/>
        <v>Mar</v>
      </c>
      <c r="K149" s="12">
        <f t="shared" si="4"/>
        <v>4</v>
      </c>
      <c r="L149" s="12">
        <f t="shared" si="5"/>
        <v>3</v>
      </c>
    </row>
    <row r="150" spans="1:12" x14ac:dyDescent="0.3">
      <c r="A150" s="6">
        <v>45372</v>
      </c>
      <c r="B150" s="7">
        <v>45372.723626770836</v>
      </c>
      <c r="C150" s="8">
        <f t="shared" si="0"/>
        <v>17</v>
      </c>
      <c r="D150" s="8" t="s">
        <v>4</v>
      </c>
      <c r="E150" s="8" t="s">
        <v>29</v>
      </c>
      <c r="F150" s="9">
        <v>28.9</v>
      </c>
      <c r="G150" s="8" t="s">
        <v>34</v>
      </c>
      <c r="H150" s="8" t="str">
        <f t="shared" si="1"/>
        <v>Night</v>
      </c>
      <c r="I150" s="8" t="str">
        <f t="shared" si="2"/>
        <v>Thu</v>
      </c>
      <c r="J150" s="8" t="str">
        <f t="shared" si="3"/>
        <v>Mar</v>
      </c>
      <c r="K150" s="8">
        <f t="shared" si="4"/>
        <v>4</v>
      </c>
      <c r="L150" s="8">
        <f t="shared" si="5"/>
        <v>3</v>
      </c>
    </row>
    <row r="151" spans="1:12" x14ac:dyDescent="0.3">
      <c r="A151" s="10">
        <v>45372</v>
      </c>
      <c r="B151" s="11">
        <v>45372.805978101853</v>
      </c>
      <c r="C151" s="12">
        <f t="shared" si="0"/>
        <v>19</v>
      </c>
      <c r="D151" s="12" t="s">
        <v>4</v>
      </c>
      <c r="E151" s="12" t="s">
        <v>89</v>
      </c>
      <c r="F151" s="13">
        <v>38.700000000000003</v>
      </c>
      <c r="G151" s="12" t="s">
        <v>13</v>
      </c>
      <c r="H151" s="12" t="str">
        <f t="shared" si="1"/>
        <v>Night</v>
      </c>
      <c r="I151" s="12" t="str">
        <f t="shared" si="2"/>
        <v>Thu</v>
      </c>
      <c r="J151" s="12" t="str">
        <f t="shared" si="3"/>
        <v>Mar</v>
      </c>
      <c r="K151" s="12">
        <f t="shared" si="4"/>
        <v>4</v>
      </c>
      <c r="L151" s="12">
        <f t="shared" si="5"/>
        <v>3</v>
      </c>
    </row>
    <row r="152" spans="1:12" x14ac:dyDescent="0.3">
      <c r="A152" s="6">
        <v>45373</v>
      </c>
      <c r="B152" s="7">
        <v>45373.441592812502</v>
      </c>
      <c r="C152" s="8">
        <f t="shared" si="0"/>
        <v>10</v>
      </c>
      <c r="D152" s="8" t="s">
        <v>4</v>
      </c>
      <c r="E152" s="8" t="s">
        <v>90</v>
      </c>
      <c r="F152" s="9">
        <v>33.799999999999997</v>
      </c>
      <c r="G152" s="8" t="s">
        <v>20</v>
      </c>
      <c r="H152" s="8" t="str">
        <f t="shared" si="1"/>
        <v>Morning</v>
      </c>
      <c r="I152" s="8" t="str">
        <f t="shared" si="2"/>
        <v>Fri</v>
      </c>
      <c r="J152" s="8" t="str">
        <f t="shared" si="3"/>
        <v>Mar</v>
      </c>
      <c r="K152" s="8">
        <f t="shared" si="4"/>
        <v>5</v>
      </c>
      <c r="L152" s="8">
        <f t="shared" si="5"/>
        <v>3</v>
      </c>
    </row>
    <row r="153" spans="1:12" x14ac:dyDescent="0.3">
      <c r="A153" s="10">
        <v>45373</v>
      </c>
      <c r="B153" s="11">
        <v>45373.562041006946</v>
      </c>
      <c r="C153" s="12">
        <f t="shared" si="0"/>
        <v>13</v>
      </c>
      <c r="D153" s="12" t="s">
        <v>4</v>
      </c>
      <c r="E153" s="12" t="s">
        <v>91</v>
      </c>
      <c r="F153" s="13">
        <v>33.799999999999997</v>
      </c>
      <c r="G153" s="12" t="s">
        <v>20</v>
      </c>
      <c r="H153" s="12" t="str">
        <f t="shared" si="1"/>
        <v>Afternoon</v>
      </c>
      <c r="I153" s="12" t="str">
        <f t="shared" si="2"/>
        <v>Fri</v>
      </c>
      <c r="J153" s="12" t="str">
        <f t="shared" si="3"/>
        <v>Mar</v>
      </c>
      <c r="K153" s="12">
        <f t="shared" si="4"/>
        <v>5</v>
      </c>
      <c r="L153" s="12">
        <f t="shared" si="5"/>
        <v>3</v>
      </c>
    </row>
    <row r="154" spans="1:12" x14ac:dyDescent="0.3">
      <c r="A154" s="6">
        <v>45373</v>
      </c>
      <c r="B154" s="7">
        <v>45373.677250555556</v>
      </c>
      <c r="C154" s="8">
        <f t="shared" si="0"/>
        <v>16</v>
      </c>
      <c r="D154" s="8" t="s">
        <v>27</v>
      </c>
      <c r="E154" s="8"/>
      <c r="F154" s="9">
        <v>40</v>
      </c>
      <c r="G154" s="8" t="s">
        <v>49</v>
      </c>
      <c r="H154" s="8" t="str">
        <f t="shared" si="1"/>
        <v>Afternoon</v>
      </c>
      <c r="I154" s="8" t="str">
        <f t="shared" si="2"/>
        <v>Fri</v>
      </c>
      <c r="J154" s="8" t="str">
        <f t="shared" si="3"/>
        <v>Mar</v>
      </c>
      <c r="K154" s="8">
        <f t="shared" si="4"/>
        <v>5</v>
      </c>
      <c r="L154" s="8">
        <f t="shared" si="5"/>
        <v>3</v>
      </c>
    </row>
    <row r="155" spans="1:12" x14ac:dyDescent="0.3">
      <c r="A155" s="10">
        <v>45373</v>
      </c>
      <c r="B155" s="11">
        <v>45373.720181990742</v>
      </c>
      <c r="C155" s="12">
        <f t="shared" si="0"/>
        <v>17</v>
      </c>
      <c r="D155" s="12" t="s">
        <v>4</v>
      </c>
      <c r="E155" s="12" t="s">
        <v>29</v>
      </c>
      <c r="F155" s="13">
        <v>28.9</v>
      </c>
      <c r="G155" s="12" t="s">
        <v>17</v>
      </c>
      <c r="H155" s="12" t="str">
        <f t="shared" si="1"/>
        <v>Night</v>
      </c>
      <c r="I155" s="12" t="str">
        <f t="shared" si="2"/>
        <v>Fri</v>
      </c>
      <c r="J155" s="12" t="str">
        <f t="shared" si="3"/>
        <v>Mar</v>
      </c>
      <c r="K155" s="12">
        <f t="shared" si="4"/>
        <v>5</v>
      </c>
      <c r="L155" s="12">
        <f t="shared" si="5"/>
        <v>3</v>
      </c>
    </row>
    <row r="156" spans="1:12" x14ac:dyDescent="0.3">
      <c r="A156" s="6">
        <v>45373</v>
      </c>
      <c r="B156" s="7">
        <v>45373.720821655093</v>
      </c>
      <c r="C156" s="8">
        <f t="shared" si="0"/>
        <v>17</v>
      </c>
      <c r="D156" s="8" t="s">
        <v>4</v>
      </c>
      <c r="E156" s="8" t="s">
        <v>29</v>
      </c>
      <c r="F156" s="9">
        <v>24</v>
      </c>
      <c r="G156" s="8" t="s">
        <v>41</v>
      </c>
      <c r="H156" s="8" t="str">
        <f t="shared" si="1"/>
        <v>Night</v>
      </c>
      <c r="I156" s="8" t="str">
        <f t="shared" si="2"/>
        <v>Fri</v>
      </c>
      <c r="J156" s="8" t="str">
        <f t="shared" si="3"/>
        <v>Mar</v>
      </c>
      <c r="K156" s="8">
        <f t="shared" si="4"/>
        <v>5</v>
      </c>
      <c r="L156" s="8">
        <f t="shared" si="5"/>
        <v>3</v>
      </c>
    </row>
    <row r="157" spans="1:12" x14ac:dyDescent="0.3">
      <c r="A157" s="10">
        <v>45373</v>
      </c>
      <c r="B157" s="11">
        <v>45373.722795023146</v>
      </c>
      <c r="C157" s="12">
        <f t="shared" si="0"/>
        <v>17</v>
      </c>
      <c r="D157" s="12" t="s">
        <v>4</v>
      </c>
      <c r="E157" s="12" t="s">
        <v>70</v>
      </c>
      <c r="F157" s="13">
        <v>28.9</v>
      </c>
      <c r="G157" s="12" t="s">
        <v>17</v>
      </c>
      <c r="H157" s="12" t="str">
        <f t="shared" si="1"/>
        <v>Night</v>
      </c>
      <c r="I157" s="12" t="str">
        <f t="shared" si="2"/>
        <v>Fri</v>
      </c>
      <c r="J157" s="12" t="str">
        <f t="shared" si="3"/>
        <v>Mar</v>
      </c>
      <c r="K157" s="12">
        <f t="shared" si="4"/>
        <v>5</v>
      </c>
      <c r="L157" s="12">
        <f t="shared" si="5"/>
        <v>3</v>
      </c>
    </row>
    <row r="158" spans="1:12" x14ac:dyDescent="0.3">
      <c r="A158" s="6">
        <v>45374</v>
      </c>
      <c r="B158" s="7">
        <v>45374.447217118053</v>
      </c>
      <c r="C158" s="8">
        <f t="shared" si="0"/>
        <v>10</v>
      </c>
      <c r="D158" s="8" t="s">
        <v>4</v>
      </c>
      <c r="E158" s="8" t="s">
        <v>92</v>
      </c>
      <c r="F158" s="9">
        <v>38.700000000000003</v>
      </c>
      <c r="G158" s="8" t="s">
        <v>13</v>
      </c>
      <c r="H158" s="8" t="str">
        <f t="shared" si="1"/>
        <v>Morning</v>
      </c>
      <c r="I158" s="8" t="str">
        <f t="shared" si="2"/>
        <v>Sat</v>
      </c>
      <c r="J158" s="8" t="str">
        <f t="shared" si="3"/>
        <v>Mar</v>
      </c>
      <c r="K158" s="8">
        <f t="shared" si="4"/>
        <v>6</v>
      </c>
      <c r="L158" s="8">
        <f t="shared" si="5"/>
        <v>3</v>
      </c>
    </row>
    <row r="159" spans="1:12" x14ac:dyDescent="0.3">
      <c r="A159" s="10">
        <v>45374</v>
      </c>
      <c r="B159" s="11">
        <v>45374.447999502314</v>
      </c>
      <c r="C159" s="12">
        <f t="shared" si="0"/>
        <v>10</v>
      </c>
      <c r="D159" s="12" t="s">
        <v>4</v>
      </c>
      <c r="E159" s="12" t="s">
        <v>93</v>
      </c>
      <c r="F159" s="13">
        <v>33.799999999999997</v>
      </c>
      <c r="G159" s="12" t="s">
        <v>20</v>
      </c>
      <c r="H159" s="12" t="str">
        <f t="shared" si="1"/>
        <v>Morning</v>
      </c>
      <c r="I159" s="12" t="str">
        <f t="shared" si="2"/>
        <v>Sat</v>
      </c>
      <c r="J159" s="12" t="str">
        <f t="shared" si="3"/>
        <v>Mar</v>
      </c>
      <c r="K159" s="12">
        <f t="shared" si="4"/>
        <v>6</v>
      </c>
      <c r="L159" s="12">
        <f t="shared" si="5"/>
        <v>3</v>
      </c>
    </row>
    <row r="160" spans="1:12" x14ac:dyDescent="0.3">
      <c r="A160" s="6">
        <v>45374</v>
      </c>
      <c r="B160" s="7">
        <v>45374.548699780091</v>
      </c>
      <c r="C160" s="8">
        <f t="shared" si="0"/>
        <v>13</v>
      </c>
      <c r="D160" s="8" t="s">
        <v>4</v>
      </c>
      <c r="E160" s="8" t="s">
        <v>94</v>
      </c>
      <c r="F160" s="9">
        <v>38.700000000000003</v>
      </c>
      <c r="G160" s="8" t="s">
        <v>49</v>
      </c>
      <c r="H160" s="8" t="str">
        <f t="shared" si="1"/>
        <v>Afternoon</v>
      </c>
      <c r="I160" s="8" t="str">
        <f t="shared" si="2"/>
        <v>Sat</v>
      </c>
      <c r="J160" s="8" t="str">
        <f t="shared" si="3"/>
        <v>Mar</v>
      </c>
      <c r="K160" s="8">
        <f t="shared" si="4"/>
        <v>6</v>
      </c>
      <c r="L160" s="8">
        <f t="shared" si="5"/>
        <v>3</v>
      </c>
    </row>
    <row r="161" spans="1:12" x14ac:dyDescent="0.3">
      <c r="A161" s="10">
        <v>45374</v>
      </c>
      <c r="B161" s="11">
        <v>45374.549447106481</v>
      </c>
      <c r="C161" s="12">
        <f t="shared" si="0"/>
        <v>13</v>
      </c>
      <c r="D161" s="12" t="s">
        <v>4</v>
      </c>
      <c r="E161" s="12" t="s">
        <v>94</v>
      </c>
      <c r="F161" s="13">
        <v>38.700000000000003</v>
      </c>
      <c r="G161" s="12" t="s">
        <v>24</v>
      </c>
      <c r="H161" s="12" t="str">
        <f t="shared" si="1"/>
        <v>Afternoon</v>
      </c>
      <c r="I161" s="12" t="str">
        <f t="shared" si="2"/>
        <v>Sat</v>
      </c>
      <c r="J161" s="12" t="str">
        <f t="shared" si="3"/>
        <v>Mar</v>
      </c>
      <c r="K161" s="12">
        <f t="shared" si="4"/>
        <v>6</v>
      </c>
      <c r="L161" s="12">
        <f t="shared" si="5"/>
        <v>3</v>
      </c>
    </row>
    <row r="162" spans="1:12" x14ac:dyDescent="0.3">
      <c r="A162" s="6">
        <v>45374</v>
      </c>
      <c r="B162" s="7">
        <v>45374.614366620372</v>
      </c>
      <c r="C162" s="8">
        <f t="shared" si="0"/>
        <v>14</v>
      </c>
      <c r="D162" s="8" t="s">
        <v>4</v>
      </c>
      <c r="E162" s="8" t="s">
        <v>95</v>
      </c>
      <c r="F162" s="9">
        <v>33.799999999999997</v>
      </c>
      <c r="G162" s="8" t="s">
        <v>20</v>
      </c>
      <c r="H162" s="8" t="str">
        <f t="shared" si="1"/>
        <v>Afternoon</v>
      </c>
      <c r="I162" s="8" t="str">
        <f t="shared" si="2"/>
        <v>Sat</v>
      </c>
      <c r="J162" s="8" t="str">
        <f t="shared" si="3"/>
        <v>Mar</v>
      </c>
      <c r="K162" s="8">
        <f t="shared" si="4"/>
        <v>6</v>
      </c>
      <c r="L162" s="8">
        <f t="shared" si="5"/>
        <v>3</v>
      </c>
    </row>
    <row r="163" spans="1:12" x14ac:dyDescent="0.3">
      <c r="A163" s="10">
        <v>45374</v>
      </c>
      <c r="B163" s="11">
        <v>45374.657859513885</v>
      </c>
      <c r="C163" s="12">
        <f t="shared" si="0"/>
        <v>15</v>
      </c>
      <c r="D163" s="12" t="s">
        <v>4</v>
      </c>
      <c r="E163" s="12" t="s">
        <v>96</v>
      </c>
      <c r="F163" s="13">
        <v>38.700000000000003</v>
      </c>
      <c r="G163" s="12" t="s">
        <v>13</v>
      </c>
      <c r="H163" s="12" t="str">
        <f t="shared" si="1"/>
        <v>Afternoon</v>
      </c>
      <c r="I163" s="12" t="str">
        <f t="shared" si="2"/>
        <v>Sat</v>
      </c>
      <c r="J163" s="12" t="str">
        <f t="shared" si="3"/>
        <v>Mar</v>
      </c>
      <c r="K163" s="12">
        <f t="shared" si="4"/>
        <v>6</v>
      </c>
      <c r="L163" s="12">
        <f t="shared" si="5"/>
        <v>3</v>
      </c>
    </row>
    <row r="164" spans="1:12" x14ac:dyDescent="0.3">
      <c r="A164" s="6">
        <v>45374</v>
      </c>
      <c r="B164" s="7">
        <v>45374.659419131945</v>
      </c>
      <c r="C164" s="8">
        <f t="shared" si="0"/>
        <v>15</v>
      </c>
      <c r="D164" s="8" t="s">
        <v>4</v>
      </c>
      <c r="E164" s="8" t="s">
        <v>96</v>
      </c>
      <c r="F164" s="9">
        <v>33.799999999999997</v>
      </c>
      <c r="G164" s="8" t="s">
        <v>20</v>
      </c>
      <c r="H164" s="8" t="str">
        <f t="shared" si="1"/>
        <v>Afternoon</v>
      </c>
      <c r="I164" s="8" t="str">
        <f t="shared" si="2"/>
        <v>Sat</v>
      </c>
      <c r="J164" s="8" t="str">
        <f t="shared" si="3"/>
        <v>Mar</v>
      </c>
      <c r="K164" s="8">
        <f t="shared" si="4"/>
        <v>6</v>
      </c>
      <c r="L164" s="8">
        <f t="shared" si="5"/>
        <v>3</v>
      </c>
    </row>
    <row r="165" spans="1:12" x14ac:dyDescent="0.3">
      <c r="A165" s="10">
        <v>45374</v>
      </c>
      <c r="B165" s="11">
        <v>45374.667342430555</v>
      </c>
      <c r="C165" s="12">
        <f t="shared" si="0"/>
        <v>16</v>
      </c>
      <c r="D165" s="12" t="s">
        <v>4</v>
      </c>
      <c r="E165" s="12" t="s">
        <v>25</v>
      </c>
      <c r="F165" s="13">
        <v>28.9</v>
      </c>
      <c r="G165" s="12" t="s">
        <v>34</v>
      </c>
      <c r="H165" s="12" t="str">
        <f t="shared" si="1"/>
        <v>Afternoon</v>
      </c>
      <c r="I165" s="12" t="str">
        <f t="shared" si="2"/>
        <v>Sat</v>
      </c>
      <c r="J165" s="12" t="str">
        <f t="shared" si="3"/>
        <v>Mar</v>
      </c>
      <c r="K165" s="12">
        <f t="shared" si="4"/>
        <v>6</v>
      </c>
      <c r="L165" s="12">
        <f t="shared" si="5"/>
        <v>3</v>
      </c>
    </row>
    <row r="166" spans="1:12" x14ac:dyDescent="0.3">
      <c r="A166" s="6">
        <v>45375</v>
      </c>
      <c r="B166" s="7">
        <v>45375.419398206017</v>
      </c>
      <c r="C166" s="8">
        <f t="shared" si="0"/>
        <v>10</v>
      </c>
      <c r="D166" s="8" t="s">
        <v>27</v>
      </c>
      <c r="E166" s="8"/>
      <c r="F166" s="9">
        <v>40</v>
      </c>
      <c r="G166" s="8" t="s">
        <v>13</v>
      </c>
      <c r="H166" s="8" t="str">
        <f t="shared" si="1"/>
        <v>Morning</v>
      </c>
      <c r="I166" s="8" t="str">
        <f t="shared" si="2"/>
        <v>Sun</v>
      </c>
      <c r="J166" s="8" t="str">
        <f t="shared" si="3"/>
        <v>Mar</v>
      </c>
      <c r="K166" s="8">
        <f t="shared" si="4"/>
        <v>7</v>
      </c>
      <c r="L166" s="8">
        <f t="shared" si="5"/>
        <v>3</v>
      </c>
    </row>
    <row r="167" spans="1:12" x14ac:dyDescent="0.3">
      <c r="A167" s="10">
        <v>45375</v>
      </c>
      <c r="B167" s="11">
        <v>45375.781347187498</v>
      </c>
      <c r="C167" s="12">
        <f t="shared" si="0"/>
        <v>18</v>
      </c>
      <c r="D167" s="12" t="s">
        <v>4</v>
      </c>
      <c r="E167" s="12" t="s">
        <v>97</v>
      </c>
      <c r="F167" s="13">
        <v>38.700000000000003</v>
      </c>
      <c r="G167" s="12" t="s">
        <v>13</v>
      </c>
      <c r="H167" s="12" t="str">
        <f t="shared" si="1"/>
        <v>Night</v>
      </c>
      <c r="I167" s="12" t="str">
        <f t="shared" si="2"/>
        <v>Sun</v>
      </c>
      <c r="J167" s="12" t="str">
        <f t="shared" si="3"/>
        <v>Mar</v>
      </c>
      <c r="K167" s="12">
        <f t="shared" si="4"/>
        <v>7</v>
      </c>
      <c r="L167" s="12">
        <f t="shared" si="5"/>
        <v>3</v>
      </c>
    </row>
    <row r="168" spans="1:12" x14ac:dyDescent="0.3">
      <c r="A168" s="6">
        <v>45376</v>
      </c>
      <c r="B168" s="7">
        <v>45376.438741319442</v>
      </c>
      <c r="C168" s="8">
        <f t="shared" si="0"/>
        <v>10</v>
      </c>
      <c r="D168" s="8" t="s">
        <v>4</v>
      </c>
      <c r="E168" s="8" t="s">
        <v>25</v>
      </c>
      <c r="F168" s="9">
        <v>38.700000000000003</v>
      </c>
      <c r="G168" s="8" t="s">
        <v>13</v>
      </c>
      <c r="H168" s="8" t="str">
        <f t="shared" si="1"/>
        <v>Morning</v>
      </c>
      <c r="I168" s="8" t="str">
        <f t="shared" si="2"/>
        <v>Mon</v>
      </c>
      <c r="J168" s="8" t="str">
        <f t="shared" si="3"/>
        <v>Mar</v>
      </c>
      <c r="K168" s="8">
        <f t="shared" si="4"/>
        <v>1</v>
      </c>
      <c r="L168" s="8">
        <f t="shared" si="5"/>
        <v>3</v>
      </c>
    </row>
    <row r="169" spans="1:12" x14ac:dyDescent="0.3">
      <c r="A169" s="10">
        <v>45376</v>
      </c>
      <c r="B169" s="11">
        <v>45376.469741562498</v>
      </c>
      <c r="C169" s="12">
        <f t="shared" si="0"/>
        <v>11</v>
      </c>
      <c r="D169" s="12" t="s">
        <v>27</v>
      </c>
      <c r="E169" s="12"/>
      <c r="F169" s="13">
        <v>35</v>
      </c>
      <c r="G169" s="12" t="s">
        <v>20</v>
      </c>
      <c r="H169" s="12" t="str">
        <f t="shared" si="1"/>
        <v>Morning</v>
      </c>
      <c r="I169" s="12" t="str">
        <f t="shared" si="2"/>
        <v>Mon</v>
      </c>
      <c r="J169" s="12" t="str">
        <f t="shared" si="3"/>
        <v>Mar</v>
      </c>
      <c r="K169" s="12">
        <f t="shared" si="4"/>
        <v>1</v>
      </c>
      <c r="L169" s="12">
        <f t="shared" si="5"/>
        <v>3</v>
      </c>
    </row>
    <row r="170" spans="1:12" x14ac:dyDescent="0.3">
      <c r="A170" s="6">
        <v>45376</v>
      </c>
      <c r="B170" s="7">
        <v>45376.602189386576</v>
      </c>
      <c r="C170" s="8">
        <f t="shared" si="0"/>
        <v>14</v>
      </c>
      <c r="D170" s="8" t="s">
        <v>4</v>
      </c>
      <c r="E170" s="8" t="s">
        <v>98</v>
      </c>
      <c r="F170" s="9">
        <v>38.700000000000003</v>
      </c>
      <c r="G170" s="8" t="s">
        <v>13</v>
      </c>
      <c r="H170" s="8" t="str">
        <f t="shared" si="1"/>
        <v>Afternoon</v>
      </c>
      <c r="I170" s="8" t="str">
        <f t="shared" si="2"/>
        <v>Mon</v>
      </c>
      <c r="J170" s="8" t="str">
        <f t="shared" si="3"/>
        <v>Mar</v>
      </c>
      <c r="K170" s="8">
        <f t="shared" si="4"/>
        <v>1</v>
      </c>
      <c r="L170" s="8">
        <f t="shared" si="5"/>
        <v>3</v>
      </c>
    </row>
    <row r="171" spans="1:12" x14ac:dyDescent="0.3">
      <c r="A171" s="10">
        <v>45376</v>
      </c>
      <c r="B171" s="11">
        <v>45376.60376554398</v>
      </c>
      <c r="C171" s="12">
        <f t="shared" si="0"/>
        <v>14</v>
      </c>
      <c r="D171" s="12" t="s">
        <v>4</v>
      </c>
      <c r="E171" s="12" t="s">
        <v>35</v>
      </c>
      <c r="F171" s="13">
        <v>38.700000000000003</v>
      </c>
      <c r="G171" s="12" t="s">
        <v>13</v>
      </c>
      <c r="H171" s="12" t="str">
        <f t="shared" si="1"/>
        <v>Afternoon</v>
      </c>
      <c r="I171" s="12" t="str">
        <f t="shared" si="2"/>
        <v>Mon</v>
      </c>
      <c r="J171" s="12" t="str">
        <f t="shared" si="3"/>
        <v>Mar</v>
      </c>
      <c r="K171" s="12">
        <f t="shared" si="4"/>
        <v>1</v>
      </c>
      <c r="L171" s="12">
        <f t="shared" si="5"/>
        <v>3</v>
      </c>
    </row>
    <row r="172" spans="1:12" x14ac:dyDescent="0.3">
      <c r="A172" s="6">
        <v>45376</v>
      </c>
      <c r="B172" s="7">
        <v>45376.776049189815</v>
      </c>
      <c r="C172" s="8">
        <f t="shared" si="0"/>
        <v>18</v>
      </c>
      <c r="D172" s="8" t="s">
        <v>4</v>
      </c>
      <c r="E172" s="8" t="s">
        <v>43</v>
      </c>
      <c r="F172" s="9">
        <v>33.799999999999997</v>
      </c>
      <c r="G172" s="8" t="s">
        <v>20</v>
      </c>
      <c r="H172" s="8" t="str">
        <f t="shared" si="1"/>
        <v>Night</v>
      </c>
      <c r="I172" s="8" t="str">
        <f t="shared" si="2"/>
        <v>Mon</v>
      </c>
      <c r="J172" s="8" t="str">
        <f t="shared" si="3"/>
        <v>Mar</v>
      </c>
      <c r="K172" s="8">
        <f t="shared" si="4"/>
        <v>1</v>
      </c>
      <c r="L172" s="8">
        <f t="shared" si="5"/>
        <v>3</v>
      </c>
    </row>
    <row r="173" spans="1:12" x14ac:dyDescent="0.3">
      <c r="A173" s="10">
        <v>45376</v>
      </c>
      <c r="B173" s="11">
        <v>45376.815561828706</v>
      </c>
      <c r="C173" s="12">
        <f t="shared" si="0"/>
        <v>19</v>
      </c>
      <c r="D173" s="12" t="s">
        <v>4</v>
      </c>
      <c r="E173" s="12" t="s">
        <v>99</v>
      </c>
      <c r="F173" s="13">
        <v>38.700000000000003</v>
      </c>
      <c r="G173" s="12" t="s">
        <v>49</v>
      </c>
      <c r="H173" s="12" t="str">
        <f t="shared" si="1"/>
        <v>Night</v>
      </c>
      <c r="I173" s="12" t="str">
        <f t="shared" si="2"/>
        <v>Mon</v>
      </c>
      <c r="J173" s="12" t="str">
        <f t="shared" si="3"/>
        <v>Mar</v>
      </c>
      <c r="K173" s="12">
        <f t="shared" si="4"/>
        <v>1</v>
      </c>
      <c r="L173" s="12">
        <f t="shared" si="5"/>
        <v>3</v>
      </c>
    </row>
    <row r="174" spans="1:12" x14ac:dyDescent="0.3">
      <c r="A174" s="6">
        <v>45377</v>
      </c>
      <c r="B174" s="7">
        <v>45377.441547210648</v>
      </c>
      <c r="C174" s="8">
        <f t="shared" si="0"/>
        <v>10</v>
      </c>
      <c r="D174" s="8" t="s">
        <v>4</v>
      </c>
      <c r="E174" s="8" t="s">
        <v>75</v>
      </c>
      <c r="F174" s="9">
        <v>38.700000000000003</v>
      </c>
      <c r="G174" s="8" t="s">
        <v>24</v>
      </c>
      <c r="H174" s="8" t="str">
        <f t="shared" si="1"/>
        <v>Morning</v>
      </c>
      <c r="I174" s="8" t="str">
        <f t="shared" si="2"/>
        <v>Tue</v>
      </c>
      <c r="J174" s="8" t="str">
        <f t="shared" si="3"/>
        <v>Mar</v>
      </c>
      <c r="K174" s="8">
        <f t="shared" si="4"/>
        <v>2</v>
      </c>
      <c r="L174" s="8">
        <f t="shared" si="5"/>
        <v>3</v>
      </c>
    </row>
    <row r="175" spans="1:12" x14ac:dyDescent="0.3">
      <c r="A175" s="10">
        <v>45377</v>
      </c>
      <c r="B175" s="11">
        <v>45377.44208508102</v>
      </c>
      <c r="C175" s="12">
        <f t="shared" si="0"/>
        <v>10</v>
      </c>
      <c r="D175" s="12" t="s">
        <v>4</v>
      </c>
      <c r="E175" s="12" t="s">
        <v>75</v>
      </c>
      <c r="F175" s="13">
        <v>38.700000000000003</v>
      </c>
      <c r="G175" s="12" t="s">
        <v>13</v>
      </c>
      <c r="H175" s="12" t="str">
        <f t="shared" si="1"/>
        <v>Morning</v>
      </c>
      <c r="I175" s="12" t="str">
        <f t="shared" si="2"/>
        <v>Tue</v>
      </c>
      <c r="J175" s="12" t="str">
        <f t="shared" si="3"/>
        <v>Mar</v>
      </c>
      <c r="K175" s="12">
        <f t="shared" si="4"/>
        <v>2</v>
      </c>
      <c r="L175" s="12">
        <f t="shared" si="5"/>
        <v>3</v>
      </c>
    </row>
    <row r="176" spans="1:12" x14ac:dyDescent="0.3">
      <c r="A176" s="6">
        <v>45377</v>
      </c>
      <c r="B176" s="7">
        <v>45377.446182523148</v>
      </c>
      <c r="C176" s="8">
        <f t="shared" si="0"/>
        <v>10</v>
      </c>
      <c r="D176" s="8" t="s">
        <v>4</v>
      </c>
      <c r="E176" s="8" t="s">
        <v>100</v>
      </c>
      <c r="F176" s="9">
        <v>38.700000000000003</v>
      </c>
      <c r="G176" s="8" t="s">
        <v>13</v>
      </c>
      <c r="H176" s="8" t="str">
        <f t="shared" si="1"/>
        <v>Morning</v>
      </c>
      <c r="I176" s="8" t="str">
        <f t="shared" si="2"/>
        <v>Tue</v>
      </c>
      <c r="J176" s="8" t="str">
        <f t="shared" si="3"/>
        <v>Mar</v>
      </c>
      <c r="K176" s="8">
        <f t="shared" si="4"/>
        <v>2</v>
      </c>
      <c r="L176" s="8">
        <f t="shared" si="5"/>
        <v>3</v>
      </c>
    </row>
    <row r="177" spans="1:12" x14ac:dyDescent="0.3">
      <c r="A177" s="10">
        <v>45377</v>
      </c>
      <c r="B177" s="11">
        <v>45377.46652008102</v>
      </c>
      <c r="C177" s="12">
        <f t="shared" si="0"/>
        <v>11</v>
      </c>
      <c r="D177" s="12" t="s">
        <v>4</v>
      </c>
      <c r="E177" s="12" t="s">
        <v>25</v>
      </c>
      <c r="F177" s="13">
        <v>28.9</v>
      </c>
      <c r="G177" s="12" t="s">
        <v>34</v>
      </c>
      <c r="H177" s="12" t="str">
        <f t="shared" si="1"/>
        <v>Morning</v>
      </c>
      <c r="I177" s="12" t="str">
        <f t="shared" si="2"/>
        <v>Tue</v>
      </c>
      <c r="J177" s="12" t="str">
        <f t="shared" si="3"/>
        <v>Mar</v>
      </c>
      <c r="K177" s="12">
        <f t="shared" si="4"/>
        <v>2</v>
      </c>
      <c r="L177" s="12">
        <f t="shared" si="5"/>
        <v>3</v>
      </c>
    </row>
    <row r="178" spans="1:12" x14ac:dyDescent="0.3">
      <c r="A178" s="6">
        <v>45377</v>
      </c>
      <c r="B178" s="7">
        <v>45377.566583020831</v>
      </c>
      <c r="C178" s="8">
        <f t="shared" si="0"/>
        <v>13</v>
      </c>
      <c r="D178" s="8" t="s">
        <v>4</v>
      </c>
      <c r="E178" s="8" t="s">
        <v>16</v>
      </c>
      <c r="F178" s="9">
        <v>28.9</v>
      </c>
      <c r="G178" s="8" t="s">
        <v>17</v>
      </c>
      <c r="H178" s="8" t="str">
        <f t="shared" si="1"/>
        <v>Afternoon</v>
      </c>
      <c r="I178" s="8" t="str">
        <f t="shared" si="2"/>
        <v>Tue</v>
      </c>
      <c r="J178" s="8" t="str">
        <f t="shared" si="3"/>
        <v>Mar</v>
      </c>
      <c r="K178" s="8">
        <f t="shared" si="4"/>
        <v>2</v>
      </c>
      <c r="L178" s="8">
        <f t="shared" si="5"/>
        <v>3</v>
      </c>
    </row>
    <row r="179" spans="1:12" x14ac:dyDescent="0.3">
      <c r="A179" s="10">
        <v>45377</v>
      </c>
      <c r="B179" s="11">
        <v>45377.567241249999</v>
      </c>
      <c r="C179" s="12">
        <f t="shared" si="0"/>
        <v>13</v>
      </c>
      <c r="D179" s="12" t="s">
        <v>4</v>
      </c>
      <c r="E179" s="12" t="s">
        <v>52</v>
      </c>
      <c r="F179" s="13">
        <v>28.9</v>
      </c>
      <c r="G179" s="12" t="s">
        <v>34</v>
      </c>
      <c r="H179" s="12" t="str">
        <f t="shared" si="1"/>
        <v>Afternoon</v>
      </c>
      <c r="I179" s="12" t="str">
        <f t="shared" si="2"/>
        <v>Tue</v>
      </c>
      <c r="J179" s="12" t="str">
        <f t="shared" si="3"/>
        <v>Mar</v>
      </c>
      <c r="K179" s="12">
        <f t="shared" si="4"/>
        <v>2</v>
      </c>
      <c r="L179" s="12">
        <f t="shared" si="5"/>
        <v>3</v>
      </c>
    </row>
    <row r="180" spans="1:12" x14ac:dyDescent="0.3">
      <c r="A180" s="6">
        <v>45377</v>
      </c>
      <c r="B180" s="7">
        <v>45377.568052349539</v>
      </c>
      <c r="C180" s="8">
        <f t="shared" si="0"/>
        <v>13</v>
      </c>
      <c r="D180" s="8" t="s">
        <v>4</v>
      </c>
      <c r="E180" s="8" t="s">
        <v>79</v>
      </c>
      <c r="F180" s="9">
        <v>28.9</v>
      </c>
      <c r="G180" s="8" t="s">
        <v>34</v>
      </c>
      <c r="H180" s="8" t="str">
        <f t="shared" si="1"/>
        <v>Afternoon</v>
      </c>
      <c r="I180" s="8" t="str">
        <f t="shared" si="2"/>
        <v>Tue</v>
      </c>
      <c r="J180" s="8" t="str">
        <f t="shared" si="3"/>
        <v>Mar</v>
      </c>
      <c r="K180" s="8">
        <f t="shared" si="4"/>
        <v>2</v>
      </c>
      <c r="L180" s="8">
        <f t="shared" si="5"/>
        <v>3</v>
      </c>
    </row>
    <row r="181" spans="1:12" x14ac:dyDescent="0.3">
      <c r="A181" s="10">
        <v>45377</v>
      </c>
      <c r="B181" s="11">
        <v>45377.581871261573</v>
      </c>
      <c r="C181" s="12">
        <f t="shared" si="0"/>
        <v>13</v>
      </c>
      <c r="D181" s="12" t="s">
        <v>4</v>
      </c>
      <c r="E181" s="12" t="s">
        <v>70</v>
      </c>
      <c r="F181" s="13">
        <v>28.9</v>
      </c>
      <c r="G181" s="12" t="s">
        <v>17</v>
      </c>
      <c r="H181" s="12" t="str">
        <f t="shared" si="1"/>
        <v>Afternoon</v>
      </c>
      <c r="I181" s="12" t="str">
        <f t="shared" si="2"/>
        <v>Tue</v>
      </c>
      <c r="J181" s="12" t="str">
        <f t="shared" si="3"/>
        <v>Mar</v>
      </c>
      <c r="K181" s="12">
        <f t="shared" si="4"/>
        <v>2</v>
      </c>
      <c r="L181" s="12">
        <f t="shared" si="5"/>
        <v>3</v>
      </c>
    </row>
    <row r="182" spans="1:12" x14ac:dyDescent="0.3">
      <c r="A182" s="6">
        <v>45377</v>
      </c>
      <c r="B182" s="7">
        <v>45377.658359606481</v>
      </c>
      <c r="C182" s="8">
        <f t="shared" si="0"/>
        <v>15</v>
      </c>
      <c r="D182" s="8" t="s">
        <v>4</v>
      </c>
      <c r="E182" s="8" t="s">
        <v>101</v>
      </c>
      <c r="F182" s="9">
        <v>38.700000000000003</v>
      </c>
      <c r="G182" s="8" t="s">
        <v>13</v>
      </c>
      <c r="H182" s="8" t="str">
        <f t="shared" si="1"/>
        <v>Afternoon</v>
      </c>
      <c r="I182" s="8" t="str">
        <f t="shared" si="2"/>
        <v>Tue</v>
      </c>
      <c r="J182" s="8" t="str">
        <f t="shared" si="3"/>
        <v>Mar</v>
      </c>
      <c r="K182" s="8">
        <f t="shared" si="4"/>
        <v>2</v>
      </c>
      <c r="L182" s="8">
        <f t="shared" si="5"/>
        <v>3</v>
      </c>
    </row>
    <row r="183" spans="1:12" x14ac:dyDescent="0.3">
      <c r="A183" s="10">
        <v>45377</v>
      </c>
      <c r="B183" s="11">
        <v>45377.773363055552</v>
      </c>
      <c r="C183" s="12">
        <f t="shared" si="0"/>
        <v>18</v>
      </c>
      <c r="D183" s="12" t="s">
        <v>4</v>
      </c>
      <c r="E183" s="12" t="s">
        <v>43</v>
      </c>
      <c r="F183" s="13">
        <v>38.700000000000003</v>
      </c>
      <c r="G183" s="12" t="s">
        <v>13</v>
      </c>
      <c r="H183" s="12" t="str">
        <f t="shared" si="1"/>
        <v>Night</v>
      </c>
      <c r="I183" s="12" t="str">
        <f t="shared" si="2"/>
        <v>Tue</v>
      </c>
      <c r="J183" s="12" t="str">
        <f t="shared" si="3"/>
        <v>Mar</v>
      </c>
      <c r="K183" s="12">
        <f t="shared" si="4"/>
        <v>2</v>
      </c>
      <c r="L183" s="12">
        <f t="shared" si="5"/>
        <v>3</v>
      </c>
    </row>
    <row r="184" spans="1:12" x14ac:dyDescent="0.3">
      <c r="A184" s="6">
        <v>45377</v>
      </c>
      <c r="B184" s="7">
        <v>45377.774243611108</v>
      </c>
      <c r="C184" s="8">
        <f t="shared" si="0"/>
        <v>18</v>
      </c>
      <c r="D184" s="8" t="s">
        <v>4</v>
      </c>
      <c r="E184" s="8" t="s">
        <v>25</v>
      </c>
      <c r="F184" s="9">
        <v>38.700000000000003</v>
      </c>
      <c r="G184" s="8" t="s">
        <v>15</v>
      </c>
      <c r="H184" s="8" t="str">
        <f t="shared" si="1"/>
        <v>Night</v>
      </c>
      <c r="I184" s="8" t="str">
        <f t="shared" si="2"/>
        <v>Tue</v>
      </c>
      <c r="J184" s="8" t="str">
        <f t="shared" si="3"/>
        <v>Mar</v>
      </c>
      <c r="K184" s="8">
        <f t="shared" si="4"/>
        <v>2</v>
      </c>
      <c r="L184" s="8">
        <f t="shared" si="5"/>
        <v>3</v>
      </c>
    </row>
    <row r="185" spans="1:12" x14ac:dyDescent="0.3">
      <c r="A185" s="10">
        <v>45378</v>
      </c>
      <c r="B185" s="11">
        <v>45378.461703402776</v>
      </c>
      <c r="C185" s="12">
        <f t="shared" si="0"/>
        <v>11</v>
      </c>
      <c r="D185" s="12" t="s">
        <v>4</v>
      </c>
      <c r="E185" s="12" t="s">
        <v>16</v>
      </c>
      <c r="F185" s="13">
        <v>28.9</v>
      </c>
      <c r="G185" s="12" t="s">
        <v>34</v>
      </c>
      <c r="H185" s="12" t="str">
        <f t="shared" si="1"/>
        <v>Morning</v>
      </c>
      <c r="I185" s="12" t="str">
        <f t="shared" si="2"/>
        <v>Wed</v>
      </c>
      <c r="J185" s="12" t="str">
        <f t="shared" si="3"/>
        <v>Mar</v>
      </c>
      <c r="K185" s="12">
        <f t="shared" si="4"/>
        <v>3</v>
      </c>
      <c r="L185" s="12">
        <f t="shared" si="5"/>
        <v>3</v>
      </c>
    </row>
    <row r="186" spans="1:12" x14ac:dyDescent="0.3">
      <c r="A186" s="6">
        <v>45378</v>
      </c>
      <c r="B186" s="7">
        <v>45378.46247958333</v>
      </c>
      <c r="C186" s="8">
        <f t="shared" si="0"/>
        <v>11</v>
      </c>
      <c r="D186" s="8" t="s">
        <v>4</v>
      </c>
      <c r="E186" s="8" t="s">
        <v>16</v>
      </c>
      <c r="F186" s="9">
        <v>33.799999999999997</v>
      </c>
      <c r="G186" s="8" t="s">
        <v>20</v>
      </c>
      <c r="H186" s="8" t="str">
        <f t="shared" si="1"/>
        <v>Morning</v>
      </c>
      <c r="I186" s="8" t="str">
        <f t="shared" si="2"/>
        <v>Wed</v>
      </c>
      <c r="J186" s="8" t="str">
        <f t="shared" si="3"/>
        <v>Mar</v>
      </c>
      <c r="K186" s="8">
        <f t="shared" si="4"/>
        <v>3</v>
      </c>
      <c r="L186" s="8">
        <f t="shared" si="5"/>
        <v>3</v>
      </c>
    </row>
    <row r="187" spans="1:12" x14ac:dyDescent="0.3">
      <c r="A187" s="10">
        <v>45378</v>
      </c>
      <c r="B187" s="11">
        <v>45378.539588680556</v>
      </c>
      <c r="C187" s="12">
        <f t="shared" si="0"/>
        <v>12</v>
      </c>
      <c r="D187" s="12" t="s">
        <v>4</v>
      </c>
      <c r="E187" s="12" t="s">
        <v>102</v>
      </c>
      <c r="F187" s="13">
        <v>33.799999999999997</v>
      </c>
      <c r="G187" s="12" t="s">
        <v>20</v>
      </c>
      <c r="H187" s="12" t="str">
        <f t="shared" si="1"/>
        <v>Afternoon</v>
      </c>
      <c r="I187" s="12" t="str">
        <f t="shared" si="2"/>
        <v>Wed</v>
      </c>
      <c r="J187" s="12" t="str">
        <f t="shared" si="3"/>
        <v>Mar</v>
      </c>
      <c r="K187" s="12">
        <f t="shared" si="4"/>
        <v>3</v>
      </c>
      <c r="L187" s="12">
        <f t="shared" si="5"/>
        <v>3</v>
      </c>
    </row>
    <row r="188" spans="1:12" x14ac:dyDescent="0.3">
      <c r="A188" s="6">
        <v>45378</v>
      </c>
      <c r="B188" s="7">
        <v>45378.56620415509</v>
      </c>
      <c r="C188" s="8">
        <f t="shared" si="0"/>
        <v>13</v>
      </c>
      <c r="D188" s="8" t="s">
        <v>4</v>
      </c>
      <c r="E188" s="8" t="s">
        <v>103</v>
      </c>
      <c r="F188" s="9">
        <v>38.700000000000003</v>
      </c>
      <c r="G188" s="8" t="s">
        <v>15</v>
      </c>
      <c r="H188" s="8" t="str">
        <f t="shared" si="1"/>
        <v>Afternoon</v>
      </c>
      <c r="I188" s="8" t="str">
        <f t="shared" si="2"/>
        <v>Wed</v>
      </c>
      <c r="J188" s="8" t="str">
        <f t="shared" si="3"/>
        <v>Mar</v>
      </c>
      <c r="K188" s="8">
        <f t="shared" si="4"/>
        <v>3</v>
      </c>
      <c r="L188" s="8">
        <f t="shared" si="5"/>
        <v>3</v>
      </c>
    </row>
    <row r="189" spans="1:12" x14ac:dyDescent="0.3">
      <c r="A189" s="10">
        <v>45378</v>
      </c>
      <c r="B189" s="11">
        <v>45378.598977569447</v>
      </c>
      <c r="C189" s="12">
        <f t="shared" si="0"/>
        <v>14</v>
      </c>
      <c r="D189" s="12" t="s">
        <v>4</v>
      </c>
      <c r="E189" s="12" t="s">
        <v>29</v>
      </c>
      <c r="F189" s="13">
        <v>38.700000000000003</v>
      </c>
      <c r="G189" s="12" t="s">
        <v>49</v>
      </c>
      <c r="H189" s="12" t="str">
        <f t="shared" si="1"/>
        <v>Afternoon</v>
      </c>
      <c r="I189" s="12" t="str">
        <f t="shared" si="2"/>
        <v>Wed</v>
      </c>
      <c r="J189" s="12" t="str">
        <f t="shared" si="3"/>
        <v>Mar</v>
      </c>
      <c r="K189" s="12">
        <f t="shared" si="4"/>
        <v>3</v>
      </c>
      <c r="L189" s="12">
        <f t="shared" si="5"/>
        <v>3</v>
      </c>
    </row>
    <row r="190" spans="1:12" x14ac:dyDescent="0.3">
      <c r="A190" s="6">
        <v>45378</v>
      </c>
      <c r="B190" s="7">
        <v>45378.599715046294</v>
      </c>
      <c r="C190" s="8">
        <f t="shared" si="0"/>
        <v>14</v>
      </c>
      <c r="D190" s="8" t="s">
        <v>4</v>
      </c>
      <c r="E190" s="8" t="s">
        <v>29</v>
      </c>
      <c r="F190" s="9">
        <v>28.9</v>
      </c>
      <c r="G190" s="8" t="s">
        <v>17</v>
      </c>
      <c r="H190" s="8" t="str">
        <f t="shared" si="1"/>
        <v>Afternoon</v>
      </c>
      <c r="I190" s="8" t="str">
        <f t="shared" si="2"/>
        <v>Wed</v>
      </c>
      <c r="J190" s="8" t="str">
        <f t="shared" si="3"/>
        <v>Mar</v>
      </c>
      <c r="K190" s="8">
        <f t="shared" si="4"/>
        <v>3</v>
      </c>
      <c r="L190" s="8">
        <f t="shared" si="5"/>
        <v>3</v>
      </c>
    </row>
    <row r="191" spans="1:12" x14ac:dyDescent="0.3">
      <c r="A191" s="10">
        <v>45378</v>
      </c>
      <c r="B191" s="11">
        <v>45378.770970289355</v>
      </c>
      <c r="C191" s="12">
        <f t="shared" si="0"/>
        <v>18</v>
      </c>
      <c r="D191" s="12" t="s">
        <v>4</v>
      </c>
      <c r="E191" s="12" t="s">
        <v>104</v>
      </c>
      <c r="F191" s="13">
        <v>28.9</v>
      </c>
      <c r="G191" s="12" t="s">
        <v>34</v>
      </c>
      <c r="H191" s="12" t="str">
        <f t="shared" si="1"/>
        <v>Night</v>
      </c>
      <c r="I191" s="12" t="str">
        <f t="shared" si="2"/>
        <v>Wed</v>
      </c>
      <c r="J191" s="12" t="str">
        <f t="shared" si="3"/>
        <v>Mar</v>
      </c>
      <c r="K191" s="12">
        <f t="shared" si="4"/>
        <v>3</v>
      </c>
      <c r="L191" s="12">
        <f t="shared" si="5"/>
        <v>3</v>
      </c>
    </row>
    <row r="192" spans="1:12" x14ac:dyDescent="0.3">
      <c r="A192" s="6">
        <v>45378</v>
      </c>
      <c r="B192" s="7">
        <v>45378.813338449072</v>
      </c>
      <c r="C192" s="8">
        <f t="shared" si="0"/>
        <v>19</v>
      </c>
      <c r="D192" s="8" t="s">
        <v>27</v>
      </c>
      <c r="E192" s="8"/>
      <c r="F192" s="9">
        <v>40</v>
      </c>
      <c r="G192" s="8" t="s">
        <v>13</v>
      </c>
      <c r="H192" s="8" t="str">
        <f t="shared" si="1"/>
        <v>Night</v>
      </c>
      <c r="I192" s="8" t="str">
        <f t="shared" si="2"/>
        <v>Wed</v>
      </c>
      <c r="J192" s="8" t="str">
        <f t="shared" si="3"/>
        <v>Mar</v>
      </c>
      <c r="K192" s="8">
        <f t="shared" si="4"/>
        <v>3</v>
      </c>
      <c r="L192" s="8">
        <f t="shared" si="5"/>
        <v>3</v>
      </c>
    </row>
    <row r="193" spans="1:12" x14ac:dyDescent="0.3">
      <c r="A193" s="10">
        <v>45379</v>
      </c>
      <c r="B193" s="11">
        <v>45379.600545046298</v>
      </c>
      <c r="C193" s="12">
        <f t="shared" si="0"/>
        <v>14</v>
      </c>
      <c r="D193" s="12" t="s">
        <v>4</v>
      </c>
      <c r="E193" s="12" t="s">
        <v>105</v>
      </c>
      <c r="F193" s="13">
        <v>28.9</v>
      </c>
      <c r="G193" s="12" t="s">
        <v>34</v>
      </c>
      <c r="H193" s="12" t="str">
        <f t="shared" si="1"/>
        <v>Afternoon</v>
      </c>
      <c r="I193" s="12" t="str">
        <f t="shared" si="2"/>
        <v>Thu</v>
      </c>
      <c r="J193" s="12" t="str">
        <f t="shared" si="3"/>
        <v>Mar</v>
      </c>
      <c r="K193" s="12">
        <f t="shared" si="4"/>
        <v>4</v>
      </c>
      <c r="L193" s="12">
        <f t="shared" si="5"/>
        <v>3</v>
      </c>
    </row>
    <row r="194" spans="1:12" x14ac:dyDescent="0.3">
      <c r="A194" s="6">
        <v>45379</v>
      </c>
      <c r="B194" s="7">
        <v>45379.725535231482</v>
      </c>
      <c r="C194" s="8">
        <f t="shared" si="0"/>
        <v>17</v>
      </c>
      <c r="D194" s="8" t="s">
        <v>4</v>
      </c>
      <c r="E194" s="8" t="s">
        <v>29</v>
      </c>
      <c r="F194" s="9">
        <v>28.9</v>
      </c>
      <c r="G194" s="8" t="s">
        <v>34</v>
      </c>
      <c r="H194" s="8" t="str">
        <f t="shared" si="1"/>
        <v>Night</v>
      </c>
      <c r="I194" s="8" t="str">
        <f t="shared" si="2"/>
        <v>Thu</v>
      </c>
      <c r="J194" s="8" t="str">
        <f t="shared" si="3"/>
        <v>Mar</v>
      </c>
      <c r="K194" s="8">
        <f t="shared" si="4"/>
        <v>4</v>
      </c>
      <c r="L194" s="8">
        <f t="shared" si="5"/>
        <v>3</v>
      </c>
    </row>
    <row r="195" spans="1:12" x14ac:dyDescent="0.3">
      <c r="A195" s="10">
        <v>45379</v>
      </c>
      <c r="B195" s="11">
        <v>45379.727144722223</v>
      </c>
      <c r="C195" s="12">
        <f t="shared" si="0"/>
        <v>17</v>
      </c>
      <c r="D195" s="12" t="s">
        <v>4</v>
      </c>
      <c r="E195" s="12" t="s">
        <v>29</v>
      </c>
      <c r="F195" s="13">
        <v>28.9</v>
      </c>
      <c r="G195" s="12" t="s">
        <v>17</v>
      </c>
      <c r="H195" s="12" t="str">
        <f t="shared" si="1"/>
        <v>Night</v>
      </c>
      <c r="I195" s="12" t="str">
        <f t="shared" si="2"/>
        <v>Thu</v>
      </c>
      <c r="J195" s="12" t="str">
        <f t="shared" si="3"/>
        <v>Mar</v>
      </c>
      <c r="K195" s="12">
        <f t="shared" si="4"/>
        <v>4</v>
      </c>
      <c r="L195" s="12">
        <f t="shared" si="5"/>
        <v>3</v>
      </c>
    </row>
    <row r="196" spans="1:12" x14ac:dyDescent="0.3">
      <c r="A196" s="6">
        <v>45379</v>
      </c>
      <c r="B196" s="7">
        <v>45379.731072361108</v>
      </c>
      <c r="C196" s="8">
        <f t="shared" si="0"/>
        <v>17</v>
      </c>
      <c r="D196" s="8" t="s">
        <v>4</v>
      </c>
      <c r="E196" s="8" t="s">
        <v>106</v>
      </c>
      <c r="F196" s="9">
        <v>38.700000000000003</v>
      </c>
      <c r="G196" s="8" t="s">
        <v>13</v>
      </c>
      <c r="H196" s="8" t="str">
        <f t="shared" si="1"/>
        <v>Night</v>
      </c>
      <c r="I196" s="8" t="str">
        <f t="shared" si="2"/>
        <v>Thu</v>
      </c>
      <c r="J196" s="8" t="str">
        <f t="shared" si="3"/>
        <v>Mar</v>
      </c>
      <c r="K196" s="8">
        <f t="shared" si="4"/>
        <v>4</v>
      </c>
      <c r="L196" s="8">
        <f t="shared" si="5"/>
        <v>3</v>
      </c>
    </row>
    <row r="197" spans="1:12" x14ac:dyDescent="0.3">
      <c r="A197" s="10">
        <v>45380</v>
      </c>
      <c r="B197" s="11">
        <v>45380.455781192133</v>
      </c>
      <c r="C197" s="12">
        <f t="shared" si="0"/>
        <v>10</v>
      </c>
      <c r="D197" s="12" t="s">
        <v>4</v>
      </c>
      <c r="E197" s="12" t="s">
        <v>107</v>
      </c>
      <c r="F197" s="13">
        <v>38.700000000000003</v>
      </c>
      <c r="G197" s="12" t="s">
        <v>13</v>
      </c>
      <c r="H197" s="12" t="str">
        <f t="shared" si="1"/>
        <v>Morning</v>
      </c>
      <c r="I197" s="12" t="str">
        <f t="shared" si="2"/>
        <v>Fri</v>
      </c>
      <c r="J197" s="12" t="str">
        <f t="shared" si="3"/>
        <v>Mar</v>
      </c>
      <c r="K197" s="12">
        <f t="shared" si="4"/>
        <v>5</v>
      </c>
      <c r="L197" s="12">
        <f t="shared" si="5"/>
        <v>3</v>
      </c>
    </row>
    <row r="198" spans="1:12" x14ac:dyDescent="0.3">
      <c r="A198" s="6">
        <v>45380</v>
      </c>
      <c r="B198" s="7">
        <v>45380.52381230324</v>
      </c>
      <c r="C198" s="8">
        <f t="shared" si="0"/>
        <v>12</v>
      </c>
      <c r="D198" s="8" t="s">
        <v>4</v>
      </c>
      <c r="E198" s="8" t="s">
        <v>108</v>
      </c>
      <c r="F198" s="9">
        <v>38.700000000000003</v>
      </c>
      <c r="G198" s="8" t="s">
        <v>49</v>
      </c>
      <c r="H198" s="8" t="str">
        <f t="shared" si="1"/>
        <v>Afternoon</v>
      </c>
      <c r="I198" s="8" t="str">
        <f t="shared" si="2"/>
        <v>Fri</v>
      </c>
      <c r="J198" s="8" t="str">
        <f t="shared" si="3"/>
        <v>Mar</v>
      </c>
      <c r="K198" s="8">
        <f t="shared" si="4"/>
        <v>5</v>
      </c>
      <c r="L198" s="8">
        <f t="shared" si="5"/>
        <v>3</v>
      </c>
    </row>
    <row r="199" spans="1:12" x14ac:dyDescent="0.3">
      <c r="A199" s="10">
        <v>45380</v>
      </c>
      <c r="B199" s="11">
        <v>45380.528844039349</v>
      </c>
      <c r="C199" s="12">
        <f t="shared" si="0"/>
        <v>12</v>
      </c>
      <c r="D199" s="12" t="s">
        <v>4</v>
      </c>
      <c r="E199" s="12" t="s">
        <v>108</v>
      </c>
      <c r="F199" s="13">
        <v>38.700000000000003</v>
      </c>
      <c r="G199" s="12" t="s">
        <v>49</v>
      </c>
      <c r="H199" s="12" t="str">
        <f t="shared" si="1"/>
        <v>Afternoon</v>
      </c>
      <c r="I199" s="12" t="str">
        <f t="shared" si="2"/>
        <v>Fri</v>
      </c>
      <c r="J199" s="12" t="str">
        <f t="shared" si="3"/>
        <v>Mar</v>
      </c>
      <c r="K199" s="12">
        <f t="shared" si="4"/>
        <v>5</v>
      </c>
      <c r="L199" s="12">
        <f t="shared" si="5"/>
        <v>3</v>
      </c>
    </row>
    <row r="200" spans="1:12" x14ac:dyDescent="0.3">
      <c r="A200" s="6">
        <v>45380</v>
      </c>
      <c r="B200" s="7">
        <v>45380.557460856478</v>
      </c>
      <c r="C200" s="8">
        <f t="shared" si="0"/>
        <v>13</v>
      </c>
      <c r="D200" s="8" t="s">
        <v>27</v>
      </c>
      <c r="E200" s="8"/>
      <c r="F200" s="9">
        <v>40</v>
      </c>
      <c r="G200" s="8" t="s">
        <v>49</v>
      </c>
      <c r="H200" s="8" t="str">
        <f t="shared" si="1"/>
        <v>Afternoon</v>
      </c>
      <c r="I200" s="8" t="str">
        <f t="shared" si="2"/>
        <v>Fri</v>
      </c>
      <c r="J200" s="8" t="str">
        <f t="shared" si="3"/>
        <v>Mar</v>
      </c>
      <c r="K200" s="8">
        <f t="shared" si="4"/>
        <v>5</v>
      </c>
      <c r="L200" s="8">
        <f t="shared" si="5"/>
        <v>3</v>
      </c>
    </row>
    <row r="201" spans="1:12" x14ac:dyDescent="0.3">
      <c r="A201" s="10">
        <v>45381</v>
      </c>
      <c r="B201" s="11">
        <v>45381.499535347219</v>
      </c>
      <c r="C201" s="12">
        <f t="shared" si="0"/>
        <v>11</v>
      </c>
      <c r="D201" s="12" t="s">
        <v>4</v>
      </c>
      <c r="E201" s="12" t="s">
        <v>89</v>
      </c>
      <c r="F201" s="13">
        <v>38.700000000000003</v>
      </c>
      <c r="G201" s="12" t="s">
        <v>13</v>
      </c>
      <c r="H201" s="12" t="str">
        <f t="shared" si="1"/>
        <v>Morning</v>
      </c>
      <c r="I201" s="12" t="str">
        <f t="shared" si="2"/>
        <v>Sat</v>
      </c>
      <c r="J201" s="12" t="str">
        <f t="shared" si="3"/>
        <v>Mar</v>
      </c>
      <c r="K201" s="12">
        <f t="shared" si="4"/>
        <v>6</v>
      </c>
      <c r="L201" s="12">
        <f t="shared" si="5"/>
        <v>3</v>
      </c>
    </row>
    <row r="202" spans="1:12" x14ac:dyDescent="0.3">
      <c r="A202" s="6">
        <v>45381</v>
      </c>
      <c r="B202" s="7">
        <v>45381.575993229169</v>
      </c>
      <c r="C202" s="8">
        <f t="shared" si="0"/>
        <v>13</v>
      </c>
      <c r="D202" s="8" t="s">
        <v>27</v>
      </c>
      <c r="E202" s="8"/>
      <c r="F202" s="9">
        <v>40</v>
      </c>
      <c r="G202" s="8" t="s">
        <v>49</v>
      </c>
      <c r="H202" s="8" t="str">
        <f t="shared" si="1"/>
        <v>Afternoon</v>
      </c>
      <c r="I202" s="8" t="str">
        <f t="shared" si="2"/>
        <v>Sat</v>
      </c>
      <c r="J202" s="8" t="str">
        <f t="shared" si="3"/>
        <v>Mar</v>
      </c>
      <c r="K202" s="8">
        <f t="shared" si="4"/>
        <v>6</v>
      </c>
      <c r="L202" s="8">
        <f t="shared" si="5"/>
        <v>3</v>
      </c>
    </row>
    <row r="203" spans="1:12" x14ac:dyDescent="0.3">
      <c r="A203" s="10">
        <v>45381</v>
      </c>
      <c r="B203" s="11">
        <v>45381.67536789352</v>
      </c>
      <c r="C203" s="12">
        <f t="shared" si="0"/>
        <v>16</v>
      </c>
      <c r="D203" s="12" t="s">
        <v>4</v>
      </c>
      <c r="E203" s="12" t="s">
        <v>35</v>
      </c>
      <c r="F203" s="13">
        <v>38.700000000000003</v>
      </c>
      <c r="G203" s="12" t="s">
        <v>13</v>
      </c>
      <c r="H203" s="12" t="str">
        <f t="shared" si="1"/>
        <v>Afternoon</v>
      </c>
      <c r="I203" s="12" t="str">
        <f t="shared" si="2"/>
        <v>Sat</v>
      </c>
      <c r="J203" s="12" t="str">
        <f t="shared" si="3"/>
        <v>Mar</v>
      </c>
      <c r="K203" s="12">
        <f t="shared" si="4"/>
        <v>6</v>
      </c>
      <c r="L203" s="12">
        <f t="shared" si="5"/>
        <v>3</v>
      </c>
    </row>
    <row r="204" spans="1:12" x14ac:dyDescent="0.3">
      <c r="A204" s="6">
        <v>45381</v>
      </c>
      <c r="B204" s="7">
        <v>45381.692135567129</v>
      </c>
      <c r="C204" s="8">
        <f t="shared" si="0"/>
        <v>16</v>
      </c>
      <c r="D204" s="8" t="s">
        <v>4</v>
      </c>
      <c r="E204" s="8" t="s">
        <v>25</v>
      </c>
      <c r="F204" s="9">
        <v>38.700000000000003</v>
      </c>
      <c r="G204" s="8" t="s">
        <v>13</v>
      </c>
      <c r="H204" s="8" t="str">
        <f t="shared" si="1"/>
        <v>Afternoon</v>
      </c>
      <c r="I204" s="8" t="str">
        <f t="shared" si="2"/>
        <v>Sat</v>
      </c>
      <c r="J204" s="8" t="str">
        <f t="shared" si="3"/>
        <v>Mar</v>
      </c>
      <c r="K204" s="8">
        <f t="shared" si="4"/>
        <v>6</v>
      </c>
      <c r="L204" s="8">
        <f t="shared" si="5"/>
        <v>3</v>
      </c>
    </row>
    <row r="205" spans="1:12" x14ac:dyDescent="0.3">
      <c r="A205" s="10">
        <v>45381</v>
      </c>
      <c r="B205" s="11">
        <v>45381.6930272338</v>
      </c>
      <c r="C205" s="12">
        <f t="shared" si="0"/>
        <v>16</v>
      </c>
      <c r="D205" s="12" t="s">
        <v>4</v>
      </c>
      <c r="E205" s="12" t="s">
        <v>25</v>
      </c>
      <c r="F205" s="13">
        <v>33.799999999999997</v>
      </c>
      <c r="G205" s="12" t="s">
        <v>20</v>
      </c>
      <c r="H205" s="12" t="str">
        <f t="shared" si="1"/>
        <v>Afternoon</v>
      </c>
      <c r="I205" s="12" t="str">
        <f t="shared" si="2"/>
        <v>Sat</v>
      </c>
      <c r="J205" s="12" t="str">
        <f t="shared" si="3"/>
        <v>Mar</v>
      </c>
      <c r="K205" s="12">
        <f t="shared" si="4"/>
        <v>6</v>
      </c>
      <c r="L205" s="12">
        <f t="shared" si="5"/>
        <v>3</v>
      </c>
    </row>
    <row r="206" spans="1:12" x14ac:dyDescent="0.3">
      <c r="A206" s="6">
        <v>45382</v>
      </c>
      <c r="B206" s="7">
        <v>45382.444496793978</v>
      </c>
      <c r="C206" s="8">
        <f t="shared" si="0"/>
        <v>10</v>
      </c>
      <c r="D206" s="8" t="s">
        <v>4</v>
      </c>
      <c r="E206" s="8" t="s">
        <v>109</v>
      </c>
      <c r="F206" s="9">
        <v>38.700000000000003</v>
      </c>
      <c r="G206" s="8" t="s">
        <v>49</v>
      </c>
      <c r="H206" s="8" t="str">
        <f t="shared" si="1"/>
        <v>Morning</v>
      </c>
      <c r="I206" s="8" t="str">
        <f t="shared" si="2"/>
        <v>Sun</v>
      </c>
      <c r="J206" s="8" t="str">
        <f t="shared" si="3"/>
        <v>Mar</v>
      </c>
      <c r="K206" s="8">
        <f t="shared" si="4"/>
        <v>7</v>
      </c>
      <c r="L206" s="8">
        <f t="shared" si="5"/>
        <v>3</v>
      </c>
    </row>
    <row r="207" spans="1:12" x14ac:dyDescent="0.3">
      <c r="A207" s="10">
        <v>45382</v>
      </c>
      <c r="B207" s="11">
        <v>45382.817187499997</v>
      </c>
      <c r="C207" s="12">
        <f t="shared" si="0"/>
        <v>19</v>
      </c>
      <c r="D207" s="12" t="s">
        <v>27</v>
      </c>
      <c r="E207" s="12"/>
      <c r="F207" s="13">
        <v>30</v>
      </c>
      <c r="G207" s="12" t="s">
        <v>17</v>
      </c>
      <c r="H207" s="12" t="str">
        <f t="shared" si="1"/>
        <v>Night</v>
      </c>
      <c r="I207" s="12" t="str">
        <f t="shared" si="2"/>
        <v>Sun</v>
      </c>
      <c r="J207" s="12" t="str">
        <f t="shared" si="3"/>
        <v>Mar</v>
      </c>
      <c r="K207" s="12">
        <f t="shared" si="4"/>
        <v>7</v>
      </c>
      <c r="L207" s="12">
        <f t="shared" si="5"/>
        <v>3</v>
      </c>
    </row>
    <row r="208" spans="1:12" x14ac:dyDescent="0.3">
      <c r="A208" s="6">
        <v>45383</v>
      </c>
      <c r="B208" s="7">
        <v>45383.436662048611</v>
      </c>
      <c r="C208" s="8">
        <f t="shared" si="0"/>
        <v>10</v>
      </c>
      <c r="D208" s="8" t="s">
        <v>4</v>
      </c>
      <c r="E208" s="8" t="s">
        <v>18</v>
      </c>
      <c r="F208" s="9">
        <v>28.9</v>
      </c>
      <c r="G208" s="8" t="s">
        <v>17</v>
      </c>
      <c r="H208" s="8" t="str">
        <f t="shared" si="1"/>
        <v>Morning</v>
      </c>
      <c r="I208" s="8" t="str">
        <f t="shared" si="2"/>
        <v>Mon</v>
      </c>
      <c r="J208" s="8" t="str">
        <f t="shared" si="3"/>
        <v>Apr</v>
      </c>
      <c r="K208" s="8">
        <f t="shared" si="4"/>
        <v>1</v>
      </c>
      <c r="L208" s="8">
        <f t="shared" si="5"/>
        <v>4</v>
      </c>
    </row>
    <row r="209" spans="1:12" x14ac:dyDescent="0.3">
      <c r="A209" s="10">
        <v>45383</v>
      </c>
      <c r="B209" s="11">
        <v>45383.437295347219</v>
      </c>
      <c r="C209" s="12">
        <f t="shared" si="0"/>
        <v>10</v>
      </c>
      <c r="D209" s="12" t="s">
        <v>4</v>
      </c>
      <c r="E209" s="12" t="s">
        <v>18</v>
      </c>
      <c r="F209" s="13">
        <v>33.799999999999997</v>
      </c>
      <c r="G209" s="12" t="s">
        <v>20</v>
      </c>
      <c r="H209" s="12" t="str">
        <f t="shared" si="1"/>
        <v>Morning</v>
      </c>
      <c r="I209" s="12" t="str">
        <f t="shared" si="2"/>
        <v>Mon</v>
      </c>
      <c r="J209" s="12" t="str">
        <f t="shared" si="3"/>
        <v>Apr</v>
      </c>
      <c r="K209" s="12">
        <f t="shared" si="4"/>
        <v>1</v>
      </c>
      <c r="L209" s="12">
        <f t="shared" si="5"/>
        <v>4</v>
      </c>
    </row>
    <row r="210" spans="1:12" x14ac:dyDescent="0.3">
      <c r="A210" s="6">
        <v>45383</v>
      </c>
      <c r="B210" s="7">
        <v>45383.438006192133</v>
      </c>
      <c r="C210" s="8">
        <f t="shared" si="0"/>
        <v>10</v>
      </c>
      <c r="D210" s="8" t="s">
        <v>4</v>
      </c>
      <c r="E210" s="8" t="s">
        <v>18</v>
      </c>
      <c r="F210" s="9">
        <v>33.799999999999997</v>
      </c>
      <c r="G210" s="8" t="s">
        <v>20</v>
      </c>
      <c r="H210" s="8" t="str">
        <f t="shared" si="1"/>
        <v>Morning</v>
      </c>
      <c r="I210" s="8" t="str">
        <f t="shared" si="2"/>
        <v>Mon</v>
      </c>
      <c r="J210" s="8" t="str">
        <f t="shared" si="3"/>
        <v>Apr</v>
      </c>
      <c r="K210" s="8">
        <f t="shared" si="4"/>
        <v>1</v>
      </c>
      <c r="L210" s="8">
        <f t="shared" si="5"/>
        <v>4</v>
      </c>
    </row>
    <row r="211" spans="1:12" x14ac:dyDescent="0.3">
      <c r="A211" s="10">
        <v>45383</v>
      </c>
      <c r="B211" s="11">
        <v>45383.46925736111</v>
      </c>
      <c r="C211" s="12">
        <f t="shared" si="0"/>
        <v>11</v>
      </c>
      <c r="D211" s="12" t="s">
        <v>4</v>
      </c>
      <c r="E211" s="12" t="s">
        <v>25</v>
      </c>
      <c r="F211" s="13">
        <v>33.799999999999997</v>
      </c>
      <c r="G211" s="12" t="s">
        <v>20</v>
      </c>
      <c r="H211" s="12" t="str">
        <f t="shared" si="1"/>
        <v>Morning</v>
      </c>
      <c r="I211" s="12" t="str">
        <f t="shared" si="2"/>
        <v>Mon</v>
      </c>
      <c r="J211" s="12" t="str">
        <f t="shared" si="3"/>
        <v>Apr</v>
      </c>
      <c r="K211" s="12">
        <f t="shared" si="4"/>
        <v>1</v>
      </c>
      <c r="L211" s="12">
        <f t="shared" si="5"/>
        <v>4</v>
      </c>
    </row>
    <row r="212" spans="1:12" x14ac:dyDescent="0.3">
      <c r="A212" s="6">
        <v>45383</v>
      </c>
      <c r="B212" s="7">
        <v>45383.709524583333</v>
      </c>
      <c r="C212" s="8">
        <f t="shared" si="0"/>
        <v>17</v>
      </c>
      <c r="D212" s="8" t="s">
        <v>27</v>
      </c>
      <c r="E212" s="8"/>
      <c r="F212" s="9">
        <v>40</v>
      </c>
      <c r="G212" s="8" t="s">
        <v>49</v>
      </c>
      <c r="H212" s="8" t="str">
        <f t="shared" si="1"/>
        <v>Night</v>
      </c>
      <c r="I212" s="8" t="str">
        <f t="shared" si="2"/>
        <v>Mon</v>
      </c>
      <c r="J212" s="8" t="str">
        <f t="shared" si="3"/>
        <v>Apr</v>
      </c>
      <c r="K212" s="8">
        <f t="shared" si="4"/>
        <v>1</v>
      </c>
      <c r="L212" s="8">
        <f t="shared" si="5"/>
        <v>4</v>
      </c>
    </row>
    <row r="213" spans="1:12" x14ac:dyDescent="0.3">
      <c r="A213" s="10">
        <v>45383</v>
      </c>
      <c r="B213" s="11">
        <v>45383.762990416668</v>
      </c>
      <c r="C213" s="12">
        <f t="shared" si="0"/>
        <v>18</v>
      </c>
      <c r="D213" s="12" t="s">
        <v>4</v>
      </c>
      <c r="E213" s="12" t="s">
        <v>43</v>
      </c>
      <c r="F213" s="13">
        <v>33.799999999999997</v>
      </c>
      <c r="G213" s="12" t="s">
        <v>20</v>
      </c>
      <c r="H213" s="12" t="str">
        <f t="shared" si="1"/>
        <v>Night</v>
      </c>
      <c r="I213" s="12" t="str">
        <f t="shared" si="2"/>
        <v>Mon</v>
      </c>
      <c r="J213" s="12" t="str">
        <f t="shared" si="3"/>
        <v>Apr</v>
      </c>
      <c r="K213" s="12">
        <f t="shared" si="4"/>
        <v>1</v>
      </c>
      <c r="L213" s="12">
        <f t="shared" si="5"/>
        <v>4</v>
      </c>
    </row>
    <row r="214" spans="1:12" x14ac:dyDescent="0.3">
      <c r="A214" s="6">
        <v>45383</v>
      </c>
      <c r="B214" s="7">
        <v>45383.781567546299</v>
      </c>
      <c r="C214" s="8">
        <f t="shared" si="0"/>
        <v>18</v>
      </c>
      <c r="D214" s="8" t="s">
        <v>4</v>
      </c>
      <c r="E214" s="8" t="s">
        <v>110</v>
      </c>
      <c r="F214" s="9">
        <v>38.700000000000003</v>
      </c>
      <c r="G214" s="8" t="s">
        <v>15</v>
      </c>
      <c r="H214" s="8" t="str">
        <f t="shared" si="1"/>
        <v>Night</v>
      </c>
      <c r="I214" s="8" t="str">
        <f t="shared" si="2"/>
        <v>Mon</v>
      </c>
      <c r="J214" s="8" t="str">
        <f t="shared" si="3"/>
        <v>Apr</v>
      </c>
      <c r="K214" s="8">
        <f t="shared" si="4"/>
        <v>1</v>
      </c>
      <c r="L214" s="8">
        <f t="shared" si="5"/>
        <v>4</v>
      </c>
    </row>
    <row r="215" spans="1:12" x14ac:dyDescent="0.3">
      <c r="A215" s="10">
        <v>45384</v>
      </c>
      <c r="B215" s="11">
        <v>45384.417523402779</v>
      </c>
      <c r="C215" s="12">
        <f t="shared" si="0"/>
        <v>10</v>
      </c>
      <c r="D215" s="12" t="s">
        <v>4</v>
      </c>
      <c r="E215" s="12" t="s">
        <v>12</v>
      </c>
      <c r="F215" s="13">
        <v>38.700000000000003</v>
      </c>
      <c r="G215" s="12" t="s">
        <v>13</v>
      </c>
      <c r="H215" s="12" t="str">
        <f t="shared" si="1"/>
        <v>Morning</v>
      </c>
      <c r="I215" s="12" t="str">
        <f t="shared" si="2"/>
        <v>Tue</v>
      </c>
      <c r="J215" s="12" t="str">
        <f t="shared" si="3"/>
        <v>Apr</v>
      </c>
      <c r="K215" s="12">
        <f t="shared" si="4"/>
        <v>2</v>
      </c>
      <c r="L215" s="12">
        <f t="shared" si="5"/>
        <v>4</v>
      </c>
    </row>
    <row r="216" spans="1:12" x14ac:dyDescent="0.3">
      <c r="A216" s="6">
        <v>45384</v>
      </c>
      <c r="B216" s="7">
        <v>45384.679562141202</v>
      </c>
      <c r="C216" s="8">
        <f t="shared" si="0"/>
        <v>16</v>
      </c>
      <c r="D216" s="8" t="s">
        <v>4</v>
      </c>
      <c r="E216" s="8" t="s">
        <v>16</v>
      </c>
      <c r="F216" s="9">
        <v>28.9</v>
      </c>
      <c r="G216" s="8" t="s">
        <v>17</v>
      </c>
      <c r="H216" s="8" t="str">
        <f t="shared" si="1"/>
        <v>Afternoon</v>
      </c>
      <c r="I216" s="8" t="str">
        <f t="shared" si="2"/>
        <v>Tue</v>
      </c>
      <c r="J216" s="8" t="str">
        <f t="shared" si="3"/>
        <v>Apr</v>
      </c>
      <c r="K216" s="8">
        <f t="shared" si="4"/>
        <v>2</v>
      </c>
      <c r="L216" s="8">
        <f t="shared" si="5"/>
        <v>4</v>
      </c>
    </row>
    <row r="217" spans="1:12" x14ac:dyDescent="0.3">
      <c r="A217" s="10">
        <v>45384</v>
      </c>
      <c r="B217" s="11">
        <v>45384.680190509258</v>
      </c>
      <c r="C217" s="12">
        <f t="shared" si="0"/>
        <v>16</v>
      </c>
      <c r="D217" s="12" t="s">
        <v>4</v>
      </c>
      <c r="E217" s="12" t="s">
        <v>16</v>
      </c>
      <c r="F217" s="13">
        <v>28.9</v>
      </c>
      <c r="G217" s="12" t="s">
        <v>34</v>
      </c>
      <c r="H217" s="12" t="str">
        <f t="shared" si="1"/>
        <v>Afternoon</v>
      </c>
      <c r="I217" s="12" t="str">
        <f t="shared" si="2"/>
        <v>Tue</v>
      </c>
      <c r="J217" s="12" t="str">
        <f t="shared" si="3"/>
        <v>Apr</v>
      </c>
      <c r="K217" s="12">
        <f t="shared" si="4"/>
        <v>2</v>
      </c>
      <c r="L217" s="12">
        <f t="shared" si="5"/>
        <v>4</v>
      </c>
    </row>
    <row r="218" spans="1:12" x14ac:dyDescent="0.3">
      <c r="A218" s="6">
        <v>45384</v>
      </c>
      <c r="B218" s="7">
        <v>45384.833008587964</v>
      </c>
      <c r="C218" s="8">
        <f t="shared" si="0"/>
        <v>19</v>
      </c>
      <c r="D218" s="8" t="s">
        <v>27</v>
      </c>
      <c r="E218" s="8"/>
      <c r="F218" s="9">
        <v>40</v>
      </c>
      <c r="G218" s="8" t="s">
        <v>49</v>
      </c>
      <c r="H218" s="8" t="str">
        <f t="shared" si="1"/>
        <v>Night</v>
      </c>
      <c r="I218" s="8" t="str">
        <f t="shared" si="2"/>
        <v>Tue</v>
      </c>
      <c r="J218" s="8" t="str">
        <f t="shared" si="3"/>
        <v>Apr</v>
      </c>
      <c r="K218" s="8">
        <f t="shared" si="4"/>
        <v>2</v>
      </c>
      <c r="L218" s="8">
        <f t="shared" si="5"/>
        <v>4</v>
      </c>
    </row>
    <row r="219" spans="1:12" x14ac:dyDescent="0.3">
      <c r="A219" s="10">
        <v>45385</v>
      </c>
      <c r="B219" s="11">
        <v>45385.430019027779</v>
      </c>
      <c r="C219" s="12">
        <f t="shared" si="0"/>
        <v>10</v>
      </c>
      <c r="D219" s="12" t="s">
        <v>4</v>
      </c>
      <c r="E219" s="12" t="s">
        <v>16</v>
      </c>
      <c r="F219" s="13">
        <v>28.9</v>
      </c>
      <c r="G219" s="12" t="s">
        <v>34</v>
      </c>
      <c r="H219" s="12" t="str">
        <f t="shared" si="1"/>
        <v>Morning</v>
      </c>
      <c r="I219" s="12" t="str">
        <f t="shared" si="2"/>
        <v>Wed</v>
      </c>
      <c r="J219" s="12" t="str">
        <f t="shared" si="3"/>
        <v>Apr</v>
      </c>
      <c r="K219" s="12">
        <f t="shared" si="4"/>
        <v>3</v>
      </c>
      <c r="L219" s="12">
        <f t="shared" si="5"/>
        <v>4</v>
      </c>
    </row>
    <row r="220" spans="1:12" x14ac:dyDescent="0.3">
      <c r="A220" s="6">
        <v>45385</v>
      </c>
      <c r="B220" s="7">
        <v>45385.430644155094</v>
      </c>
      <c r="C220" s="8">
        <f t="shared" si="0"/>
        <v>10</v>
      </c>
      <c r="D220" s="8" t="s">
        <v>4</v>
      </c>
      <c r="E220" s="8" t="s">
        <v>16</v>
      </c>
      <c r="F220" s="9">
        <v>28.9</v>
      </c>
      <c r="G220" s="8" t="s">
        <v>17</v>
      </c>
      <c r="H220" s="8" t="str">
        <f t="shared" si="1"/>
        <v>Morning</v>
      </c>
      <c r="I220" s="8" t="str">
        <f t="shared" si="2"/>
        <v>Wed</v>
      </c>
      <c r="J220" s="8" t="str">
        <f t="shared" si="3"/>
        <v>Apr</v>
      </c>
      <c r="K220" s="8">
        <f t="shared" si="4"/>
        <v>3</v>
      </c>
      <c r="L220" s="8">
        <f t="shared" si="5"/>
        <v>4</v>
      </c>
    </row>
    <row r="221" spans="1:12" x14ac:dyDescent="0.3">
      <c r="A221" s="10">
        <v>45385</v>
      </c>
      <c r="B221" s="11">
        <v>45385.550062118054</v>
      </c>
      <c r="C221" s="12">
        <f t="shared" si="0"/>
        <v>13</v>
      </c>
      <c r="D221" s="12" t="s">
        <v>4</v>
      </c>
      <c r="E221" s="12" t="s">
        <v>29</v>
      </c>
      <c r="F221" s="13">
        <v>38.700000000000003</v>
      </c>
      <c r="G221" s="12" t="s">
        <v>49</v>
      </c>
      <c r="H221" s="12" t="str">
        <f t="shared" si="1"/>
        <v>Afternoon</v>
      </c>
      <c r="I221" s="12" t="str">
        <f t="shared" si="2"/>
        <v>Wed</v>
      </c>
      <c r="J221" s="12" t="str">
        <f t="shared" si="3"/>
        <v>Apr</v>
      </c>
      <c r="K221" s="12">
        <f t="shared" si="4"/>
        <v>3</v>
      </c>
      <c r="L221" s="12">
        <f t="shared" si="5"/>
        <v>4</v>
      </c>
    </row>
    <row r="222" spans="1:12" x14ac:dyDescent="0.3">
      <c r="A222" s="6">
        <v>45385</v>
      </c>
      <c r="B222" s="7">
        <v>45385.650135821757</v>
      </c>
      <c r="C222" s="8">
        <f t="shared" si="0"/>
        <v>15</v>
      </c>
      <c r="D222" s="8" t="s">
        <v>27</v>
      </c>
      <c r="E222" s="8"/>
      <c r="F222" s="9">
        <v>30</v>
      </c>
      <c r="G222" s="8" t="s">
        <v>34</v>
      </c>
      <c r="H222" s="8" t="str">
        <f t="shared" si="1"/>
        <v>Afternoon</v>
      </c>
      <c r="I222" s="8" t="str">
        <f t="shared" si="2"/>
        <v>Wed</v>
      </c>
      <c r="J222" s="8" t="str">
        <f t="shared" si="3"/>
        <v>Apr</v>
      </c>
      <c r="K222" s="8">
        <f t="shared" si="4"/>
        <v>3</v>
      </c>
      <c r="L222" s="8">
        <f t="shared" si="5"/>
        <v>4</v>
      </c>
    </row>
    <row r="223" spans="1:12" x14ac:dyDescent="0.3">
      <c r="A223" s="10">
        <v>45386</v>
      </c>
      <c r="B223" s="11">
        <v>45386.447870231481</v>
      </c>
      <c r="C223" s="12">
        <f t="shared" si="0"/>
        <v>10</v>
      </c>
      <c r="D223" s="12" t="s">
        <v>4</v>
      </c>
      <c r="E223" s="12" t="s">
        <v>111</v>
      </c>
      <c r="F223" s="13">
        <v>38.700000000000003</v>
      </c>
      <c r="G223" s="12" t="s">
        <v>13</v>
      </c>
      <c r="H223" s="12" t="str">
        <f t="shared" si="1"/>
        <v>Morning</v>
      </c>
      <c r="I223" s="12" t="str">
        <f t="shared" si="2"/>
        <v>Thu</v>
      </c>
      <c r="J223" s="12" t="str">
        <f t="shared" si="3"/>
        <v>Apr</v>
      </c>
      <c r="K223" s="12">
        <f t="shared" si="4"/>
        <v>4</v>
      </c>
      <c r="L223" s="12">
        <f t="shared" si="5"/>
        <v>4</v>
      </c>
    </row>
    <row r="224" spans="1:12" x14ac:dyDescent="0.3">
      <c r="A224" s="6">
        <v>45386</v>
      </c>
      <c r="B224" s="7">
        <v>45386.476829687497</v>
      </c>
      <c r="C224" s="8">
        <f t="shared" si="0"/>
        <v>11</v>
      </c>
      <c r="D224" s="8" t="s">
        <v>4</v>
      </c>
      <c r="E224" s="8" t="s">
        <v>112</v>
      </c>
      <c r="F224" s="9">
        <v>38.700000000000003</v>
      </c>
      <c r="G224" s="8" t="s">
        <v>13</v>
      </c>
      <c r="H224" s="8" t="str">
        <f t="shared" si="1"/>
        <v>Morning</v>
      </c>
      <c r="I224" s="8" t="str">
        <f t="shared" si="2"/>
        <v>Thu</v>
      </c>
      <c r="J224" s="8" t="str">
        <f t="shared" si="3"/>
        <v>Apr</v>
      </c>
      <c r="K224" s="8">
        <f t="shared" si="4"/>
        <v>4</v>
      </c>
      <c r="L224" s="8">
        <f t="shared" si="5"/>
        <v>4</v>
      </c>
    </row>
    <row r="225" spans="1:12" x14ac:dyDescent="0.3">
      <c r="A225" s="10">
        <v>45386</v>
      </c>
      <c r="B225" s="11">
        <v>45386.477643645834</v>
      </c>
      <c r="C225" s="12">
        <f t="shared" si="0"/>
        <v>11</v>
      </c>
      <c r="D225" s="12" t="s">
        <v>4</v>
      </c>
      <c r="E225" s="12" t="s">
        <v>113</v>
      </c>
      <c r="F225" s="13">
        <v>38.700000000000003</v>
      </c>
      <c r="G225" s="12" t="s">
        <v>49</v>
      </c>
      <c r="H225" s="12" t="str">
        <f t="shared" si="1"/>
        <v>Morning</v>
      </c>
      <c r="I225" s="12" t="str">
        <f t="shared" si="2"/>
        <v>Thu</v>
      </c>
      <c r="J225" s="12" t="str">
        <f t="shared" si="3"/>
        <v>Apr</v>
      </c>
      <c r="K225" s="12">
        <f t="shared" si="4"/>
        <v>4</v>
      </c>
      <c r="L225" s="12">
        <f t="shared" si="5"/>
        <v>4</v>
      </c>
    </row>
    <row r="226" spans="1:12" x14ac:dyDescent="0.3">
      <c r="A226" s="6">
        <v>45386</v>
      </c>
      <c r="B226" s="7">
        <v>45386.515997870367</v>
      </c>
      <c r="C226" s="8">
        <f t="shared" si="0"/>
        <v>12</v>
      </c>
      <c r="D226" s="8" t="s">
        <v>4</v>
      </c>
      <c r="E226" s="8" t="s">
        <v>114</v>
      </c>
      <c r="F226" s="9">
        <v>28.9</v>
      </c>
      <c r="G226" s="8" t="s">
        <v>34</v>
      </c>
      <c r="H226" s="8" t="str">
        <f t="shared" si="1"/>
        <v>Afternoon</v>
      </c>
      <c r="I226" s="8" t="str">
        <f t="shared" si="2"/>
        <v>Thu</v>
      </c>
      <c r="J226" s="8" t="str">
        <f t="shared" si="3"/>
        <v>Apr</v>
      </c>
      <c r="K226" s="8">
        <f t="shared" si="4"/>
        <v>4</v>
      </c>
      <c r="L226" s="8">
        <f t="shared" si="5"/>
        <v>4</v>
      </c>
    </row>
    <row r="227" spans="1:12" x14ac:dyDescent="0.3">
      <c r="A227" s="10">
        <v>45386</v>
      </c>
      <c r="B227" s="11">
        <v>45386.820922916668</v>
      </c>
      <c r="C227" s="12">
        <f t="shared" si="0"/>
        <v>19</v>
      </c>
      <c r="D227" s="12" t="s">
        <v>27</v>
      </c>
      <c r="E227" s="12"/>
      <c r="F227" s="13">
        <v>40</v>
      </c>
      <c r="G227" s="12" t="s">
        <v>13</v>
      </c>
      <c r="H227" s="12" t="str">
        <f t="shared" si="1"/>
        <v>Night</v>
      </c>
      <c r="I227" s="12" t="str">
        <f t="shared" si="2"/>
        <v>Thu</v>
      </c>
      <c r="J227" s="12" t="str">
        <f t="shared" si="3"/>
        <v>Apr</v>
      </c>
      <c r="K227" s="12">
        <f t="shared" si="4"/>
        <v>4</v>
      </c>
      <c r="L227" s="12">
        <f t="shared" si="5"/>
        <v>4</v>
      </c>
    </row>
    <row r="228" spans="1:12" x14ac:dyDescent="0.3">
      <c r="A228" s="6">
        <v>45387</v>
      </c>
      <c r="B228" s="7">
        <v>45387.444938981484</v>
      </c>
      <c r="C228" s="8">
        <f t="shared" si="0"/>
        <v>10</v>
      </c>
      <c r="D228" s="8" t="s">
        <v>4</v>
      </c>
      <c r="E228" s="8" t="s">
        <v>115</v>
      </c>
      <c r="F228" s="9">
        <v>28.9</v>
      </c>
      <c r="G228" s="8" t="s">
        <v>17</v>
      </c>
      <c r="H228" s="8" t="str">
        <f t="shared" si="1"/>
        <v>Morning</v>
      </c>
      <c r="I228" s="8" t="str">
        <f t="shared" si="2"/>
        <v>Fri</v>
      </c>
      <c r="J228" s="8" t="str">
        <f t="shared" si="3"/>
        <v>Apr</v>
      </c>
      <c r="K228" s="8">
        <f t="shared" si="4"/>
        <v>5</v>
      </c>
      <c r="L228" s="8">
        <f t="shared" si="5"/>
        <v>4</v>
      </c>
    </row>
    <row r="229" spans="1:12" x14ac:dyDescent="0.3">
      <c r="A229" s="10">
        <v>45387</v>
      </c>
      <c r="B229" s="11">
        <v>45387.445905138891</v>
      </c>
      <c r="C229" s="12">
        <f t="shared" si="0"/>
        <v>10</v>
      </c>
      <c r="D229" s="12" t="s">
        <v>4</v>
      </c>
      <c r="E229" s="12" t="s">
        <v>29</v>
      </c>
      <c r="F229" s="13">
        <v>28.9</v>
      </c>
      <c r="G229" s="12" t="s">
        <v>17</v>
      </c>
      <c r="H229" s="12" t="str">
        <f t="shared" si="1"/>
        <v>Morning</v>
      </c>
      <c r="I229" s="12" t="str">
        <f t="shared" si="2"/>
        <v>Fri</v>
      </c>
      <c r="J229" s="12" t="str">
        <f t="shared" si="3"/>
        <v>Apr</v>
      </c>
      <c r="K229" s="12">
        <f t="shared" si="4"/>
        <v>5</v>
      </c>
      <c r="L229" s="12">
        <f t="shared" si="5"/>
        <v>4</v>
      </c>
    </row>
    <row r="230" spans="1:12" x14ac:dyDescent="0.3">
      <c r="A230" s="6">
        <v>45387</v>
      </c>
      <c r="B230" s="7">
        <v>45387.462669479166</v>
      </c>
      <c r="C230" s="8">
        <f t="shared" si="0"/>
        <v>11</v>
      </c>
      <c r="D230" s="8" t="s">
        <v>4</v>
      </c>
      <c r="E230" s="8" t="s">
        <v>116</v>
      </c>
      <c r="F230" s="9">
        <v>28.9</v>
      </c>
      <c r="G230" s="8" t="s">
        <v>34</v>
      </c>
      <c r="H230" s="8" t="str">
        <f t="shared" si="1"/>
        <v>Morning</v>
      </c>
      <c r="I230" s="8" t="str">
        <f t="shared" si="2"/>
        <v>Fri</v>
      </c>
      <c r="J230" s="8" t="str">
        <f t="shared" si="3"/>
        <v>Apr</v>
      </c>
      <c r="K230" s="8">
        <f t="shared" si="4"/>
        <v>5</v>
      </c>
      <c r="L230" s="8">
        <f t="shared" si="5"/>
        <v>4</v>
      </c>
    </row>
    <row r="231" spans="1:12" x14ac:dyDescent="0.3">
      <c r="A231" s="10">
        <v>45387</v>
      </c>
      <c r="B231" s="11">
        <v>45387.510046006944</v>
      </c>
      <c r="C231" s="12">
        <f t="shared" si="0"/>
        <v>12</v>
      </c>
      <c r="D231" s="12" t="s">
        <v>4</v>
      </c>
      <c r="E231" s="12" t="s">
        <v>117</v>
      </c>
      <c r="F231" s="13">
        <v>33.799999999999997</v>
      </c>
      <c r="G231" s="12" t="s">
        <v>20</v>
      </c>
      <c r="H231" s="12" t="str">
        <f t="shared" si="1"/>
        <v>Afternoon</v>
      </c>
      <c r="I231" s="12" t="str">
        <f t="shared" si="2"/>
        <v>Fri</v>
      </c>
      <c r="J231" s="12" t="str">
        <f t="shared" si="3"/>
        <v>Apr</v>
      </c>
      <c r="K231" s="12">
        <f t="shared" si="4"/>
        <v>5</v>
      </c>
      <c r="L231" s="12">
        <f t="shared" si="5"/>
        <v>4</v>
      </c>
    </row>
    <row r="232" spans="1:12" x14ac:dyDescent="0.3">
      <c r="A232" s="6">
        <v>45387</v>
      </c>
      <c r="B232" s="7">
        <v>45387.599772997688</v>
      </c>
      <c r="C232" s="8">
        <f t="shared" si="0"/>
        <v>14</v>
      </c>
      <c r="D232" s="8" t="s">
        <v>4</v>
      </c>
      <c r="E232" s="8" t="s">
        <v>118</v>
      </c>
      <c r="F232" s="9">
        <v>38.700000000000003</v>
      </c>
      <c r="G232" s="8" t="s">
        <v>13</v>
      </c>
      <c r="H232" s="8" t="str">
        <f t="shared" si="1"/>
        <v>Afternoon</v>
      </c>
      <c r="I232" s="8" t="str">
        <f t="shared" si="2"/>
        <v>Fri</v>
      </c>
      <c r="J232" s="8" t="str">
        <f t="shared" si="3"/>
        <v>Apr</v>
      </c>
      <c r="K232" s="8">
        <f t="shared" si="4"/>
        <v>5</v>
      </c>
      <c r="L232" s="8">
        <f t="shared" si="5"/>
        <v>4</v>
      </c>
    </row>
    <row r="233" spans="1:12" x14ac:dyDescent="0.3">
      <c r="A233" s="10">
        <v>45387</v>
      </c>
      <c r="B233" s="11">
        <v>45387.600583530089</v>
      </c>
      <c r="C233" s="12">
        <f t="shared" si="0"/>
        <v>14</v>
      </c>
      <c r="D233" s="12" t="s">
        <v>4</v>
      </c>
      <c r="E233" s="12" t="s">
        <v>118</v>
      </c>
      <c r="F233" s="13">
        <v>28.9</v>
      </c>
      <c r="G233" s="12" t="s">
        <v>34</v>
      </c>
      <c r="H233" s="12" t="str">
        <f t="shared" si="1"/>
        <v>Afternoon</v>
      </c>
      <c r="I233" s="12" t="str">
        <f t="shared" si="2"/>
        <v>Fri</v>
      </c>
      <c r="J233" s="12" t="str">
        <f t="shared" si="3"/>
        <v>Apr</v>
      </c>
      <c r="K233" s="12">
        <f t="shared" si="4"/>
        <v>5</v>
      </c>
      <c r="L233" s="12">
        <f t="shared" si="5"/>
        <v>4</v>
      </c>
    </row>
    <row r="234" spans="1:12" x14ac:dyDescent="0.3">
      <c r="A234" s="6">
        <v>45387</v>
      </c>
      <c r="B234" s="7">
        <v>45387.646416469906</v>
      </c>
      <c r="C234" s="8">
        <f t="shared" si="0"/>
        <v>15</v>
      </c>
      <c r="D234" s="8" t="s">
        <v>27</v>
      </c>
      <c r="E234" s="8"/>
      <c r="F234" s="9">
        <v>40</v>
      </c>
      <c r="G234" s="8" t="s">
        <v>13</v>
      </c>
      <c r="H234" s="8" t="str">
        <f t="shared" si="1"/>
        <v>Afternoon</v>
      </c>
      <c r="I234" s="8" t="str">
        <f t="shared" si="2"/>
        <v>Fri</v>
      </c>
      <c r="J234" s="8" t="str">
        <f t="shared" si="3"/>
        <v>Apr</v>
      </c>
      <c r="K234" s="8">
        <f t="shared" si="4"/>
        <v>5</v>
      </c>
      <c r="L234" s="8">
        <f t="shared" si="5"/>
        <v>4</v>
      </c>
    </row>
    <row r="235" spans="1:12" x14ac:dyDescent="0.3">
      <c r="A235" s="10">
        <v>45387</v>
      </c>
      <c r="B235" s="11">
        <v>45387.662682499998</v>
      </c>
      <c r="C235" s="12">
        <f t="shared" si="0"/>
        <v>15</v>
      </c>
      <c r="D235" s="12" t="s">
        <v>27</v>
      </c>
      <c r="E235" s="12"/>
      <c r="F235" s="13">
        <v>40</v>
      </c>
      <c r="G235" s="12" t="s">
        <v>49</v>
      </c>
      <c r="H235" s="12" t="str">
        <f t="shared" si="1"/>
        <v>Afternoon</v>
      </c>
      <c r="I235" s="12" t="str">
        <f t="shared" si="2"/>
        <v>Fri</v>
      </c>
      <c r="J235" s="12" t="str">
        <f t="shared" si="3"/>
        <v>Apr</v>
      </c>
      <c r="K235" s="12">
        <f t="shared" si="4"/>
        <v>5</v>
      </c>
      <c r="L235" s="12">
        <f t="shared" si="5"/>
        <v>4</v>
      </c>
    </row>
    <row r="236" spans="1:12" x14ac:dyDescent="0.3">
      <c r="A236" s="6">
        <v>45387</v>
      </c>
      <c r="B236" s="7">
        <v>45387.663552627317</v>
      </c>
      <c r="C236" s="8">
        <f t="shared" si="0"/>
        <v>15</v>
      </c>
      <c r="D236" s="8" t="s">
        <v>27</v>
      </c>
      <c r="E236" s="8"/>
      <c r="F236" s="9">
        <v>30</v>
      </c>
      <c r="G236" s="8" t="s">
        <v>17</v>
      </c>
      <c r="H236" s="8" t="str">
        <f t="shared" si="1"/>
        <v>Afternoon</v>
      </c>
      <c r="I236" s="8" t="str">
        <f t="shared" si="2"/>
        <v>Fri</v>
      </c>
      <c r="J236" s="8" t="str">
        <f t="shared" si="3"/>
        <v>Apr</v>
      </c>
      <c r="K236" s="8">
        <f t="shared" si="4"/>
        <v>5</v>
      </c>
      <c r="L236" s="8">
        <f t="shared" si="5"/>
        <v>4</v>
      </c>
    </row>
    <row r="237" spans="1:12" x14ac:dyDescent="0.3">
      <c r="A237" s="10">
        <v>45387</v>
      </c>
      <c r="B237" s="11">
        <v>45387.678981192126</v>
      </c>
      <c r="C237" s="12">
        <f t="shared" si="0"/>
        <v>16</v>
      </c>
      <c r="D237" s="12" t="s">
        <v>27</v>
      </c>
      <c r="E237" s="12"/>
      <c r="F237" s="13">
        <v>40</v>
      </c>
      <c r="G237" s="12" t="s">
        <v>24</v>
      </c>
      <c r="H237" s="12" t="str">
        <f t="shared" si="1"/>
        <v>Afternoon</v>
      </c>
      <c r="I237" s="12" t="str">
        <f t="shared" si="2"/>
        <v>Fri</v>
      </c>
      <c r="J237" s="12" t="str">
        <f t="shared" si="3"/>
        <v>Apr</v>
      </c>
      <c r="K237" s="12">
        <f t="shared" si="4"/>
        <v>5</v>
      </c>
      <c r="L237" s="12">
        <f t="shared" si="5"/>
        <v>4</v>
      </c>
    </row>
    <row r="238" spans="1:12" x14ac:dyDescent="0.3">
      <c r="A238" s="6">
        <v>45387</v>
      </c>
      <c r="B238" s="7">
        <v>45387.679439328705</v>
      </c>
      <c r="C238" s="8">
        <f t="shared" si="0"/>
        <v>16</v>
      </c>
      <c r="D238" s="8" t="s">
        <v>4</v>
      </c>
      <c r="E238" s="8" t="s">
        <v>16</v>
      </c>
      <c r="F238" s="9">
        <v>24</v>
      </c>
      <c r="G238" s="8" t="s">
        <v>41</v>
      </c>
      <c r="H238" s="8" t="str">
        <f t="shared" si="1"/>
        <v>Afternoon</v>
      </c>
      <c r="I238" s="8" t="str">
        <f t="shared" si="2"/>
        <v>Fri</v>
      </c>
      <c r="J238" s="8" t="str">
        <f t="shared" si="3"/>
        <v>Apr</v>
      </c>
      <c r="K238" s="8">
        <f t="shared" si="4"/>
        <v>5</v>
      </c>
      <c r="L238" s="8">
        <f t="shared" si="5"/>
        <v>4</v>
      </c>
    </row>
    <row r="239" spans="1:12" x14ac:dyDescent="0.3">
      <c r="A239" s="10">
        <v>45388</v>
      </c>
      <c r="B239" s="11">
        <v>45388.522585625004</v>
      </c>
      <c r="C239" s="12">
        <f t="shared" si="0"/>
        <v>12</v>
      </c>
      <c r="D239" s="12" t="s">
        <v>4</v>
      </c>
      <c r="E239" s="12" t="s">
        <v>119</v>
      </c>
      <c r="F239" s="13">
        <v>33.799999999999997</v>
      </c>
      <c r="G239" s="12" t="s">
        <v>20</v>
      </c>
      <c r="H239" s="12" t="str">
        <f t="shared" si="1"/>
        <v>Afternoon</v>
      </c>
      <c r="I239" s="12" t="str">
        <f t="shared" si="2"/>
        <v>Sat</v>
      </c>
      <c r="J239" s="12" t="str">
        <f t="shared" si="3"/>
        <v>Apr</v>
      </c>
      <c r="K239" s="12">
        <f t="shared" si="4"/>
        <v>6</v>
      </c>
      <c r="L239" s="12">
        <f t="shared" si="5"/>
        <v>4</v>
      </c>
    </row>
    <row r="240" spans="1:12" x14ac:dyDescent="0.3">
      <c r="A240" s="6">
        <v>45388</v>
      </c>
      <c r="B240" s="7">
        <v>45388.592577928241</v>
      </c>
      <c r="C240" s="8">
        <f t="shared" si="0"/>
        <v>14</v>
      </c>
      <c r="D240" s="8" t="s">
        <v>4</v>
      </c>
      <c r="E240" s="8" t="s">
        <v>60</v>
      </c>
      <c r="F240" s="9">
        <v>38.700000000000003</v>
      </c>
      <c r="G240" s="8" t="s">
        <v>49</v>
      </c>
      <c r="H240" s="8" t="str">
        <f t="shared" si="1"/>
        <v>Afternoon</v>
      </c>
      <c r="I240" s="8" t="str">
        <f t="shared" si="2"/>
        <v>Sat</v>
      </c>
      <c r="J240" s="8" t="str">
        <f t="shared" si="3"/>
        <v>Apr</v>
      </c>
      <c r="K240" s="8">
        <f t="shared" si="4"/>
        <v>6</v>
      </c>
      <c r="L240" s="8">
        <f t="shared" si="5"/>
        <v>4</v>
      </c>
    </row>
    <row r="241" spans="1:12" x14ac:dyDescent="0.3">
      <c r="A241" s="10">
        <v>45388</v>
      </c>
      <c r="B241" s="11">
        <v>45388.593368391201</v>
      </c>
      <c r="C241" s="12">
        <f t="shared" si="0"/>
        <v>14</v>
      </c>
      <c r="D241" s="12" t="s">
        <v>4</v>
      </c>
      <c r="E241" s="12" t="s">
        <v>60</v>
      </c>
      <c r="F241" s="13">
        <v>28.9</v>
      </c>
      <c r="G241" s="12" t="s">
        <v>17</v>
      </c>
      <c r="H241" s="12" t="str">
        <f t="shared" si="1"/>
        <v>Afternoon</v>
      </c>
      <c r="I241" s="12" t="str">
        <f t="shared" si="2"/>
        <v>Sat</v>
      </c>
      <c r="J241" s="12" t="str">
        <f t="shared" si="3"/>
        <v>Apr</v>
      </c>
      <c r="K241" s="12">
        <f t="shared" si="4"/>
        <v>6</v>
      </c>
      <c r="L241" s="12">
        <f t="shared" si="5"/>
        <v>4</v>
      </c>
    </row>
    <row r="242" spans="1:12" x14ac:dyDescent="0.3">
      <c r="A242" s="6">
        <v>45388</v>
      </c>
      <c r="B242" s="7">
        <v>45388.617941932869</v>
      </c>
      <c r="C242" s="8">
        <f t="shared" si="0"/>
        <v>14</v>
      </c>
      <c r="D242" s="8" t="s">
        <v>4</v>
      </c>
      <c r="E242" s="8" t="s">
        <v>25</v>
      </c>
      <c r="F242" s="9">
        <v>38.700000000000003</v>
      </c>
      <c r="G242" s="8" t="s">
        <v>13</v>
      </c>
      <c r="H242" s="8" t="str">
        <f t="shared" si="1"/>
        <v>Afternoon</v>
      </c>
      <c r="I242" s="8" t="str">
        <f t="shared" si="2"/>
        <v>Sat</v>
      </c>
      <c r="J242" s="8" t="str">
        <f t="shared" si="3"/>
        <v>Apr</v>
      </c>
      <c r="K242" s="8">
        <f t="shared" si="4"/>
        <v>6</v>
      </c>
      <c r="L242" s="8">
        <f t="shared" si="5"/>
        <v>4</v>
      </c>
    </row>
    <row r="243" spans="1:12" x14ac:dyDescent="0.3">
      <c r="A243" s="10">
        <v>45389</v>
      </c>
      <c r="B243" s="11">
        <v>45389.42561578704</v>
      </c>
      <c r="C243" s="12">
        <f t="shared" si="0"/>
        <v>10</v>
      </c>
      <c r="D243" s="12" t="s">
        <v>4</v>
      </c>
      <c r="E243" s="12" t="s">
        <v>111</v>
      </c>
      <c r="F243" s="13">
        <v>38.700000000000003</v>
      </c>
      <c r="G243" s="12" t="s">
        <v>13</v>
      </c>
      <c r="H243" s="12" t="str">
        <f t="shared" si="1"/>
        <v>Morning</v>
      </c>
      <c r="I243" s="12" t="str">
        <f t="shared" si="2"/>
        <v>Sun</v>
      </c>
      <c r="J243" s="12" t="str">
        <f t="shared" si="3"/>
        <v>Apr</v>
      </c>
      <c r="K243" s="12">
        <f t="shared" si="4"/>
        <v>7</v>
      </c>
      <c r="L243" s="12">
        <f t="shared" si="5"/>
        <v>4</v>
      </c>
    </row>
    <row r="244" spans="1:12" x14ac:dyDescent="0.3">
      <c r="A244" s="6">
        <v>45389</v>
      </c>
      <c r="B244" s="7">
        <v>45389.530925185187</v>
      </c>
      <c r="C244" s="8">
        <f t="shared" si="0"/>
        <v>12</v>
      </c>
      <c r="D244" s="8" t="s">
        <v>4</v>
      </c>
      <c r="E244" s="8" t="s">
        <v>60</v>
      </c>
      <c r="F244" s="9">
        <v>38.700000000000003</v>
      </c>
      <c r="G244" s="8" t="s">
        <v>49</v>
      </c>
      <c r="H244" s="8" t="str">
        <f t="shared" si="1"/>
        <v>Afternoon</v>
      </c>
      <c r="I244" s="8" t="str">
        <f t="shared" si="2"/>
        <v>Sun</v>
      </c>
      <c r="J244" s="8" t="str">
        <f t="shared" si="3"/>
        <v>Apr</v>
      </c>
      <c r="K244" s="8">
        <f t="shared" si="4"/>
        <v>7</v>
      </c>
      <c r="L244" s="8">
        <f t="shared" si="5"/>
        <v>4</v>
      </c>
    </row>
    <row r="245" spans="1:12" x14ac:dyDescent="0.3">
      <c r="A245" s="10">
        <v>45389</v>
      </c>
      <c r="B245" s="11">
        <v>45389.532003680557</v>
      </c>
      <c r="C245" s="12">
        <f t="shared" si="0"/>
        <v>12</v>
      </c>
      <c r="D245" s="12" t="s">
        <v>4</v>
      </c>
      <c r="E245" s="12" t="s">
        <v>60</v>
      </c>
      <c r="F245" s="13">
        <v>38.700000000000003</v>
      </c>
      <c r="G245" s="12" t="s">
        <v>49</v>
      </c>
      <c r="H245" s="12" t="str">
        <f t="shared" si="1"/>
        <v>Afternoon</v>
      </c>
      <c r="I245" s="12" t="str">
        <f t="shared" si="2"/>
        <v>Sun</v>
      </c>
      <c r="J245" s="12" t="str">
        <f t="shared" si="3"/>
        <v>Apr</v>
      </c>
      <c r="K245" s="12">
        <f t="shared" si="4"/>
        <v>7</v>
      </c>
      <c r="L245" s="12">
        <f t="shared" si="5"/>
        <v>4</v>
      </c>
    </row>
    <row r="246" spans="1:12" x14ac:dyDescent="0.3">
      <c r="A246" s="6">
        <v>45389</v>
      </c>
      <c r="B246" s="7">
        <v>45389.594733206017</v>
      </c>
      <c r="C246" s="8">
        <f t="shared" si="0"/>
        <v>14</v>
      </c>
      <c r="D246" s="8" t="s">
        <v>4</v>
      </c>
      <c r="E246" s="8" t="s">
        <v>120</v>
      </c>
      <c r="F246" s="9">
        <v>28.9</v>
      </c>
      <c r="G246" s="8" t="s">
        <v>34</v>
      </c>
      <c r="H246" s="8" t="str">
        <f t="shared" si="1"/>
        <v>Afternoon</v>
      </c>
      <c r="I246" s="8" t="str">
        <f t="shared" si="2"/>
        <v>Sun</v>
      </c>
      <c r="J246" s="8" t="str">
        <f t="shared" si="3"/>
        <v>Apr</v>
      </c>
      <c r="K246" s="8">
        <f t="shared" si="4"/>
        <v>7</v>
      </c>
      <c r="L246" s="8">
        <f t="shared" si="5"/>
        <v>4</v>
      </c>
    </row>
    <row r="247" spans="1:12" x14ac:dyDescent="0.3">
      <c r="A247" s="10">
        <v>45389</v>
      </c>
      <c r="B247" s="11">
        <v>45389.595493379631</v>
      </c>
      <c r="C247" s="12">
        <f t="shared" si="0"/>
        <v>14</v>
      </c>
      <c r="D247" s="12" t="s">
        <v>4</v>
      </c>
      <c r="E247" s="12" t="s">
        <v>120</v>
      </c>
      <c r="F247" s="13">
        <v>24</v>
      </c>
      <c r="G247" s="12" t="s">
        <v>41</v>
      </c>
      <c r="H247" s="12" t="str">
        <f t="shared" si="1"/>
        <v>Afternoon</v>
      </c>
      <c r="I247" s="12" t="str">
        <f t="shared" si="2"/>
        <v>Sun</v>
      </c>
      <c r="J247" s="12" t="str">
        <f t="shared" si="3"/>
        <v>Apr</v>
      </c>
      <c r="K247" s="12">
        <f t="shared" si="4"/>
        <v>7</v>
      </c>
      <c r="L247" s="12">
        <f t="shared" si="5"/>
        <v>4</v>
      </c>
    </row>
    <row r="248" spans="1:12" x14ac:dyDescent="0.3">
      <c r="A248" s="6">
        <v>45389</v>
      </c>
      <c r="B248" s="7">
        <v>45389.750886666669</v>
      </c>
      <c r="C248" s="8">
        <f t="shared" si="0"/>
        <v>18</v>
      </c>
      <c r="D248" s="8" t="s">
        <v>4</v>
      </c>
      <c r="E248" s="8" t="s">
        <v>121</v>
      </c>
      <c r="F248" s="9">
        <v>38.700000000000003</v>
      </c>
      <c r="G248" s="8" t="s">
        <v>15</v>
      </c>
      <c r="H248" s="8" t="str">
        <f t="shared" si="1"/>
        <v>Night</v>
      </c>
      <c r="I248" s="8" t="str">
        <f t="shared" si="2"/>
        <v>Sun</v>
      </c>
      <c r="J248" s="8" t="str">
        <f t="shared" si="3"/>
        <v>Apr</v>
      </c>
      <c r="K248" s="8">
        <f t="shared" si="4"/>
        <v>7</v>
      </c>
      <c r="L248" s="8">
        <f t="shared" si="5"/>
        <v>4</v>
      </c>
    </row>
    <row r="249" spans="1:12" x14ac:dyDescent="0.3">
      <c r="A249" s="10">
        <v>45389</v>
      </c>
      <c r="B249" s="11">
        <v>45389.751433773148</v>
      </c>
      <c r="C249" s="12">
        <f t="shared" si="0"/>
        <v>18</v>
      </c>
      <c r="D249" s="12" t="s">
        <v>4</v>
      </c>
      <c r="E249" s="12" t="s">
        <v>121</v>
      </c>
      <c r="F249" s="13">
        <v>33.799999999999997</v>
      </c>
      <c r="G249" s="12" t="s">
        <v>20</v>
      </c>
      <c r="H249" s="12" t="str">
        <f t="shared" si="1"/>
        <v>Night</v>
      </c>
      <c r="I249" s="12" t="str">
        <f t="shared" si="2"/>
        <v>Sun</v>
      </c>
      <c r="J249" s="12" t="str">
        <f t="shared" si="3"/>
        <v>Apr</v>
      </c>
      <c r="K249" s="12">
        <f t="shared" si="4"/>
        <v>7</v>
      </c>
      <c r="L249" s="12">
        <f t="shared" si="5"/>
        <v>4</v>
      </c>
    </row>
    <row r="250" spans="1:12" x14ac:dyDescent="0.3">
      <c r="A250" s="6">
        <v>45390</v>
      </c>
      <c r="B250" s="7">
        <v>45390.457188726854</v>
      </c>
      <c r="C250" s="8">
        <f t="shared" si="0"/>
        <v>10</v>
      </c>
      <c r="D250" s="8" t="s">
        <v>4</v>
      </c>
      <c r="E250" s="8" t="s">
        <v>122</v>
      </c>
      <c r="F250" s="9">
        <v>33.799999999999997</v>
      </c>
      <c r="G250" s="8" t="s">
        <v>20</v>
      </c>
      <c r="H250" s="8" t="str">
        <f t="shared" si="1"/>
        <v>Morning</v>
      </c>
      <c r="I250" s="8" t="str">
        <f t="shared" si="2"/>
        <v>Mon</v>
      </c>
      <c r="J250" s="8" t="str">
        <f t="shared" si="3"/>
        <v>Apr</v>
      </c>
      <c r="K250" s="8">
        <f t="shared" si="4"/>
        <v>1</v>
      </c>
      <c r="L250" s="8">
        <f t="shared" si="5"/>
        <v>4</v>
      </c>
    </row>
    <row r="251" spans="1:12" x14ac:dyDescent="0.3">
      <c r="A251" s="10">
        <v>45390</v>
      </c>
      <c r="B251" s="11">
        <v>45390.457957847226</v>
      </c>
      <c r="C251" s="12">
        <f t="shared" si="0"/>
        <v>10</v>
      </c>
      <c r="D251" s="12" t="s">
        <v>4</v>
      </c>
      <c r="E251" s="12" t="s">
        <v>123</v>
      </c>
      <c r="F251" s="13">
        <v>38.700000000000003</v>
      </c>
      <c r="G251" s="12" t="s">
        <v>49</v>
      </c>
      <c r="H251" s="12" t="str">
        <f t="shared" si="1"/>
        <v>Morning</v>
      </c>
      <c r="I251" s="12" t="str">
        <f t="shared" si="2"/>
        <v>Mon</v>
      </c>
      <c r="J251" s="12" t="str">
        <f t="shared" si="3"/>
        <v>Apr</v>
      </c>
      <c r="K251" s="12">
        <f t="shared" si="4"/>
        <v>1</v>
      </c>
      <c r="L251" s="12">
        <f t="shared" si="5"/>
        <v>4</v>
      </c>
    </row>
    <row r="252" spans="1:12" x14ac:dyDescent="0.3">
      <c r="A252" s="6">
        <v>45390</v>
      </c>
      <c r="B252" s="7">
        <v>45390.45926462963</v>
      </c>
      <c r="C252" s="8">
        <f t="shared" si="0"/>
        <v>11</v>
      </c>
      <c r="D252" s="8" t="s">
        <v>4</v>
      </c>
      <c r="E252" s="8" t="s">
        <v>29</v>
      </c>
      <c r="F252" s="9">
        <v>28.9</v>
      </c>
      <c r="G252" s="8" t="s">
        <v>17</v>
      </c>
      <c r="H252" s="8" t="str">
        <f t="shared" si="1"/>
        <v>Morning</v>
      </c>
      <c r="I252" s="8" t="str">
        <f t="shared" si="2"/>
        <v>Mon</v>
      </c>
      <c r="J252" s="8" t="str">
        <f t="shared" si="3"/>
        <v>Apr</v>
      </c>
      <c r="K252" s="8">
        <f t="shared" si="4"/>
        <v>1</v>
      </c>
      <c r="L252" s="8">
        <f t="shared" si="5"/>
        <v>4</v>
      </c>
    </row>
    <row r="253" spans="1:12" x14ac:dyDescent="0.3">
      <c r="A253" s="10">
        <v>45390</v>
      </c>
      <c r="B253" s="11">
        <v>45390.461655439816</v>
      </c>
      <c r="C253" s="12">
        <f t="shared" si="0"/>
        <v>11</v>
      </c>
      <c r="D253" s="12" t="s">
        <v>4</v>
      </c>
      <c r="E253" s="12" t="s">
        <v>124</v>
      </c>
      <c r="F253" s="13">
        <v>38.700000000000003</v>
      </c>
      <c r="G253" s="12" t="s">
        <v>49</v>
      </c>
      <c r="H253" s="12" t="str">
        <f t="shared" si="1"/>
        <v>Morning</v>
      </c>
      <c r="I253" s="12" t="str">
        <f t="shared" si="2"/>
        <v>Mon</v>
      </c>
      <c r="J253" s="12" t="str">
        <f t="shared" si="3"/>
        <v>Apr</v>
      </c>
      <c r="K253" s="12">
        <f t="shared" si="4"/>
        <v>1</v>
      </c>
      <c r="L253" s="12">
        <f t="shared" si="5"/>
        <v>4</v>
      </c>
    </row>
    <row r="254" spans="1:12" x14ac:dyDescent="0.3">
      <c r="A254" s="6">
        <v>45390</v>
      </c>
      <c r="B254" s="7">
        <v>45390.537799733793</v>
      </c>
      <c r="C254" s="8">
        <f t="shared" si="0"/>
        <v>12</v>
      </c>
      <c r="D254" s="8" t="s">
        <v>27</v>
      </c>
      <c r="E254" s="8"/>
      <c r="F254" s="9">
        <v>25</v>
      </c>
      <c r="G254" s="8" t="s">
        <v>41</v>
      </c>
      <c r="H254" s="8" t="str">
        <f t="shared" si="1"/>
        <v>Afternoon</v>
      </c>
      <c r="I254" s="8" t="str">
        <f t="shared" si="2"/>
        <v>Mon</v>
      </c>
      <c r="J254" s="8" t="str">
        <f t="shared" si="3"/>
        <v>Apr</v>
      </c>
      <c r="K254" s="8">
        <f t="shared" si="4"/>
        <v>1</v>
      </c>
      <c r="L254" s="8">
        <f t="shared" si="5"/>
        <v>4</v>
      </c>
    </row>
    <row r="255" spans="1:12" x14ac:dyDescent="0.3">
      <c r="A255" s="10">
        <v>45390</v>
      </c>
      <c r="B255" s="11">
        <v>45390.655287974536</v>
      </c>
      <c r="C255" s="12">
        <f t="shared" si="0"/>
        <v>15</v>
      </c>
      <c r="D255" s="12" t="s">
        <v>27</v>
      </c>
      <c r="E255" s="12"/>
      <c r="F255" s="13">
        <v>35</v>
      </c>
      <c r="G255" s="12" t="s">
        <v>20</v>
      </c>
      <c r="H255" s="12" t="str">
        <f t="shared" si="1"/>
        <v>Afternoon</v>
      </c>
      <c r="I255" s="12" t="str">
        <f t="shared" si="2"/>
        <v>Mon</v>
      </c>
      <c r="J255" s="12" t="str">
        <f t="shared" si="3"/>
        <v>Apr</v>
      </c>
      <c r="K255" s="12">
        <f t="shared" si="4"/>
        <v>1</v>
      </c>
      <c r="L255" s="12">
        <f t="shared" si="5"/>
        <v>4</v>
      </c>
    </row>
    <row r="256" spans="1:12" x14ac:dyDescent="0.3">
      <c r="A256" s="6">
        <v>45390</v>
      </c>
      <c r="B256" s="7">
        <v>45390.695576458333</v>
      </c>
      <c r="C256" s="8">
        <f t="shared" si="0"/>
        <v>16</v>
      </c>
      <c r="D256" s="8" t="s">
        <v>4</v>
      </c>
      <c r="E256" s="8" t="s">
        <v>35</v>
      </c>
      <c r="F256" s="9">
        <v>38.700000000000003</v>
      </c>
      <c r="G256" s="8" t="s">
        <v>13</v>
      </c>
      <c r="H256" s="8" t="str">
        <f t="shared" si="1"/>
        <v>Afternoon</v>
      </c>
      <c r="I256" s="8" t="str">
        <f t="shared" si="2"/>
        <v>Mon</v>
      </c>
      <c r="J256" s="8" t="str">
        <f t="shared" si="3"/>
        <v>Apr</v>
      </c>
      <c r="K256" s="8">
        <f t="shared" si="4"/>
        <v>1</v>
      </c>
      <c r="L256" s="8">
        <f t="shared" si="5"/>
        <v>4</v>
      </c>
    </row>
    <row r="257" spans="1:12" x14ac:dyDescent="0.3">
      <c r="A257" s="10">
        <v>45390</v>
      </c>
      <c r="B257" s="11">
        <v>45390.762612418985</v>
      </c>
      <c r="C257" s="12">
        <f t="shared" ref="C257:C511" si="6">HOUR(B257)</f>
        <v>18</v>
      </c>
      <c r="D257" s="12" t="s">
        <v>4</v>
      </c>
      <c r="E257" s="12" t="s">
        <v>125</v>
      </c>
      <c r="F257" s="13">
        <v>28.9</v>
      </c>
      <c r="G257" s="12" t="s">
        <v>17</v>
      </c>
      <c r="H257" s="12" t="str">
        <f t="shared" ref="H257:H511" si="7">IF(AND(C257&gt;=5,C257&lt;12),"Morning",
 IF(AND(C257&gt;=12,C257&lt;17),"Afternoon","Night"))</f>
        <v>Night</v>
      </c>
      <c r="I257" s="12" t="str">
        <f t="shared" ref="I257:I511" si="8">TEXT(A257, "ddd")</f>
        <v>Mon</v>
      </c>
      <c r="J257" s="12" t="str">
        <f t="shared" ref="J257:J511" si="9">TEXT(A257, "mmm")</f>
        <v>Apr</v>
      </c>
      <c r="K257" s="12">
        <f t="shared" ref="K257:K511" si="10">WEEKDAY(A257, 2)</f>
        <v>1</v>
      </c>
      <c r="L257" s="12">
        <f t="shared" ref="L257:L511" si="11">MONTH(A257)</f>
        <v>4</v>
      </c>
    </row>
    <row r="258" spans="1:12" x14ac:dyDescent="0.3">
      <c r="A258" s="6">
        <v>45390</v>
      </c>
      <c r="B258" s="7">
        <v>45390.807262465278</v>
      </c>
      <c r="C258" s="8">
        <f t="shared" si="6"/>
        <v>19</v>
      </c>
      <c r="D258" s="8" t="s">
        <v>4</v>
      </c>
      <c r="E258" s="8" t="s">
        <v>43</v>
      </c>
      <c r="F258" s="9">
        <v>33.799999999999997</v>
      </c>
      <c r="G258" s="8" t="s">
        <v>20</v>
      </c>
      <c r="H258" s="8" t="str">
        <f t="shared" si="7"/>
        <v>Night</v>
      </c>
      <c r="I258" s="8" t="str">
        <f t="shared" si="8"/>
        <v>Mon</v>
      </c>
      <c r="J258" s="8" t="str">
        <f t="shared" si="9"/>
        <v>Apr</v>
      </c>
      <c r="K258" s="8">
        <f t="shared" si="10"/>
        <v>1</v>
      </c>
      <c r="L258" s="8">
        <f t="shared" si="11"/>
        <v>4</v>
      </c>
    </row>
    <row r="259" spans="1:12" x14ac:dyDescent="0.3">
      <c r="A259" s="10">
        <v>45390</v>
      </c>
      <c r="B259" s="11">
        <v>45390.808324861115</v>
      </c>
      <c r="C259" s="12">
        <f t="shared" si="6"/>
        <v>19</v>
      </c>
      <c r="D259" s="12" t="s">
        <v>4</v>
      </c>
      <c r="E259" s="12" t="s">
        <v>126</v>
      </c>
      <c r="F259" s="13">
        <v>38.700000000000003</v>
      </c>
      <c r="G259" s="12" t="s">
        <v>49</v>
      </c>
      <c r="H259" s="12" t="str">
        <f t="shared" si="7"/>
        <v>Night</v>
      </c>
      <c r="I259" s="12" t="str">
        <f t="shared" si="8"/>
        <v>Mon</v>
      </c>
      <c r="J259" s="12" t="str">
        <f t="shared" si="9"/>
        <v>Apr</v>
      </c>
      <c r="K259" s="12">
        <f t="shared" si="10"/>
        <v>1</v>
      </c>
      <c r="L259" s="12">
        <f t="shared" si="11"/>
        <v>4</v>
      </c>
    </row>
    <row r="260" spans="1:12" x14ac:dyDescent="0.3">
      <c r="A260" s="6">
        <v>45391</v>
      </c>
      <c r="B260" s="7">
        <v>45391.432261099537</v>
      </c>
      <c r="C260" s="8">
        <f t="shared" si="6"/>
        <v>10</v>
      </c>
      <c r="D260" s="8" t="s">
        <v>27</v>
      </c>
      <c r="E260" s="8"/>
      <c r="F260" s="9">
        <v>40</v>
      </c>
      <c r="G260" s="8" t="s">
        <v>49</v>
      </c>
      <c r="H260" s="8" t="str">
        <f t="shared" si="7"/>
        <v>Morning</v>
      </c>
      <c r="I260" s="8" t="str">
        <f t="shared" si="8"/>
        <v>Tue</v>
      </c>
      <c r="J260" s="8" t="str">
        <f t="shared" si="9"/>
        <v>Apr</v>
      </c>
      <c r="K260" s="8">
        <f t="shared" si="10"/>
        <v>2</v>
      </c>
      <c r="L260" s="8">
        <f t="shared" si="11"/>
        <v>4</v>
      </c>
    </row>
    <row r="261" spans="1:12" x14ac:dyDescent="0.3">
      <c r="A261" s="10">
        <v>45391</v>
      </c>
      <c r="B261" s="11">
        <v>45391.433450266202</v>
      </c>
      <c r="C261" s="12">
        <f t="shared" si="6"/>
        <v>10</v>
      </c>
      <c r="D261" s="12" t="s">
        <v>27</v>
      </c>
      <c r="E261" s="12"/>
      <c r="F261" s="13">
        <v>30</v>
      </c>
      <c r="G261" s="12" t="s">
        <v>17</v>
      </c>
      <c r="H261" s="12" t="str">
        <f t="shared" si="7"/>
        <v>Morning</v>
      </c>
      <c r="I261" s="12" t="str">
        <f t="shared" si="8"/>
        <v>Tue</v>
      </c>
      <c r="J261" s="12" t="str">
        <f t="shared" si="9"/>
        <v>Apr</v>
      </c>
      <c r="K261" s="12">
        <f t="shared" si="10"/>
        <v>2</v>
      </c>
      <c r="L261" s="12">
        <f t="shared" si="11"/>
        <v>4</v>
      </c>
    </row>
    <row r="262" spans="1:12" x14ac:dyDescent="0.3">
      <c r="A262" s="6">
        <v>45391</v>
      </c>
      <c r="B262" s="7">
        <v>45391.487829490739</v>
      </c>
      <c r="C262" s="8">
        <f t="shared" si="6"/>
        <v>11</v>
      </c>
      <c r="D262" s="8" t="s">
        <v>4</v>
      </c>
      <c r="E262" s="8" t="s">
        <v>111</v>
      </c>
      <c r="F262" s="9">
        <v>38.700000000000003</v>
      </c>
      <c r="G262" s="8" t="s">
        <v>13</v>
      </c>
      <c r="H262" s="8" t="str">
        <f t="shared" si="7"/>
        <v>Morning</v>
      </c>
      <c r="I262" s="8" t="str">
        <f t="shared" si="8"/>
        <v>Tue</v>
      </c>
      <c r="J262" s="8" t="str">
        <f t="shared" si="9"/>
        <v>Apr</v>
      </c>
      <c r="K262" s="8">
        <f t="shared" si="10"/>
        <v>2</v>
      </c>
      <c r="L262" s="8">
        <f t="shared" si="11"/>
        <v>4</v>
      </c>
    </row>
    <row r="263" spans="1:12" x14ac:dyDescent="0.3">
      <c r="A263" s="10">
        <v>45391</v>
      </c>
      <c r="B263" s="11">
        <v>45391.633202777775</v>
      </c>
      <c r="C263" s="12">
        <f t="shared" si="6"/>
        <v>15</v>
      </c>
      <c r="D263" s="12" t="s">
        <v>4</v>
      </c>
      <c r="E263" s="12" t="s">
        <v>127</v>
      </c>
      <c r="F263" s="13">
        <v>38.700000000000003</v>
      </c>
      <c r="G263" s="12" t="s">
        <v>15</v>
      </c>
      <c r="H263" s="12" t="str">
        <f t="shared" si="7"/>
        <v>Afternoon</v>
      </c>
      <c r="I263" s="12" t="str">
        <f t="shared" si="8"/>
        <v>Tue</v>
      </c>
      <c r="J263" s="12" t="str">
        <f t="shared" si="9"/>
        <v>Apr</v>
      </c>
      <c r="K263" s="12">
        <f t="shared" si="10"/>
        <v>2</v>
      </c>
      <c r="L263" s="12">
        <f t="shared" si="11"/>
        <v>4</v>
      </c>
    </row>
    <row r="264" spans="1:12" x14ac:dyDescent="0.3">
      <c r="A264" s="6">
        <v>45391</v>
      </c>
      <c r="B264" s="7">
        <v>45391.725971481479</v>
      </c>
      <c r="C264" s="8">
        <f t="shared" si="6"/>
        <v>17</v>
      </c>
      <c r="D264" s="8" t="s">
        <v>4</v>
      </c>
      <c r="E264" s="8" t="s">
        <v>69</v>
      </c>
      <c r="F264" s="9">
        <v>38.700000000000003</v>
      </c>
      <c r="G264" s="8" t="s">
        <v>15</v>
      </c>
      <c r="H264" s="8" t="str">
        <f t="shared" si="7"/>
        <v>Night</v>
      </c>
      <c r="I264" s="8" t="str">
        <f t="shared" si="8"/>
        <v>Tue</v>
      </c>
      <c r="J264" s="8" t="str">
        <f t="shared" si="9"/>
        <v>Apr</v>
      </c>
      <c r="K264" s="8">
        <f t="shared" si="10"/>
        <v>2</v>
      </c>
      <c r="L264" s="8">
        <f t="shared" si="11"/>
        <v>4</v>
      </c>
    </row>
    <row r="265" spans="1:12" x14ac:dyDescent="0.3">
      <c r="A265" s="10">
        <v>45392</v>
      </c>
      <c r="B265" s="11">
        <v>45392.431552951391</v>
      </c>
      <c r="C265" s="12">
        <f t="shared" si="6"/>
        <v>10</v>
      </c>
      <c r="D265" s="12" t="s">
        <v>27</v>
      </c>
      <c r="E265" s="12"/>
      <c r="F265" s="13">
        <v>25</v>
      </c>
      <c r="G265" s="12" t="s">
        <v>41</v>
      </c>
      <c r="H265" s="12" t="str">
        <f t="shared" si="7"/>
        <v>Morning</v>
      </c>
      <c r="I265" s="12" t="str">
        <f t="shared" si="8"/>
        <v>Wed</v>
      </c>
      <c r="J265" s="12" t="str">
        <f t="shared" si="9"/>
        <v>Apr</v>
      </c>
      <c r="K265" s="12">
        <f t="shared" si="10"/>
        <v>3</v>
      </c>
      <c r="L265" s="12">
        <f t="shared" si="11"/>
        <v>4</v>
      </c>
    </row>
    <row r="266" spans="1:12" x14ac:dyDescent="0.3">
      <c r="A266" s="6">
        <v>45392</v>
      </c>
      <c r="B266" s="7">
        <v>45392.746609004629</v>
      </c>
      <c r="C266" s="8">
        <f t="shared" si="6"/>
        <v>17</v>
      </c>
      <c r="D266" s="8" t="s">
        <v>27</v>
      </c>
      <c r="E266" s="8"/>
      <c r="F266" s="9">
        <v>40</v>
      </c>
      <c r="G266" s="8" t="s">
        <v>15</v>
      </c>
      <c r="H266" s="8" t="str">
        <f t="shared" si="7"/>
        <v>Night</v>
      </c>
      <c r="I266" s="8" t="str">
        <f t="shared" si="8"/>
        <v>Wed</v>
      </c>
      <c r="J266" s="8" t="str">
        <f t="shared" si="9"/>
        <v>Apr</v>
      </c>
      <c r="K266" s="8">
        <f t="shared" si="10"/>
        <v>3</v>
      </c>
      <c r="L266" s="8">
        <f t="shared" si="11"/>
        <v>4</v>
      </c>
    </row>
    <row r="267" spans="1:12" x14ac:dyDescent="0.3">
      <c r="A267" s="10">
        <v>45392</v>
      </c>
      <c r="B267" s="11">
        <v>45392.74688939815</v>
      </c>
      <c r="C267" s="12">
        <f t="shared" si="6"/>
        <v>17</v>
      </c>
      <c r="D267" s="12" t="s">
        <v>4</v>
      </c>
      <c r="E267" s="12" t="s">
        <v>128</v>
      </c>
      <c r="F267" s="13">
        <v>24</v>
      </c>
      <c r="G267" s="12" t="s">
        <v>41</v>
      </c>
      <c r="H267" s="12" t="str">
        <f t="shared" si="7"/>
        <v>Night</v>
      </c>
      <c r="I267" s="12" t="str">
        <f t="shared" si="8"/>
        <v>Wed</v>
      </c>
      <c r="J267" s="12" t="str">
        <f t="shared" si="9"/>
        <v>Apr</v>
      </c>
      <c r="K267" s="12">
        <f t="shared" si="10"/>
        <v>3</v>
      </c>
      <c r="L267" s="12">
        <f t="shared" si="11"/>
        <v>4</v>
      </c>
    </row>
    <row r="268" spans="1:12" x14ac:dyDescent="0.3">
      <c r="A268" s="6">
        <v>45392</v>
      </c>
      <c r="B268" s="7">
        <v>45392.767352893519</v>
      </c>
      <c r="C268" s="8">
        <f t="shared" si="6"/>
        <v>18</v>
      </c>
      <c r="D268" s="8" t="s">
        <v>4</v>
      </c>
      <c r="E268" s="8" t="s">
        <v>25</v>
      </c>
      <c r="F268" s="9">
        <v>38.700000000000003</v>
      </c>
      <c r="G268" s="8" t="s">
        <v>49</v>
      </c>
      <c r="H268" s="8" t="str">
        <f t="shared" si="7"/>
        <v>Night</v>
      </c>
      <c r="I268" s="8" t="str">
        <f t="shared" si="8"/>
        <v>Wed</v>
      </c>
      <c r="J268" s="8" t="str">
        <f t="shared" si="9"/>
        <v>Apr</v>
      </c>
      <c r="K268" s="8">
        <f t="shared" si="10"/>
        <v>3</v>
      </c>
      <c r="L268" s="8">
        <f t="shared" si="11"/>
        <v>4</v>
      </c>
    </row>
    <row r="269" spans="1:12" x14ac:dyDescent="0.3">
      <c r="A269" s="10">
        <v>45392</v>
      </c>
      <c r="B269" s="11">
        <v>45392.836173449075</v>
      </c>
      <c r="C269" s="12">
        <f t="shared" si="6"/>
        <v>20</v>
      </c>
      <c r="D269" s="12" t="s">
        <v>4</v>
      </c>
      <c r="E269" s="12" t="s">
        <v>129</v>
      </c>
      <c r="F269" s="13">
        <v>38.700000000000003</v>
      </c>
      <c r="G269" s="12" t="s">
        <v>13</v>
      </c>
      <c r="H269" s="12" t="str">
        <f t="shared" si="7"/>
        <v>Night</v>
      </c>
      <c r="I269" s="12" t="str">
        <f t="shared" si="8"/>
        <v>Wed</v>
      </c>
      <c r="J269" s="12" t="str">
        <f t="shared" si="9"/>
        <v>Apr</v>
      </c>
      <c r="K269" s="12">
        <f t="shared" si="10"/>
        <v>3</v>
      </c>
      <c r="L269" s="12">
        <f t="shared" si="11"/>
        <v>4</v>
      </c>
    </row>
    <row r="270" spans="1:12" x14ac:dyDescent="0.3">
      <c r="A270" s="6">
        <v>45393</v>
      </c>
      <c r="B270" s="7">
        <v>45393.445406886574</v>
      </c>
      <c r="C270" s="8">
        <f t="shared" si="6"/>
        <v>10</v>
      </c>
      <c r="D270" s="8" t="s">
        <v>4</v>
      </c>
      <c r="E270" s="8" t="s">
        <v>130</v>
      </c>
      <c r="F270" s="9">
        <v>28.9</v>
      </c>
      <c r="G270" s="8" t="s">
        <v>17</v>
      </c>
      <c r="H270" s="8" t="str">
        <f t="shared" si="7"/>
        <v>Morning</v>
      </c>
      <c r="I270" s="8" t="str">
        <f t="shared" si="8"/>
        <v>Thu</v>
      </c>
      <c r="J270" s="8" t="str">
        <f t="shared" si="9"/>
        <v>Apr</v>
      </c>
      <c r="K270" s="8">
        <f t="shared" si="10"/>
        <v>4</v>
      </c>
      <c r="L270" s="8">
        <f t="shared" si="11"/>
        <v>4</v>
      </c>
    </row>
    <row r="271" spans="1:12" x14ac:dyDescent="0.3">
      <c r="A271" s="10">
        <v>45393</v>
      </c>
      <c r="B271" s="11">
        <v>45393.446520428239</v>
      </c>
      <c r="C271" s="12">
        <f t="shared" si="6"/>
        <v>10</v>
      </c>
      <c r="D271" s="12" t="s">
        <v>4</v>
      </c>
      <c r="E271" s="12" t="s">
        <v>130</v>
      </c>
      <c r="F271" s="13">
        <v>28.9</v>
      </c>
      <c r="G271" s="12" t="s">
        <v>17</v>
      </c>
      <c r="H271" s="12" t="str">
        <f t="shared" si="7"/>
        <v>Morning</v>
      </c>
      <c r="I271" s="12" t="str">
        <f t="shared" si="8"/>
        <v>Thu</v>
      </c>
      <c r="J271" s="12" t="str">
        <f t="shared" si="9"/>
        <v>Apr</v>
      </c>
      <c r="K271" s="12">
        <f t="shared" si="10"/>
        <v>4</v>
      </c>
      <c r="L271" s="12">
        <f t="shared" si="11"/>
        <v>4</v>
      </c>
    </row>
    <row r="272" spans="1:12" x14ac:dyDescent="0.3">
      <c r="A272" s="6">
        <v>45393</v>
      </c>
      <c r="B272" s="7">
        <v>45393.691239224536</v>
      </c>
      <c r="C272" s="8">
        <f t="shared" si="6"/>
        <v>16</v>
      </c>
      <c r="D272" s="8" t="s">
        <v>4</v>
      </c>
      <c r="E272" s="8" t="s">
        <v>35</v>
      </c>
      <c r="F272" s="9">
        <v>38.700000000000003</v>
      </c>
      <c r="G272" s="8" t="s">
        <v>13</v>
      </c>
      <c r="H272" s="8" t="str">
        <f t="shared" si="7"/>
        <v>Afternoon</v>
      </c>
      <c r="I272" s="8" t="str">
        <f t="shared" si="8"/>
        <v>Thu</v>
      </c>
      <c r="J272" s="8" t="str">
        <f t="shared" si="9"/>
        <v>Apr</v>
      </c>
      <c r="K272" s="8">
        <f t="shared" si="10"/>
        <v>4</v>
      </c>
      <c r="L272" s="8">
        <f t="shared" si="11"/>
        <v>4</v>
      </c>
    </row>
    <row r="273" spans="1:12" x14ac:dyDescent="0.3">
      <c r="A273" s="10">
        <v>45393</v>
      </c>
      <c r="B273" s="11">
        <v>45393.803432731482</v>
      </c>
      <c r="C273" s="12">
        <f t="shared" si="6"/>
        <v>19</v>
      </c>
      <c r="D273" s="12" t="s">
        <v>4</v>
      </c>
      <c r="E273" s="12" t="s">
        <v>126</v>
      </c>
      <c r="F273" s="13">
        <v>38.700000000000003</v>
      </c>
      <c r="G273" s="12" t="s">
        <v>49</v>
      </c>
      <c r="H273" s="12" t="str">
        <f t="shared" si="7"/>
        <v>Night</v>
      </c>
      <c r="I273" s="12" t="str">
        <f t="shared" si="8"/>
        <v>Thu</v>
      </c>
      <c r="J273" s="12" t="str">
        <f t="shared" si="9"/>
        <v>Apr</v>
      </c>
      <c r="K273" s="12">
        <f t="shared" si="10"/>
        <v>4</v>
      </c>
      <c r="L273" s="12">
        <f t="shared" si="11"/>
        <v>4</v>
      </c>
    </row>
    <row r="274" spans="1:12" x14ac:dyDescent="0.3">
      <c r="A274" s="6">
        <v>45393</v>
      </c>
      <c r="B274" s="7">
        <v>45393.804590497683</v>
      </c>
      <c r="C274" s="8">
        <f t="shared" si="6"/>
        <v>19</v>
      </c>
      <c r="D274" s="8" t="s">
        <v>4</v>
      </c>
      <c r="E274" s="8" t="s">
        <v>43</v>
      </c>
      <c r="F274" s="9">
        <v>33.799999999999997</v>
      </c>
      <c r="G274" s="8" t="s">
        <v>20</v>
      </c>
      <c r="H274" s="8" t="str">
        <f t="shared" si="7"/>
        <v>Night</v>
      </c>
      <c r="I274" s="8" t="str">
        <f t="shared" si="8"/>
        <v>Thu</v>
      </c>
      <c r="J274" s="8" t="str">
        <f t="shared" si="9"/>
        <v>Apr</v>
      </c>
      <c r="K274" s="8">
        <f t="shared" si="10"/>
        <v>4</v>
      </c>
      <c r="L274" s="8">
        <f t="shared" si="11"/>
        <v>4</v>
      </c>
    </row>
    <row r="275" spans="1:12" x14ac:dyDescent="0.3">
      <c r="A275" s="10">
        <v>45394</v>
      </c>
      <c r="B275" s="11">
        <v>45394.794252349537</v>
      </c>
      <c r="C275" s="12">
        <f t="shared" si="6"/>
        <v>19</v>
      </c>
      <c r="D275" s="12" t="s">
        <v>4</v>
      </c>
      <c r="E275" s="12" t="s">
        <v>37</v>
      </c>
      <c r="F275" s="13">
        <v>38.700000000000003</v>
      </c>
      <c r="G275" s="12" t="s">
        <v>15</v>
      </c>
      <c r="H275" s="12" t="str">
        <f t="shared" si="7"/>
        <v>Night</v>
      </c>
      <c r="I275" s="12" t="str">
        <f t="shared" si="8"/>
        <v>Fri</v>
      </c>
      <c r="J275" s="12" t="str">
        <f t="shared" si="9"/>
        <v>Apr</v>
      </c>
      <c r="K275" s="12">
        <f t="shared" si="10"/>
        <v>5</v>
      </c>
      <c r="L275" s="12">
        <f t="shared" si="11"/>
        <v>4</v>
      </c>
    </row>
    <row r="276" spans="1:12" x14ac:dyDescent="0.3">
      <c r="A276" s="6">
        <v>45394</v>
      </c>
      <c r="B276" s="7">
        <v>45394.818323946762</v>
      </c>
      <c r="C276" s="8">
        <f t="shared" si="6"/>
        <v>19</v>
      </c>
      <c r="D276" s="8" t="s">
        <v>4</v>
      </c>
      <c r="E276" s="8" t="s">
        <v>25</v>
      </c>
      <c r="F276" s="9">
        <v>28.9</v>
      </c>
      <c r="G276" s="8" t="s">
        <v>34</v>
      </c>
      <c r="H276" s="8" t="str">
        <f t="shared" si="7"/>
        <v>Night</v>
      </c>
      <c r="I276" s="8" t="str">
        <f t="shared" si="8"/>
        <v>Fri</v>
      </c>
      <c r="J276" s="8" t="str">
        <f t="shared" si="9"/>
        <v>Apr</v>
      </c>
      <c r="K276" s="8">
        <f t="shared" si="10"/>
        <v>5</v>
      </c>
      <c r="L276" s="8">
        <f t="shared" si="11"/>
        <v>4</v>
      </c>
    </row>
    <row r="277" spans="1:12" x14ac:dyDescent="0.3">
      <c r="A277" s="10">
        <v>45395</v>
      </c>
      <c r="B277" s="11">
        <v>45395.520368321762</v>
      </c>
      <c r="C277" s="12">
        <f t="shared" si="6"/>
        <v>12</v>
      </c>
      <c r="D277" s="12" t="s">
        <v>4</v>
      </c>
      <c r="E277" s="12" t="s">
        <v>25</v>
      </c>
      <c r="F277" s="13">
        <v>38.700000000000003</v>
      </c>
      <c r="G277" s="12" t="s">
        <v>13</v>
      </c>
      <c r="H277" s="12" t="str">
        <f t="shared" si="7"/>
        <v>Afternoon</v>
      </c>
      <c r="I277" s="12" t="str">
        <f t="shared" si="8"/>
        <v>Sat</v>
      </c>
      <c r="J277" s="12" t="str">
        <f t="shared" si="9"/>
        <v>Apr</v>
      </c>
      <c r="K277" s="12">
        <f t="shared" si="10"/>
        <v>6</v>
      </c>
      <c r="L277" s="12">
        <f t="shared" si="11"/>
        <v>4</v>
      </c>
    </row>
    <row r="278" spans="1:12" x14ac:dyDescent="0.3">
      <c r="A278" s="6">
        <v>45395</v>
      </c>
      <c r="B278" s="7">
        <v>45395.529888761572</v>
      </c>
      <c r="C278" s="8">
        <f t="shared" si="6"/>
        <v>12</v>
      </c>
      <c r="D278" s="8" t="s">
        <v>4</v>
      </c>
      <c r="E278" s="8" t="s">
        <v>29</v>
      </c>
      <c r="F278" s="9">
        <v>28.9</v>
      </c>
      <c r="G278" s="8" t="s">
        <v>17</v>
      </c>
      <c r="H278" s="8" t="str">
        <f t="shared" si="7"/>
        <v>Afternoon</v>
      </c>
      <c r="I278" s="8" t="str">
        <f t="shared" si="8"/>
        <v>Sat</v>
      </c>
      <c r="J278" s="8" t="str">
        <f t="shared" si="9"/>
        <v>Apr</v>
      </c>
      <c r="K278" s="8">
        <f t="shared" si="10"/>
        <v>6</v>
      </c>
      <c r="L278" s="8">
        <f t="shared" si="11"/>
        <v>4</v>
      </c>
    </row>
    <row r="279" spans="1:12" x14ac:dyDescent="0.3">
      <c r="A279" s="10">
        <v>45395</v>
      </c>
      <c r="B279" s="11">
        <v>45395.629771898151</v>
      </c>
      <c r="C279" s="12">
        <f t="shared" si="6"/>
        <v>15</v>
      </c>
      <c r="D279" s="12" t="s">
        <v>27</v>
      </c>
      <c r="E279" s="12"/>
      <c r="F279" s="13">
        <v>40</v>
      </c>
      <c r="G279" s="12" t="s">
        <v>15</v>
      </c>
      <c r="H279" s="12" t="str">
        <f t="shared" si="7"/>
        <v>Afternoon</v>
      </c>
      <c r="I279" s="12" t="str">
        <f t="shared" si="8"/>
        <v>Sat</v>
      </c>
      <c r="J279" s="12" t="str">
        <f t="shared" si="9"/>
        <v>Apr</v>
      </c>
      <c r="K279" s="12">
        <f t="shared" si="10"/>
        <v>6</v>
      </c>
      <c r="L279" s="12">
        <f t="shared" si="11"/>
        <v>4</v>
      </c>
    </row>
    <row r="280" spans="1:12" x14ac:dyDescent="0.3">
      <c r="A280" s="6">
        <v>45395</v>
      </c>
      <c r="B280" s="7">
        <v>45395.630508865739</v>
      </c>
      <c r="C280" s="8">
        <f t="shared" si="6"/>
        <v>15</v>
      </c>
      <c r="D280" s="8" t="s">
        <v>27</v>
      </c>
      <c r="E280" s="8"/>
      <c r="F280" s="9">
        <v>40</v>
      </c>
      <c r="G280" s="8" t="s">
        <v>15</v>
      </c>
      <c r="H280" s="8" t="str">
        <f t="shared" si="7"/>
        <v>Afternoon</v>
      </c>
      <c r="I280" s="8" t="str">
        <f t="shared" si="8"/>
        <v>Sat</v>
      </c>
      <c r="J280" s="8" t="str">
        <f t="shared" si="9"/>
        <v>Apr</v>
      </c>
      <c r="K280" s="8">
        <f t="shared" si="10"/>
        <v>6</v>
      </c>
      <c r="L280" s="8">
        <f t="shared" si="11"/>
        <v>4</v>
      </c>
    </row>
    <row r="281" spans="1:12" x14ac:dyDescent="0.3">
      <c r="A281" s="10">
        <v>45395</v>
      </c>
      <c r="B281" s="11">
        <v>45395.67921224537</v>
      </c>
      <c r="C281" s="12">
        <f t="shared" si="6"/>
        <v>16</v>
      </c>
      <c r="D281" s="12" t="s">
        <v>4</v>
      </c>
      <c r="E281" s="12" t="s">
        <v>131</v>
      </c>
      <c r="F281" s="13">
        <v>38.700000000000003</v>
      </c>
      <c r="G281" s="12" t="s">
        <v>49</v>
      </c>
      <c r="H281" s="12" t="str">
        <f t="shared" si="7"/>
        <v>Afternoon</v>
      </c>
      <c r="I281" s="12" t="str">
        <f t="shared" si="8"/>
        <v>Sat</v>
      </c>
      <c r="J281" s="12" t="str">
        <f t="shared" si="9"/>
        <v>Apr</v>
      </c>
      <c r="K281" s="12">
        <f t="shared" si="10"/>
        <v>6</v>
      </c>
      <c r="L281" s="12">
        <f t="shared" si="11"/>
        <v>4</v>
      </c>
    </row>
    <row r="282" spans="1:12" x14ac:dyDescent="0.3">
      <c r="A282" s="6">
        <v>45395</v>
      </c>
      <c r="B282" s="7">
        <v>45395.680321747685</v>
      </c>
      <c r="C282" s="8">
        <f t="shared" si="6"/>
        <v>16</v>
      </c>
      <c r="D282" s="8" t="s">
        <v>4</v>
      </c>
      <c r="E282" s="8" t="s">
        <v>131</v>
      </c>
      <c r="F282" s="9">
        <v>38.700000000000003</v>
      </c>
      <c r="G282" s="8" t="s">
        <v>13</v>
      </c>
      <c r="H282" s="8" t="str">
        <f t="shared" si="7"/>
        <v>Afternoon</v>
      </c>
      <c r="I282" s="8" t="str">
        <f t="shared" si="8"/>
        <v>Sat</v>
      </c>
      <c r="J282" s="8" t="str">
        <f t="shared" si="9"/>
        <v>Apr</v>
      </c>
      <c r="K282" s="8">
        <f t="shared" si="10"/>
        <v>6</v>
      </c>
      <c r="L282" s="8">
        <f t="shared" si="11"/>
        <v>4</v>
      </c>
    </row>
    <row r="283" spans="1:12" x14ac:dyDescent="0.3">
      <c r="A283" s="10">
        <v>45395</v>
      </c>
      <c r="B283" s="11">
        <v>45395.744051226851</v>
      </c>
      <c r="C283" s="12">
        <f t="shared" si="6"/>
        <v>17</v>
      </c>
      <c r="D283" s="12" t="s">
        <v>4</v>
      </c>
      <c r="E283" s="12" t="s">
        <v>132</v>
      </c>
      <c r="F283" s="13">
        <v>38.700000000000003</v>
      </c>
      <c r="G283" s="12" t="s">
        <v>49</v>
      </c>
      <c r="H283" s="12" t="str">
        <f t="shared" si="7"/>
        <v>Night</v>
      </c>
      <c r="I283" s="12" t="str">
        <f t="shared" si="8"/>
        <v>Sat</v>
      </c>
      <c r="J283" s="12" t="str">
        <f t="shared" si="9"/>
        <v>Apr</v>
      </c>
      <c r="K283" s="12">
        <f t="shared" si="10"/>
        <v>6</v>
      </c>
      <c r="L283" s="12">
        <f t="shared" si="11"/>
        <v>4</v>
      </c>
    </row>
    <row r="284" spans="1:12" x14ac:dyDescent="0.3">
      <c r="A284" s="6">
        <v>45395</v>
      </c>
      <c r="B284" s="7">
        <v>45395.745361539353</v>
      </c>
      <c r="C284" s="8">
        <f t="shared" si="6"/>
        <v>17</v>
      </c>
      <c r="D284" s="8" t="s">
        <v>4</v>
      </c>
      <c r="E284" s="8" t="s">
        <v>29</v>
      </c>
      <c r="F284" s="9">
        <v>38.700000000000003</v>
      </c>
      <c r="G284" s="8" t="s">
        <v>49</v>
      </c>
      <c r="H284" s="8" t="str">
        <f t="shared" si="7"/>
        <v>Night</v>
      </c>
      <c r="I284" s="8" t="str">
        <f t="shared" si="8"/>
        <v>Sat</v>
      </c>
      <c r="J284" s="8" t="str">
        <f t="shared" si="9"/>
        <v>Apr</v>
      </c>
      <c r="K284" s="8">
        <f t="shared" si="10"/>
        <v>6</v>
      </c>
      <c r="L284" s="8">
        <f t="shared" si="11"/>
        <v>4</v>
      </c>
    </row>
    <row r="285" spans="1:12" x14ac:dyDescent="0.3">
      <c r="A285" s="10">
        <v>45396</v>
      </c>
      <c r="B285" s="11">
        <v>45396.455178310185</v>
      </c>
      <c r="C285" s="12">
        <f t="shared" si="6"/>
        <v>10</v>
      </c>
      <c r="D285" s="12" t="s">
        <v>27</v>
      </c>
      <c r="E285" s="12"/>
      <c r="F285" s="13">
        <v>40</v>
      </c>
      <c r="G285" s="12" t="s">
        <v>13</v>
      </c>
      <c r="H285" s="12" t="str">
        <f t="shared" si="7"/>
        <v>Morning</v>
      </c>
      <c r="I285" s="12" t="str">
        <f t="shared" si="8"/>
        <v>Sun</v>
      </c>
      <c r="J285" s="12" t="str">
        <f t="shared" si="9"/>
        <v>Apr</v>
      </c>
      <c r="K285" s="12">
        <f t="shared" si="10"/>
        <v>7</v>
      </c>
      <c r="L285" s="12">
        <f t="shared" si="11"/>
        <v>4</v>
      </c>
    </row>
    <row r="286" spans="1:12" x14ac:dyDescent="0.3">
      <c r="A286" s="6">
        <v>45396</v>
      </c>
      <c r="B286" s="7">
        <v>45396.517118379626</v>
      </c>
      <c r="C286" s="8">
        <f t="shared" si="6"/>
        <v>12</v>
      </c>
      <c r="D286" s="8" t="s">
        <v>4</v>
      </c>
      <c r="E286" s="8" t="s">
        <v>133</v>
      </c>
      <c r="F286" s="9">
        <v>38.700000000000003</v>
      </c>
      <c r="G286" s="8" t="s">
        <v>49</v>
      </c>
      <c r="H286" s="8" t="str">
        <f t="shared" si="7"/>
        <v>Afternoon</v>
      </c>
      <c r="I286" s="8" t="str">
        <f t="shared" si="8"/>
        <v>Sun</v>
      </c>
      <c r="J286" s="8" t="str">
        <f t="shared" si="9"/>
        <v>Apr</v>
      </c>
      <c r="K286" s="8">
        <f t="shared" si="10"/>
        <v>7</v>
      </c>
      <c r="L286" s="8">
        <f t="shared" si="11"/>
        <v>4</v>
      </c>
    </row>
    <row r="287" spans="1:12" x14ac:dyDescent="0.3">
      <c r="A287" s="10">
        <v>45396</v>
      </c>
      <c r="B287" s="11">
        <v>45396.51885359954</v>
      </c>
      <c r="C287" s="12">
        <f t="shared" si="6"/>
        <v>12</v>
      </c>
      <c r="D287" s="12" t="s">
        <v>27</v>
      </c>
      <c r="E287" s="12"/>
      <c r="F287" s="13">
        <v>30</v>
      </c>
      <c r="G287" s="12" t="s">
        <v>34</v>
      </c>
      <c r="H287" s="12" t="str">
        <f t="shared" si="7"/>
        <v>Afternoon</v>
      </c>
      <c r="I287" s="12" t="str">
        <f t="shared" si="8"/>
        <v>Sun</v>
      </c>
      <c r="J287" s="12" t="str">
        <f t="shared" si="9"/>
        <v>Apr</v>
      </c>
      <c r="K287" s="12">
        <f t="shared" si="10"/>
        <v>7</v>
      </c>
      <c r="L287" s="12">
        <f t="shared" si="11"/>
        <v>4</v>
      </c>
    </row>
    <row r="288" spans="1:12" x14ac:dyDescent="0.3">
      <c r="A288" s="6">
        <v>45396</v>
      </c>
      <c r="B288" s="7">
        <v>45396.520218483798</v>
      </c>
      <c r="C288" s="8">
        <f t="shared" si="6"/>
        <v>12</v>
      </c>
      <c r="D288" s="8" t="s">
        <v>27</v>
      </c>
      <c r="E288" s="8"/>
      <c r="F288" s="9">
        <v>30</v>
      </c>
      <c r="G288" s="8" t="s">
        <v>34</v>
      </c>
      <c r="H288" s="8" t="str">
        <f t="shared" si="7"/>
        <v>Afternoon</v>
      </c>
      <c r="I288" s="8" t="str">
        <f t="shared" si="8"/>
        <v>Sun</v>
      </c>
      <c r="J288" s="8" t="str">
        <f t="shared" si="9"/>
        <v>Apr</v>
      </c>
      <c r="K288" s="8">
        <f t="shared" si="10"/>
        <v>7</v>
      </c>
      <c r="L288" s="8">
        <f t="shared" si="11"/>
        <v>4</v>
      </c>
    </row>
    <row r="289" spans="1:12" x14ac:dyDescent="0.3">
      <c r="A289" s="10">
        <v>45396</v>
      </c>
      <c r="B289" s="11">
        <v>45396.52194486111</v>
      </c>
      <c r="C289" s="12">
        <f t="shared" si="6"/>
        <v>12</v>
      </c>
      <c r="D289" s="12" t="s">
        <v>27</v>
      </c>
      <c r="E289" s="12"/>
      <c r="F289" s="13">
        <v>35</v>
      </c>
      <c r="G289" s="12" t="s">
        <v>20</v>
      </c>
      <c r="H289" s="12" t="str">
        <f t="shared" si="7"/>
        <v>Afternoon</v>
      </c>
      <c r="I289" s="12" t="str">
        <f t="shared" si="8"/>
        <v>Sun</v>
      </c>
      <c r="J289" s="12" t="str">
        <f t="shared" si="9"/>
        <v>Apr</v>
      </c>
      <c r="K289" s="12">
        <f t="shared" si="10"/>
        <v>7</v>
      </c>
      <c r="L289" s="12">
        <f t="shared" si="11"/>
        <v>4</v>
      </c>
    </row>
    <row r="290" spans="1:12" x14ac:dyDescent="0.3">
      <c r="A290" s="6">
        <v>45396</v>
      </c>
      <c r="B290" s="7">
        <v>45396.556826481479</v>
      </c>
      <c r="C290" s="8">
        <f t="shared" si="6"/>
        <v>13</v>
      </c>
      <c r="D290" s="8" t="s">
        <v>4</v>
      </c>
      <c r="E290" s="8" t="s">
        <v>134</v>
      </c>
      <c r="F290" s="9">
        <v>28.9</v>
      </c>
      <c r="G290" s="8" t="s">
        <v>34</v>
      </c>
      <c r="H290" s="8" t="str">
        <f t="shared" si="7"/>
        <v>Afternoon</v>
      </c>
      <c r="I290" s="8" t="str">
        <f t="shared" si="8"/>
        <v>Sun</v>
      </c>
      <c r="J290" s="8" t="str">
        <f t="shared" si="9"/>
        <v>Apr</v>
      </c>
      <c r="K290" s="8">
        <f t="shared" si="10"/>
        <v>7</v>
      </c>
      <c r="L290" s="8">
        <f t="shared" si="11"/>
        <v>4</v>
      </c>
    </row>
    <row r="291" spans="1:12" x14ac:dyDescent="0.3">
      <c r="A291" s="10">
        <v>45396</v>
      </c>
      <c r="B291" s="11">
        <v>45396.599671655094</v>
      </c>
      <c r="C291" s="12">
        <f t="shared" si="6"/>
        <v>14</v>
      </c>
      <c r="D291" s="12" t="s">
        <v>4</v>
      </c>
      <c r="E291" s="12" t="s">
        <v>29</v>
      </c>
      <c r="F291" s="13">
        <v>28.9</v>
      </c>
      <c r="G291" s="12" t="s">
        <v>17</v>
      </c>
      <c r="H291" s="12" t="str">
        <f t="shared" si="7"/>
        <v>Afternoon</v>
      </c>
      <c r="I291" s="12" t="str">
        <f t="shared" si="8"/>
        <v>Sun</v>
      </c>
      <c r="J291" s="12" t="str">
        <f t="shared" si="9"/>
        <v>Apr</v>
      </c>
      <c r="K291" s="12">
        <f t="shared" si="10"/>
        <v>7</v>
      </c>
      <c r="L291" s="12">
        <f t="shared" si="11"/>
        <v>4</v>
      </c>
    </row>
    <row r="292" spans="1:12" x14ac:dyDescent="0.3">
      <c r="A292" s="6">
        <v>45396</v>
      </c>
      <c r="B292" s="7">
        <v>45396.600311689814</v>
      </c>
      <c r="C292" s="8">
        <f t="shared" si="6"/>
        <v>14</v>
      </c>
      <c r="D292" s="8" t="s">
        <v>4</v>
      </c>
      <c r="E292" s="8" t="s">
        <v>29</v>
      </c>
      <c r="F292" s="9">
        <v>28.9</v>
      </c>
      <c r="G292" s="8" t="s">
        <v>17</v>
      </c>
      <c r="H292" s="8" t="str">
        <f t="shared" si="7"/>
        <v>Afternoon</v>
      </c>
      <c r="I292" s="8" t="str">
        <f t="shared" si="8"/>
        <v>Sun</v>
      </c>
      <c r="J292" s="8" t="str">
        <f t="shared" si="9"/>
        <v>Apr</v>
      </c>
      <c r="K292" s="8">
        <f t="shared" si="10"/>
        <v>7</v>
      </c>
      <c r="L292" s="8">
        <f t="shared" si="11"/>
        <v>4</v>
      </c>
    </row>
    <row r="293" spans="1:12" x14ac:dyDescent="0.3">
      <c r="A293" s="10">
        <v>45396</v>
      </c>
      <c r="B293" s="11">
        <v>45396.600904189814</v>
      </c>
      <c r="C293" s="12">
        <f t="shared" si="6"/>
        <v>14</v>
      </c>
      <c r="D293" s="12" t="s">
        <v>4</v>
      </c>
      <c r="E293" s="12" t="s">
        <v>29</v>
      </c>
      <c r="F293" s="13">
        <v>28.9</v>
      </c>
      <c r="G293" s="12" t="s">
        <v>17</v>
      </c>
      <c r="H293" s="12" t="str">
        <f t="shared" si="7"/>
        <v>Afternoon</v>
      </c>
      <c r="I293" s="12" t="str">
        <f t="shared" si="8"/>
        <v>Sun</v>
      </c>
      <c r="J293" s="12" t="str">
        <f t="shared" si="9"/>
        <v>Apr</v>
      </c>
      <c r="K293" s="12">
        <f t="shared" si="10"/>
        <v>7</v>
      </c>
      <c r="L293" s="12">
        <f t="shared" si="11"/>
        <v>4</v>
      </c>
    </row>
    <row r="294" spans="1:12" x14ac:dyDescent="0.3">
      <c r="A294" s="6">
        <v>45396</v>
      </c>
      <c r="B294" s="7">
        <v>45396.657265428243</v>
      </c>
      <c r="C294" s="8">
        <f t="shared" si="6"/>
        <v>15</v>
      </c>
      <c r="D294" s="8" t="s">
        <v>4</v>
      </c>
      <c r="E294" s="8" t="s">
        <v>35</v>
      </c>
      <c r="F294" s="9">
        <v>38.700000000000003</v>
      </c>
      <c r="G294" s="8" t="s">
        <v>49</v>
      </c>
      <c r="H294" s="8" t="str">
        <f t="shared" si="7"/>
        <v>Afternoon</v>
      </c>
      <c r="I294" s="8" t="str">
        <f t="shared" si="8"/>
        <v>Sun</v>
      </c>
      <c r="J294" s="8" t="str">
        <f t="shared" si="9"/>
        <v>Apr</v>
      </c>
      <c r="K294" s="8">
        <f t="shared" si="10"/>
        <v>7</v>
      </c>
      <c r="L294" s="8">
        <f t="shared" si="11"/>
        <v>4</v>
      </c>
    </row>
    <row r="295" spans="1:12" x14ac:dyDescent="0.3">
      <c r="A295" s="10">
        <v>45396</v>
      </c>
      <c r="B295" s="11">
        <v>45396.708273414355</v>
      </c>
      <c r="C295" s="12">
        <f t="shared" si="6"/>
        <v>16</v>
      </c>
      <c r="D295" s="12" t="s">
        <v>4</v>
      </c>
      <c r="E295" s="12" t="s">
        <v>29</v>
      </c>
      <c r="F295" s="13">
        <v>28.9</v>
      </c>
      <c r="G295" s="12" t="s">
        <v>34</v>
      </c>
      <c r="H295" s="12" t="str">
        <f t="shared" si="7"/>
        <v>Afternoon</v>
      </c>
      <c r="I295" s="12" t="str">
        <f t="shared" si="8"/>
        <v>Sun</v>
      </c>
      <c r="J295" s="12" t="str">
        <f t="shared" si="9"/>
        <v>Apr</v>
      </c>
      <c r="K295" s="12">
        <f t="shared" si="10"/>
        <v>7</v>
      </c>
      <c r="L295" s="12">
        <f t="shared" si="11"/>
        <v>4</v>
      </c>
    </row>
    <row r="296" spans="1:12" x14ac:dyDescent="0.3">
      <c r="A296" s="6">
        <v>45396</v>
      </c>
      <c r="B296" s="7">
        <v>45396.708858645834</v>
      </c>
      <c r="C296" s="8">
        <f t="shared" si="6"/>
        <v>17</v>
      </c>
      <c r="D296" s="8" t="s">
        <v>4</v>
      </c>
      <c r="E296" s="8" t="s">
        <v>37</v>
      </c>
      <c r="F296" s="9">
        <v>38.700000000000003</v>
      </c>
      <c r="G296" s="8" t="s">
        <v>13</v>
      </c>
      <c r="H296" s="8" t="str">
        <f t="shared" si="7"/>
        <v>Night</v>
      </c>
      <c r="I296" s="8" t="str">
        <f t="shared" si="8"/>
        <v>Sun</v>
      </c>
      <c r="J296" s="8" t="str">
        <f t="shared" si="9"/>
        <v>Apr</v>
      </c>
      <c r="K296" s="8">
        <f t="shared" si="10"/>
        <v>7</v>
      </c>
      <c r="L296" s="8">
        <f t="shared" si="11"/>
        <v>4</v>
      </c>
    </row>
    <row r="297" spans="1:12" x14ac:dyDescent="0.3">
      <c r="A297" s="10">
        <v>45396</v>
      </c>
      <c r="B297" s="11">
        <v>45396.77661630787</v>
      </c>
      <c r="C297" s="12">
        <f t="shared" si="6"/>
        <v>18</v>
      </c>
      <c r="D297" s="12" t="s">
        <v>4</v>
      </c>
      <c r="E297" s="12" t="s">
        <v>135</v>
      </c>
      <c r="F297" s="13">
        <v>38.700000000000003</v>
      </c>
      <c r="G297" s="12" t="s">
        <v>49</v>
      </c>
      <c r="H297" s="12" t="str">
        <f t="shared" si="7"/>
        <v>Night</v>
      </c>
      <c r="I297" s="12" t="str">
        <f t="shared" si="8"/>
        <v>Sun</v>
      </c>
      <c r="J297" s="12" t="str">
        <f t="shared" si="9"/>
        <v>Apr</v>
      </c>
      <c r="K297" s="12">
        <f t="shared" si="10"/>
        <v>7</v>
      </c>
      <c r="L297" s="12">
        <f t="shared" si="11"/>
        <v>4</v>
      </c>
    </row>
    <row r="298" spans="1:12" x14ac:dyDescent="0.3">
      <c r="A298" s="6">
        <v>45397</v>
      </c>
      <c r="B298" s="7">
        <v>45397.489868275465</v>
      </c>
      <c r="C298" s="8">
        <f t="shared" si="6"/>
        <v>11</v>
      </c>
      <c r="D298" s="8" t="s">
        <v>4</v>
      </c>
      <c r="E298" s="8" t="s">
        <v>84</v>
      </c>
      <c r="F298" s="9">
        <v>28.9</v>
      </c>
      <c r="G298" s="8" t="s">
        <v>17</v>
      </c>
      <c r="H298" s="8" t="str">
        <f t="shared" si="7"/>
        <v>Morning</v>
      </c>
      <c r="I298" s="8" t="str">
        <f t="shared" si="8"/>
        <v>Mon</v>
      </c>
      <c r="J298" s="8" t="str">
        <f t="shared" si="9"/>
        <v>Apr</v>
      </c>
      <c r="K298" s="8">
        <f t="shared" si="10"/>
        <v>1</v>
      </c>
      <c r="L298" s="8">
        <f t="shared" si="11"/>
        <v>4</v>
      </c>
    </row>
    <row r="299" spans="1:12" x14ac:dyDescent="0.3">
      <c r="A299" s="10">
        <v>45397</v>
      </c>
      <c r="B299" s="11">
        <v>45397.709564340279</v>
      </c>
      <c r="C299" s="12">
        <f t="shared" si="6"/>
        <v>17</v>
      </c>
      <c r="D299" s="12" t="s">
        <v>4</v>
      </c>
      <c r="E299" s="12" t="s">
        <v>16</v>
      </c>
      <c r="F299" s="13">
        <v>28.9</v>
      </c>
      <c r="G299" s="12" t="s">
        <v>17</v>
      </c>
      <c r="H299" s="12" t="str">
        <f t="shared" si="7"/>
        <v>Night</v>
      </c>
      <c r="I299" s="12" t="str">
        <f t="shared" si="8"/>
        <v>Mon</v>
      </c>
      <c r="J299" s="12" t="str">
        <f t="shared" si="9"/>
        <v>Apr</v>
      </c>
      <c r="K299" s="12">
        <f t="shared" si="10"/>
        <v>1</v>
      </c>
      <c r="L299" s="12">
        <f t="shared" si="11"/>
        <v>4</v>
      </c>
    </row>
    <row r="300" spans="1:12" x14ac:dyDescent="0.3">
      <c r="A300" s="6">
        <v>45397</v>
      </c>
      <c r="B300" s="7">
        <v>45397.71029800926</v>
      </c>
      <c r="C300" s="8">
        <f t="shared" si="6"/>
        <v>17</v>
      </c>
      <c r="D300" s="8" t="s">
        <v>4</v>
      </c>
      <c r="E300" s="8" t="s">
        <v>18</v>
      </c>
      <c r="F300" s="9">
        <v>33.799999999999997</v>
      </c>
      <c r="G300" s="8" t="s">
        <v>20</v>
      </c>
      <c r="H300" s="8" t="str">
        <f t="shared" si="7"/>
        <v>Night</v>
      </c>
      <c r="I300" s="8" t="str">
        <f t="shared" si="8"/>
        <v>Mon</v>
      </c>
      <c r="J300" s="8" t="str">
        <f t="shared" si="9"/>
        <v>Apr</v>
      </c>
      <c r="K300" s="8">
        <f t="shared" si="10"/>
        <v>1</v>
      </c>
      <c r="L300" s="8">
        <f t="shared" si="11"/>
        <v>4</v>
      </c>
    </row>
    <row r="301" spans="1:12" x14ac:dyDescent="0.3">
      <c r="A301" s="10">
        <v>45397</v>
      </c>
      <c r="B301" s="11">
        <v>45397.814618472221</v>
      </c>
      <c r="C301" s="12">
        <f t="shared" si="6"/>
        <v>19</v>
      </c>
      <c r="D301" s="12" t="s">
        <v>4</v>
      </c>
      <c r="E301" s="12" t="s">
        <v>25</v>
      </c>
      <c r="F301" s="13">
        <v>33.799999999999997</v>
      </c>
      <c r="G301" s="12" t="s">
        <v>20</v>
      </c>
      <c r="H301" s="12" t="str">
        <f t="shared" si="7"/>
        <v>Night</v>
      </c>
      <c r="I301" s="12" t="str">
        <f t="shared" si="8"/>
        <v>Mon</v>
      </c>
      <c r="J301" s="12" t="str">
        <f t="shared" si="9"/>
        <v>Apr</v>
      </c>
      <c r="K301" s="12">
        <f t="shared" si="10"/>
        <v>1</v>
      </c>
      <c r="L301" s="12">
        <f t="shared" si="11"/>
        <v>4</v>
      </c>
    </row>
    <row r="302" spans="1:12" x14ac:dyDescent="0.3">
      <c r="A302" s="6">
        <v>45397</v>
      </c>
      <c r="B302" s="7">
        <v>45397.820811481484</v>
      </c>
      <c r="C302" s="8">
        <f t="shared" si="6"/>
        <v>19</v>
      </c>
      <c r="D302" s="8" t="s">
        <v>27</v>
      </c>
      <c r="E302" s="8"/>
      <c r="F302" s="9">
        <v>25</v>
      </c>
      <c r="G302" s="8" t="s">
        <v>41</v>
      </c>
      <c r="H302" s="8" t="str">
        <f t="shared" si="7"/>
        <v>Night</v>
      </c>
      <c r="I302" s="8" t="str">
        <f t="shared" si="8"/>
        <v>Mon</v>
      </c>
      <c r="J302" s="8" t="str">
        <f t="shared" si="9"/>
        <v>Apr</v>
      </c>
      <c r="K302" s="8">
        <f t="shared" si="10"/>
        <v>1</v>
      </c>
      <c r="L302" s="8">
        <f t="shared" si="11"/>
        <v>4</v>
      </c>
    </row>
    <row r="303" spans="1:12" x14ac:dyDescent="0.3">
      <c r="A303" s="10">
        <v>45398</v>
      </c>
      <c r="B303" s="11">
        <v>45398.447105405095</v>
      </c>
      <c r="C303" s="12">
        <f t="shared" si="6"/>
        <v>10</v>
      </c>
      <c r="D303" s="12" t="s">
        <v>27</v>
      </c>
      <c r="E303" s="12"/>
      <c r="F303" s="13">
        <v>35</v>
      </c>
      <c r="G303" s="12" t="s">
        <v>20</v>
      </c>
      <c r="H303" s="12" t="str">
        <f t="shared" si="7"/>
        <v>Morning</v>
      </c>
      <c r="I303" s="12" t="str">
        <f t="shared" si="8"/>
        <v>Tue</v>
      </c>
      <c r="J303" s="12" t="str">
        <f t="shared" si="9"/>
        <v>Apr</v>
      </c>
      <c r="K303" s="12">
        <f t="shared" si="10"/>
        <v>2</v>
      </c>
      <c r="L303" s="12">
        <f t="shared" si="11"/>
        <v>4</v>
      </c>
    </row>
    <row r="304" spans="1:12" x14ac:dyDescent="0.3">
      <c r="A304" s="6">
        <v>45398</v>
      </c>
      <c r="B304" s="7">
        <v>45398.448908634258</v>
      </c>
      <c r="C304" s="8">
        <f t="shared" si="6"/>
        <v>10</v>
      </c>
      <c r="D304" s="8" t="s">
        <v>4</v>
      </c>
      <c r="E304" s="8" t="s">
        <v>136</v>
      </c>
      <c r="F304" s="9">
        <v>33.799999999999997</v>
      </c>
      <c r="G304" s="8" t="s">
        <v>20</v>
      </c>
      <c r="H304" s="8" t="str">
        <f t="shared" si="7"/>
        <v>Morning</v>
      </c>
      <c r="I304" s="8" t="str">
        <f t="shared" si="8"/>
        <v>Tue</v>
      </c>
      <c r="J304" s="8" t="str">
        <f t="shared" si="9"/>
        <v>Apr</v>
      </c>
      <c r="K304" s="8">
        <f t="shared" si="10"/>
        <v>2</v>
      </c>
      <c r="L304" s="8">
        <f t="shared" si="11"/>
        <v>4</v>
      </c>
    </row>
    <row r="305" spans="1:12" x14ac:dyDescent="0.3">
      <c r="A305" s="10">
        <v>45398</v>
      </c>
      <c r="B305" s="11">
        <v>45398.52832957176</v>
      </c>
      <c r="C305" s="12">
        <f t="shared" si="6"/>
        <v>12</v>
      </c>
      <c r="D305" s="12" t="s">
        <v>4</v>
      </c>
      <c r="E305" s="12" t="s">
        <v>137</v>
      </c>
      <c r="F305" s="13">
        <v>38.700000000000003</v>
      </c>
      <c r="G305" s="12" t="s">
        <v>24</v>
      </c>
      <c r="H305" s="12" t="str">
        <f t="shared" si="7"/>
        <v>Afternoon</v>
      </c>
      <c r="I305" s="12" t="str">
        <f t="shared" si="8"/>
        <v>Tue</v>
      </c>
      <c r="J305" s="12" t="str">
        <f t="shared" si="9"/>
        <v>Apr</v>
      </c>
      <c r="K305" s="12">
        <f t="shared" si="10"/>
        <v>2</v>
      </c>
      <c r="L305" s="12">
        <f t="shared" si="11"/>
        <v>4</v>
      </c>
    </row>
    <row r="306" spans="1:12" x14ac:dyDescent="0.3">
      <c r="A306" s="6">
        <v>45398</v>
      </c>
      <c r="B306" s="7">
        <v>45398.536200810187</v>
      </c>
      <c r="C306" s="8">
        <f t="shared" si="6"/>
        <v>12</v>
      </c>
      <c r="D306" s="8" t="s">
        <v>4</v>
      </c>
      <c r="E306" s="8" t="s">
        <v>84</v>
      </c>
      <c r="F306" s="9">
        <v>28.9</v>
      </c>
      <c r="G306" s="8" t="s">
        <v>34</v>
      </c>
      <c r="H306" s="8" t="str">
        <f t="shared" si="7"/>
        <v>Afternoon</v>
      </c>
      <c r="I306" s="8" t="str">
        <f t="shared" si="8"/>
        <v>Tue</v>
      </c>
      <c r="J306" s="8" t="str">
        <f t="shared" si="9"/>
        <v>Apr</v>
      </c>
      <c r="K306" s="8">
        <f t="shared" si="10"/>
        <v>2</v>
      </c>
      <c r="L306" s="8">
        <f t="shared" si="11"/>
        <v>4</v>
      </c>
    </row>
    <row r="307" spans="1:12" x14ac:dyDescent="0.3">
      <c r="A307" s="10">
        <v>45398</v>
      </c>
      <c r="B307" s="11">
        <v>45398.627278807871</v>
      </c>
      <c r="C307" s="12">
        <f t="shared" si="6"/>
        <v>15</v>
      </c>
      <c r="D307" s="12" t="s">
        <v>4</v>
      </c>
      <c r="E307" s="12" t="s">
        <v>138</v>
      </c>
      <c r="F307" s="13">
        <v>28.9</v>
      </c>
      <c r="G307" s="12" t="s">
        <v>17</v>
      </c>
      <c r="H307" s="12" t="str">
        <f t="shared" si="7"/>
        <v>Afternoon</v>
      </c>
      <c r="I307" s="12" t="str">
        <f t="shared" si="8"/>
        <v>Tue</v>
      </c>
      <c r="J307" s="12" t="str">
        <f t="shared" si="9"/>
        <v>Apr</v>
      </c>
      <c r="K307" s="12">
        <f t="shared" si="10"/>
        <v>2</v>
      </c>
      <c r="L307" s="12">
        <f t="shared" si="11"/>
        <v>4</v>
      </c>
    </row>
    <row r="308" spans="1:12" x14ac:dyDescent="0.3">
      <c r="A308" s="6">
        <v>45398</v>
      </c>
      <c r="B308" s="7">
        <v>45398.737548703706</v>
      </c>
      <c r="C308" s="8">
        <f t="shared" si="6"/>
        <v>17</v>
      </c>
      <c r="D308" s="8" t="s">
        <v>4</v>
      </c>
      <c r="E308" s="8" t="s">
        <v>43</v>
      </c>
      <c r="F308" s="9">
        <v>33.799999999999997</v>
      </c>
      <c r="G308" s="8" t="s">
        <v>20</v>
      </c>
      <c r="H308" s="8" t="str">
        <f t="shared" si="7"/>
        <v>Night</v>
      </c>
      <c r="I308" s="8" t="str">
        <f t="shared" si="8"/>
        <v>Tue</v>
      </c>
      <c r="J308" s="8" t="str">
        <f t="shared" si="9"/>
        <v>Apr</v>
      </c>
      <c r="K308" s="8">
        <f t="shared" si="10"/>
        <v>2</v>
      </c>
      <c r="L308" s="8">
        <f t="shared" si="11"/>
        <v>4</v>
      </c>
    </row>
    <row r="309" spans="1:12" x14ac:dyDescent="0.3">
      <c r="A309" s="10">
        <v>45398</v>
      </c>
      <c r="B309" s="11">
        <v>45398.738460185188</v>
      </c>
      <c r="C309" s="12">
        <f t="shared" si="6"/>
        <v>17</v>
      </c>
      <c r="D309" s="12" t="s">
        <v>4</v>
      </c>
      <c r="E309" s="12" t="s">
        <v>25</v>
      </c>
      <c r="F309" s="13">
        <v>38.700000000000003</v>
      </c>
      <c r="G309" s="12" t="s">
        <v>49</v>
      </c>
      <c r="H309" s="12" t="str">
        <f t="shared" si="7"/>
        <v>Night</v>
      </c>
      <c r="I309" s="12" t="str">
        <f t="shared" si="8"/>
        <v>Tue</v>
      </c>
      <c r="J309" s="12" t="str">
        <f t="shared" si="9"/>
        <v>Apr</v>
      </c>
      <c r="K309" s="12">
        <f t="shared" si="10"/>
        <v>2</v>
      </c>
      <c r="L309" s="12">
        <f t="shared" si="11"/>
        <v>4</v>
      </c>
    </row>
    <row r="310" spans="1:12" x14ac:dyDescent="0.3">
      <c r="A310" s="6">
        <v>45398</v>
      </c>
      <c r="B310" s="7">
        <v>45398.756311030091</v>
      </c>
      <c r="C310" s="8">
        <f t="shared" si="6"/>
        <v>18</v>
      </c>
      <c r="D310" s="8" t="s">
        <v>4</v>
      </c>
      <c r="E310" s="8" t="s">
        <v>70</v>
      </c>
      <c r="F310" s="9">
        <v>38.700000000000003</v>
      </c>
      <c r="G310" s="8" t="s">
        <v>24</v>
      </c>
      <c r="H310" s="8" t="str">
        <f t="shared" si="7"/>
        <v>Night</v>
      </c>
      <c r="I310" s="8" t="str">
        <f t="shared" si="8"/>
        <v>Tue</v>
      </c>
      <c r="J310" s="8" t="str">
        <f t="shared" si="9"/>
        <v>Apr</v>
      </c>
      <c r="K310" s="8">
        <f t="shared" si="10"/>
        <v>2</v>
      </c>
      <c r="L310" s="8">
        <f t="shared" si="11"/>
        <v>4</v>
      </c>
    </row>
    <row r="311" spans="1:12" x14ac:dyDescent="0.3">
      <c r="A311" s="10">
        <v>45399</v>
      </c>
      <c r="B311" s="11">
        <v>45399.564580925929</v>
      </c>
      <c r="C311" s="12">
        <f t="shared" si="6"/>
        <v>13</v>
      </c>
      <c r="D311" s="12" t="s">
        <v>4</v>
      </c>
      <c r="E311" s="12" t="s">
        <v>29</v>
      </c>
      <c r="F311" s="13">
        <v>28.9</v>
      </c>
      <c r="G311" s="12" t="s">
        <v>17</v>
      </c>
      <c r="H311" s="12" t="str">
        <f t="shared" si="7"/>
        <v>Afternoon</v>
      </c>
      <c r="I311" s="12" t="str">
        <f t="shared" si="8"/>
        <v>Wed</v>
      </c>
      <c r="J311" s="12" t="str">
        <f t="shared" si="9"/>
        <v>Apr</v>
      </c>
      <c r="K311" s="12">
        <f t="shared" si="10"/>
        <v>3</v>
      </c>
      <c r="L311" s="12">
        <f t="shared" si="11"/>
        <v>4</v>
      </c>
    </row>
    <row r="312" spans="1:12" x14ac:dyDescent="0.3">
      <c r="A312" s="6">
        <v>45399</v>
      </c>
      <c r="B312" s="7">
        <v>45399.572224317133</v>
      </c>
      <c r="C312" s="8">
        <f t="shared" si="6"/>
        <v>13</v>
      </c>
      <c r="D312" s="8" t="s">
        <v>4</v>
      </c>
      <c r="E312" s="8" t="s">
        <v>139</v>
      </c>
      <c r="F312" s="9">
        <v>24</v>
      </c>
      <c r="G312" s="8" t="s">
        <v>41</v>
      </c>
      <c r="H312" s="8" t="str">
        <f t="shared" si="7"/>
        <v>Afternoon</v>
      </c>
      <c r="I312" s="8" t="str">
        <f t="shared" si="8"/>
        <v>Wed</v>
      </c>
      <c r="J312" s="8" t="str">
        <f t="shared" si="9"/>
        <v>Apr</v>
      </c>
      <c r="K312" s="8">
        <f t="shared" si="10"/>
        <v>3</v>
      </c>
      <c r="L312" s="8">
        <f t="shared" si="11"/>
        <v>4</v>
      </c>
    </row>
    <row r="313" spans="1:12" x14ac:dyDescent="0.3">
      <c r="A313" s="10">
        <v>45399</v>
      </c>
      <c r="B313" s="11">
        <v>45399.675975810183</v>
      </c>
      <c r="C313" s="12">
        <f t="shared" si="6"/>
        <v>16</v>
      </c>
      <c r="D313" s="12" t="s">
        <v>27</v>
      </c>
      <c r="E313" s="12"/>
      <c r="F313" s="13">
        <v>40</v>
      </c>
      <c r="G313" s="12" t="s">
        <v>49</v>
      </c>
      <c r="H313" s="12" t="str">
        <f t="shared" si="7"/>
        <v>Afternoon</v>
      </c>
      <c r="I313" s="12" t="str">
        <f t="shared" si="8"/>
        <v>Wed</v>
      </c>
      <c r="J313" s="12" t="str">
        <f t="shared" si="9"/>
        <v>Apr</v>
      </c>
      <c r="K313" s="12">
        <f t="shared" si="10"/>
        <v>3</v>
      </c>
      <c r="L313" s="12">
        <f t="shared" si="11"/>
        <v>4</v>
      </c>
    </row>
    <row r="314" spans="1:12" x14ac:dyDescent="0.3">
      <c r="A314" s="6">
        <v>45399</v>
      </c>
      <c r="B314" s="7">
        <v>45399.709434594908</v>
      </c>
      <c r="C314" s="8">
        <f t="shared" si="6"/>
        <v>17</v>
      </c>
      <c r="D314" s="8" t="s">
        <v>4</v>
      </c>
      <c r="E314" s="8" t="s">
        <v>140</v>
      </c>
      <c r="F314" s="9">
        <v>38.700000000000003</v>
      </c>
      <c r="G314" s="8" t="s">
        <v>49</v>
      </c>
      <c r="H314" s="8" t="str">
        <f t="shared" si="7"/>
        <v>Night</v>
      </c>
      <c r="I314" s="8" t="str">
        <f t="shared" si="8"/>
        <v>Wed</v>
      </c>
      <c r="J314" s="8" t="str">
        <f t="shared" si="9"/>
        <v>Apr</v>
      </c>
      <c r="K314" s="8">
        <f t="shared" si="10"/>
        <v>3</v>
      </c>
      <c r="L314" s="8">
        <f t="shared" si="11"/>
        <v>4</v>
      </c>
    </row>
    <row r="315" spans="1:12" x14ac:dyDescent="0.3">
      <c r="A315" s="10">
        <v>45399</v>
      </c>
      <c r="B315" s="11">
        <v>45399.710193136576</v>
      </c>
      <c r="C315" s="12">
        <f t="shared" si="6"/>
        <v>17</v>
      </c>
      <c r="D315" s="12" t="s">
        <v>4</v>
      </c>
      <c r="E315" s="12" t="s">
        <v>140</v>
      </c>
      <c r="F315" s="13">
        <v>38.700000000000003</v>
      </c>
      <c r="G315" s="12" t="s">
        <v>49</v>
      </c>
      <c r="H315" s="12" t="str">
        <f t="shared" si="7"/>
        <v>Night</v>
      </c>
      <c r="I315" s="12" t="str">
        <f t="shared" si="8"/>
        <v>Wed</v>
      </c>
      <c r="J315" s="12" t="str">
        <f t="shared" si="9"/>
        <v>Apr</v>
      </c>
      <c r="K315" s="12">
        <f t="shared" si="10"/>
        <v>3</v>
      </c>
      <c r="L315" s="12">
        <f t="shared" si="11"/>
        <v>4</v>
      </c>
    </row>
    <row r="316" spans="1:12" x14ac:dyDescent="0.3">
      <c r="A316" s="6">
        <v>45399</v>
      </c>
      <c r="B316" s="7">
        <v>45399.759759594905</v>
      </c>
      <c r="C316" s="8">
        <f t="shared" si="6"/>
        <v>18</v>
      </c>
      <c r="D316" s="8" t="s">
        <v>4</v>
      </c>
      <c r="E316" s="8" t="s">
        <v>141</v>
      </c>
      <c r="F316" s="9">
        <v>28.9</v>
      </c>
      <c r="G316" s="8" t="s">
        <v>34</v>
      </c>
      <c r="H316" s="8" t="str">
        <f t="shared" si="7"/>
        <v>Night</v>
      </c>
      <c r="I316" s="8" t="str">
        <f t="shared" si="8"/>
        <v>Wed</v>
      </c>
      <c r="J316" s="8" t="str">
        <f t="shared" si="9"/>
        <v>Apr</v>
      </c>
      <c r="K316" s="8">
        <f t="shared" si="10"/>
        <v>3</v>
      </c>
      <c r="L316" s="8">
        <f t="shared" si="11"/>
        <v>4</v>
      </c>
    </row>
    <row r="317" spans="1:12" x14ac:dyDescent="0.3">
      <c r="A317" s="10">
        <v>45400</v>
      </c>
      <c r="B317" s="11">
        <v>45400.471547372683</v>
      </c>
      <c r="C317" s="12">
        <f t="shared" si="6"/>
        <v>11</v>
      </c>
      <c r="D317" s="12" t="s">
        <v>4</v>
      </c>
      <c r="E317" s="12" t="s">
        <v>16</v>
      </c>
      <c r="F317" s="13">
        <v>28.9</v>
      </c>
      <c r="G317" s="12" t="s">
        <v>17</v>
      </c>
      <c r="H317" s="12" t="str">
        <f t="shared" si="7"/>
        <v>Morning</v>
      </c>
      <c r="I317" s="12" t="str">
        <f t="shared" si="8"/>
        <v>Thu</v>
      </c>
      <c r="J317" s="12" t="str">
        <f t="shared" si="9"/>
        <v>Apr</v>
      </c>
      <c r="K317" s="12">
        <f t="shared" si="10"/>
        <v>4</v>
      </c>
      <c r="L317" s="12">
        <f t="shared" si="11"/>
        <v>4</v>
      </c>
    </row>
    <row r="318" spans="1:12" x14ac:dyDescent="0.3">
      <c r="A318" s="6">
        <v>45400</v>
      </c>
      <c r="B318" s="7">
        <v>45400.47228814815</v>
      </c>
      <c r="C318" s="8">
        <f t="shared" si="6"/>
        <v>11</v>
      </c>
      <c r="D318" s="8" t="s">
        <v>4</v>
      </c>
      <c r="E318" s="8" t="s">
        <v>16</v>
      </c>
      <c r="F318" s="9">
        <v>28.9</v>
      </c>
      <c r="G318" s="8" t="s">
        <v>17</v>
      </c>
      <c r="H318" s="8" t="str">
        <f t="shared" si="7"/>
        <v>Morning</v>
      </c>
      <c r="I318" s="8" t="str">
        <f t="shared" si="8"/>
        <v>Thu</v>
      </c>
      <c r="J318" s="8" t="str">
        <f t="shared" si="9"/>
        <v>Apr</v>
      </c>
      <c r="K318" s="8">
        <f t="shared" si="10"/>
        <v>4</v>
      </c>
      <c r="L318" s="8">
        <f t="shared" si="11"/>
        <v>4</v>
      </c>
    </row>
    <row r="319" spans="1:12" x14ac:dyDescent="0.3">
      <c r="A319" s="10">
        <v>45400</v>
      </c>
      <c r="B319" s="11">
        <v>45400.575841666665</v>
      </c>
      <c r="C319" s="12">
        <f t="shared" si="6"/>
        <v>13</v>
      </c>
      <c r="D319" s="12" t="s">
        <v>4</v>
      </c>
      <c r="E319" s="12" t="s">
        <v>142</v>
      </c>
      <c r="F319" s="13">
        <v>33.799999999999997</v>
      </c>
      <c r="G319" s="12" t="s">
        <v>20</v>
      </c>
      <c r="H319" s="12" t="str">
        <f t="shared" si="7"/>
        <v>Afternoon</v>
      </c>
      <c r="I319" s="12" t="str">
        <f t="shared" si="8"/>
        <v>Thu</v>
      </c>
      <c r="J319" s="12" t="str">
        <f t="shared" si="9"/>
        <v>Apr</v>
      </c>
      <c r="K319" s="12">
        <f t="shared" si="10"/>
        <v>4</v>
      </c>
      <c r="L319" s="12">
        <f t="shared" si="11"/>
        <v>4</v>
      </c>
    </row>
    <row r="320" spans="1:12" x14ac:dyDescent="0.3">
      <c r="A320" s="6">
        <v>45400</v>
      </c>
      <c r="B320" s="7">
        <v>45400.576588946758</v>
      </c>
      <c r="C320" s="8">
        <f t="shared" si="6"/>
        <v>13</v>
      </c>
      <c r="D320" s="8" t="s">
        <v>4</v>
      </c>
      <c r="E320" s="8" t="s">
        <v>142</v>
      </c>
      <c r="F320" s="9">
        <v>28.9</v>
      </c>
      <c r="G320" s="8" t="s">
        <v>34</v>
      </c>
      <c r="H320" s="8" t="str">
        <f t="shared" si="7"/>
        <v>Afternoon</v>
      </c>
      <c r="I320" s="8" t="str">
        <f t="shared" si="8"/>
        <v>Thu</v>
      </c>
      <c r="J320" s="8" t="str">
        <f t="shared" si="9"/>
        <v>Apr</v>
      </c>
      <c r="K320" s="8">
        <f t="shared" si="10"/>
        <v>4</v>
      </c>
      <c r="L320" s="8">
        <f t="shared" si="11"/>
        <v>4</v>
      </c>
    </row>
    <row r="321" spans="1:12" x14ac:dyDescent="0.3">
      <c r="A321" s="10">
        <v>45400</v>
      </c>
      <c r="B321" s="11">
        <v>45400.607173819444</v>
      </c>
      <c r="C321" s="12">
        <f t="shared" si="6"/>
        <v>14</v>
      </c>
      <c r="D321" s="12" t="s">
        <v>4</v>
      </c>
      <c r="E321" s="12" t="s">
        <v>143</v>
      </c>
      <c r="F321" s="13">
        <v>38.700000000000003</v>
      </c>
      <c r="G321" s="12" t="s">
        <v>49</v>
      </c>
      <c r="H321" s="12" t="str">
        <f t="shared" si="7"/>
        <v>Afternoon</v>
      </c>
      <c r="I321" s="12" t="str">
        <f t="shared" si="8"/>
        <v>Thu</v>
      </c>
      <c r="J321" s="12" t="str">
        <f t="shared" si="9"/>
        <v>Apr</v>
      </c>
      <c r="K321" s="12">
        <f t="shared" si="10"/>
        <v>4</v>
      </c>
      <c r="L321" s="12">
        <f t="shared" si="11"/>
        <v>4</v>
      </c>
    </row>
    <row r="322" spans="1:12" x14ac:dyDescent="0.3">
      <c r="A322" s="6">
        <v>45400</v>
      </c>
      <c r="B322" s="7">
        <v>45400.608210115737</v>
      </c>
      <c r="C322" s="8">
        <f t="shared" si="6"/>
        <v>14</v>
      </c>
      <c r="D322" s="8" t="s">
        <v>4</v>
      </c>
      <c r="E322" s="8" t="s">
        <v>143</v>
      </c>
      <c r="F322" s="9">
        <v>38.700000000000003</v>
      </c>
      <c r="G322" s="8" t="s">
        <v>13</v>
      </c>
      <c r="H322" s="8" t="str">
        <f t="shared" si="7"/>
        <v>Afternoon</v>
      </c>
      <c r="I322" s="8" t="str">
        <f t="shared" si="8"/>
        <v>Thu</v>
      </c>
      <c r="J322" s="8" t="str">
        <f t="shared" si="9"/>
        <v>Apr</v>
      </c>
      <c r="K322" s="8">
        <f t="shared" si="10"/>
        <v>4</v>
      </c>
      <c r="L322" s="8">
        <f t="shared" si="11"/>
        <v>4</v>
      </c>
    </row>
    <row r="323" spans="1:12" x14ac:dyDescent="0.3">
      <c r="A323" s="10">
        <v>45400</v>
      </c>
      <c r="B323" s="11">
        <v>45400.739071655094</v>
      </c>
      <c r="C323" s="12">
        <f t="shared" si="6"/>
        <v>17</v>
      </c>
      <c r="D323" s="12" t="s">
        <v>4</v>
      </c>
      <c r="E323" s="12" t="s">
        <v>89</v>
      </c>
      <c r="F323" s="13">
        <v>38.700000000000003</v>
      </c>
      <c r="G323" s="12" t="s">
        <v>13</v>
      </c>
      <c r="H323" s="12" t="str">
        <f t="shared" si="7"/>
        <v>Night</v>
      </c>
      <c r="I323" s="12" t="str">
        <f t="shared" si="8"/>
        <v>Thu</v>
      </c>
      <c r="J323" s="12" t="str">
        <f t="shared" si="9"/>
        <v>Apr</v>
      </c>
      <c r="K323" s="12">
        <f t="shared" si="10"/>
        <v>4</v>
      </c>
      <c r="L323" s="12">
        <f t="shared" si="11"/>
        <v>4</v>
      </c>
    </row>
    <row r="324" spans="1:12" x14ac:dyDescent="0.3">
      <c r="A324" s="6">
        <v>45400</v>
      </c>
      <c r="B324" s="7">
        <v>45400.764652141203</v>
      </c>
      <c r="C324" s="8">
        <f t="shared" si="6"/>
        <v>18</v>
      </c>
      <c r="D324" s="8" t="s">
        <v>4</v>
      </c>
      <c r="E324" s="8" t="s">
        <v>105</v>
      </c>
      <c r="F324" s="9">
        <v>38.700000000000003</v>
      </c>
      <c r="G324" s="8" t="s">
        <v>49</v>
      </c>
      <c r="H324" s="8" t="str">
        <f t="shared" si="7"/>
        <v>Night</v>
      </c>
      <c r="I324" s="8" t="str">
        <f t="shared" si="8"/>
        <v>Thu</v>
      </c>
      <c r="J324" s="8" t="str">
        <f t="shared" si="9"/>
        <v>Apr</v>
      </c>
      <c r="K324" s="8">
        <f t="shared" si="10"/>
        <v>4</v>
      </c>
      <c r="L324" s="8">
        <f t="shared" si="11"/>
        <v>4</v>
      </c>
    </row>
    <row r="325" spans="1:12" x14ac:dyDescent="0.3">
      <c r="A325" s="10">
        <v>45400</v>
      </c>
      <c r="B325" s="11">
        <v>45400.819342511575</v>
      </c>
      <c r="C325" s="12">
        <f t="shared" si="6"/>
        <v>19</v>
      </c>
      <c r="D325" s="12" t="s">
        <v>4</v>
      </c>
      <c r="E325" s="12" t="s">
        <v>43</v>
      </c>
      <c r="F325" s="13">
        <v>38.700000000000003</v>
      </c>
      <c r="G325" s="12" t="s">
        <v>15</v>
      </c>
      <c r="H325" s="12" t="str">
        <f t="shared" si="7"/>
        <v>Night</v>
      </c>
      <c r="I325" s="12" t="str">
        <f t="shared" si="8"/>
        <v>Thu</v>
      </c>
      <c r="J325" s="12" t="str">
        <f t="shared" si="9"/>
        <v>Apr</v>
      </c>
      <c r="K325" s="12">
        <f t="shared" si="10"/>
        <v>4</v>
      </c>
      <c r="L325" s="12">
        <f t="shared" si="11"/>
        <v>4</v>
      </c>
    </row>
    <row r="326" spans="1:12" x14ac:dyDescent="0.3">
      <c r="A326" s="6">
        <v>45400</v>
      </c>
      <c r="B326" s="7">
        <v>45400.820011041666</v>
      </c>
      <c r="C326" s="8">
        <f t="shared" si="6"/>
        <v>19</v>
      </c>
      <c r="D326" s="8" t="s">
        <v>4</v>
      </c>
      <c r="E326" s="8" t="s">
        <v>25</v>
      </c>
      <c r="F326" s="9">
        <v>38.700000000000003</v>
      </c>
      <c r="G326" s="8" t="s">
        <v>15</v>
      </c>
      <c r="H326" s="8" t="str">
        <f t="shared" si="7"/>
        <v>Night</v>
      </c>
      <c r="I326" s="8" t="str">
        <f t="shared" si="8"/>
        <v>Thu</v>
      </c>
      <c r="J326" s="8" t="str">
        <f t="shared" si="9"/>
        <v>Apr</v>
      </c>
      <c r="K326" s="8">
        <f t="shared" si="10"/>
        <v>4</v>
      </c>
      <c r="L326" s="8">
        <f t="shared" si="11"/>
        <v>4</v>
      </c>
    </row>
    <row r="327" spans="1:12" x14ac:dyDescent="0.3">
      <c r="A327" s="10">
        <v>45401</v>
      </c>
      <c r="B327" s="11">
        <v>45401.424030717593</v>
      </c>
      <c r="C327" s="12">
        <f t="shared" si="6"/>
        <v>10</v>
      </c>
      <c r="D327" s="12" t="s">
        <v>4</v>
      </c>
      <c r="E327" s="12" t="s">
        <v>12</v>
      </c>
      <c r="F327" s="13">
        <v>38.700000000000003</v>
      </c>
      <c r="G327" s="12" t="s">
        <v>13</v>
      </c>
      <c r="H327" s="12" t="str">
        <f t="shared" si="7"/>
        <v>Morning</v>
      </c>
      <c r="I327" s="12" t="str">
        <f t="shared" si="8"/>
        <v>Fri</v>
      </c>
      <c r="J327" s="12" t="str">
        <f t="shared" si="9"/>
        <v>Apr</v>
      </c>
      <c r="K327" s="12">
        <f t="shared" si="10"/>
        <v>5</v>
      </c>
      <c r="L327" s="12">
        <f t="shared" si="11"/>
        <v>4</v>
      </c>
    </row>
    <row r="328" spans="1:12" x14ac:dyDescent="0.3">
      <c r="A328" s="6">
        <v>45401</v>
      </c>
      <c r="B328" s="7">
        <v>45401.54985935185</v>
      </c>
      <c r="C328" s="8">
        <f t="shared" si="6"/>
        <v>13</v>
      </c>
      <c r="D328" s="8" t="s">
        <v>4</v>
      </c>
      <c r="E328" s="8" t="s">
        <v>60</v>
      </c>
      <c r="F328" s="9">
        <v>33.799999999999997</v>
      </c>
      <c r="G328" s="8" t="s">
        <v>20</v>
      </c>
      <c r="H328" s="8" t="str">
        <f t="shared" si="7"/>
        <v>Afternoon</v>
      </c>
      <c r="I328" s="8" t="str">
        <f t="shared" si="8"/>
        <v>Fri</v>
      </c>
      <c r="J328" s="8" t="str">
        <f t="shared" si="9"/>
        <v>Apr</v>
      </c>
      <c r="K328" s="8">
        <f t="shared" si="10"/>
        <v>5</v>
      </c>
      <c r="L328" s="8">
        <f t="shared" si="11"/>
        <v>4</v>
      </c>
    </row>
    <row r="329" spans="1:12" x14ac:dyDescent="0.3">
      <c r="A329" s="10">
        <v>45401</v>
      </c>
      <c r="B329" s="11">
        <v>45401.550936064814</v>
      </c>
      <c r="C329" s="12">
        <f t="shared" si="6"/>
        <v>13</v>
      </c>
      <c r="D329" s="12" t="s">
        <v>4</v>
      </c>
      <c r="E329" s="12" t="s">
        <v>60</v>
      </c>
      <c r="F329" s="13">
        <v>38.700000000000003</v>
      </c>
      <c r="G329" s="12" t="s">
        <v>49</v>
      </c>
      <c r="H329" s="12" t="str">
        <f t="shared" si="7"/>
        <v>Afternoon</v>
      </c>
      <c r="I329" s="12" t="str">
        <f t="shared" si="8"/>
        <v>Fri</v>
      </c>
      <c r="J329" s="12" t="str">
        <f t="shared" si="9"/>
        <v>Apr</v>
      </c>
      <c r="K329" s="12">
        <f t="shared" si="10"/>
        <v>5</v>
      </c>
      <c r="L329" s="12">
        <f t="shared" si="11"/>
        <v>4</v>
      </c>
    </row>
    <row r="330" spans="1:12" x14ac:dyDescent="0.3">
      <c r="A330" s="6">
        <v>45401</v>
      </c>
      <c r="B330" s="7">
        <v>45401.582570185186</v>
      </c>
      <c r="C330" s="8">
        <f t="shared" si="6"/>
        <v>13</v>
      </c>
      <c r="D330" s="8" t="s">
        <v>4</v>
      </c>
      <c r="E330" s="8" t="s">
        <v>144</v>
      </c>
      <c r="F330" s="9">
        <v>38.700000000000003</v>
      </c>
      <c r="G330" s="8" t="s">
        <v>15</v>
      </c>
      <c r="H330" s="8" t="str">
        <f t="shared" si="7"/>
        <v>Afternoon</v>
      </c>
      <c r="I330" s="8" t="str">
        <f t="shared" si="8"/>
        <v>Fri</v>
      </c>
      <c r="J330" s="8" t="str">
        <f t="shared" si="9"/>
        <v>Apr</v>
      </c>
      <c r="K330" s="8">
        <f t="shared" si="10"/>
        <v>5</v>
      </c>
      <c r="L330" s="8">
        <f t="shared" si="11"/>
        <v>4</v>
      </c>
    </row>
    <row r="331" spans="1:12" x14ac:dyDescent="0.3">
      <c r="A331" s="10">
        <v>45401</v>
      </c>
      <c r="B331" s="11">
        <v>45401.583214004633</v>
      </c>
      <c r="C331" s="12">
        <f t="shared" si="6"/>
        <v>13</v>
      </c>
      <c r="D331" s="12" t="s">
        <v>4</v>
      </c>
      <c r="E331" s="12" t="s">
        <v>144</v>
      </c>
      <c r="F331" s="13">
        <v>38.700000000000003</v>
      </c>
      <c r="G331" s="12" t="s">
        <v>49</v>
      </c>
      <c r="H331" s="12" t="str">
        <f t="shared" si="7"/>
        <v>Afternoon</v>
      </c>
      <c r="I331" s="12" t="str">
        <f t="shared" si="8"/>
        <v>Fri</v>
      </c>
      <c r="J331" s="12" t="str">
        <f t="shared" si="9"/>
        <v>Apr</v>
      </c>
      <c r="K331" s="12">
        <f t="shared" si="10"/>
        <v>5</v>
      </c>
      <c r="L331" s="12">
        <f t="shared" si="11"/>
        <v>4</v>
      </c>
    </row>
    <row r="332" spans="1:12" x14ac:dyDescent="0.3">
      <c r="A332" s="6">
        <v>45401</v>
      </c>
      <c r="B332" s="7">
        <v>45401.766195729164</v>
      </c>
      <c r="C332" s="8">
        <f t="shared" si="6"/>
        <v>18</v>
      </c>
      <c r="D332" s="8" t="s">
        <v>4</v>
      </c>
      <c r="E332" s="8" t="s">
        <v>43</v>
      </c>
      <c r="F332" s="9">
        <v>38.700000000000003</v>
      </c>
      <c r="G332" s="8" t="s">
        <v>24</v>
      </c>
      <c r="H332" s="8" t="str">
        <f t="shared" si="7"/>
        <v>Night</v>
      </c>
      <c r="I332" s="8" t="str">
        <f t="shared" si="8"/>
        <v>Fri</v>
      </c>
      <c r="J332" s="8" t="str">
        <f t="shared" si="9"/>
        <v>Apr</v>
      </c>
      <c r="K332" s="8">
        <f t="shared" si="10"/>
        <v>5</v>
      </c>
      <c r="L332" s="8">
        <f t="shared" si="11"/>
        <v>4</v>
      </c>
    </row>
    <row r="333" spans="1:12" x14ac:dyDescent="0.3">
      <c r="A333" s="10">
        <v>45401</v>
      </c>
      <c r="B333" s="11">
        <v>45401.767748148151</v>
      </c>
      <c r="C333" s="12">
        <f t="shared" si="6"/>
        <v>18</v>
      </c>
      <c r="D333" s="12" t="s">
        <v>4</v>
      </c>
      <c r="E333" s="12" t="s">
        <v>25</v>
      </c>
      <c r="F333" s="13">
        <v>33.799999999999997</v>
      </c>
      <c r="G333" s="12" t="s">
        <v>20</v>
      </c>
      <c r="H333" s="12" t="str">
        <f t="shared" si="7"/>
        <v>Night</v>
      </c>
      <c r="I333" s="12" t="str">
        <f t="shared" si="8"/>
        <v>Fri</v>
      </c>
      <c r="J333" s="12" t="str">
        <f t="shared" si="9"/>
        <v>Apr</v>
      </c>
      <c r="K333" s="12">
        <f t="shared" si="10"/>
        <v>5</v>
      </c>
      <c r="L333" s="12">
        <f t="shared" si="11"/>
        <v>4</v>
      </c>
    </row>
    <row r="334" spans="1:12" x14ac:dyDescent="0.3">
      <c r="A334" s="6">
        <v>45402</v>
      </c>
      <c r="B334" s="7">
        <v>45402.475493993057</v>
      </c>
      <c r="C334" s="8">
        <f t="shared" si="6"/>
        <v>11</v>
      </c>
      <c r="D334" s="8" t="s">
        <v>27</v>
      </c>
      <c r="E334" s="8"/>
      <c r="F334" s="9">
        <v>35</v>
      </c>
      <c r="G334" s="8" t="s">
        <v>20</v>
      </c>
      <c r="H334" s="8" t="str">
        <f t="shared" si="7"/>
        <v>Morning</v>
      </c>
      <c r="I334" s="8" t="str">
        <f t="shared" si="8"/>
        <v>Sat</v>
      </c>
      <c r="J334" s="8" t="str">
        <f t="shared" si="9"/>
        <v>Apr</v>
      </c>
      <c r="K334" s="8">
        <f t="shared" si="10"/>
        <v>6</v>
      </c>
      <c r="L334" s="8">
        <f t="shared" si="11"/>
        <v>4</v>
      </c>
    </row>
    <row r="335" spans="1:12" x14ac:dyDescent="0.3">
      <c r="A335" s="10">
        <v>45402</v>
      </c>
      <c r="B335" s="11">
        <v>45402.505968761572</v>
      </c>
      <c r="C335" s="12">
        <f t="shared" si="6"/>
        <v>12</v>
      </c>
      <c r="D335" s="12" t="s">
        <v>4</v>
      </c>
      <c r="E335" s="12" t="s">
        <v>145</v>
      </c>
      <c r="F335" s="13">
        <v>33.799999999999997</v>
      </c>
      <c r="G335" s="12" t="s">
        <v>20</v>
      </c>
      <c r="H335" s="12" t="str">
        <f t="shared" si="7"/>
        <v>Afternoon</v>
      </c>
      <c r="I335" s="12" t="str">
        <f t="shared" si="8"/>
        <v>Sat</v>
      </c>
      <c r="J335" s="12" t="str">
        <f t="shared" si="9"/>
        <v>Apr</v>
      </c>
      <c r="K335" s="12">
        <f t="shared" si="10"/>
        <v>6</v>
      </c>
      <c r="L335" s="12">
        <f t="shared" si="11"/>
        <v>4</v>
      </c>
    </row>
    <row r="336" spans="1:12" x14ac:dyDescent="0.3">
      <c r="A336" s="6">
        <v>45402</v>
      </c>
      <c r="B336" s="7">
        <v>45402.506743796293</v>
      </c>
      <c r="C336" s="8">
        <f t="shared" si="6"/>
        <v>12</v>
      </c>
      <c r="D336" s="8" t="s">
        <v>4</v>
      </c>
      <c r="E336" s="8" t="s">
        <v>145</v>
      </c>
      <c r="F336" s="9">
        <v>33.799999999999997</v>
      </c>
      <c r="G336" s="8" t="s">
        <v>20</v>
      </c>
      <c r="H336" s="8" t="str">
        <f t="shared" si="7"/>
        <v>Afternoon</v>
      </c>
      <c r="I336" s="8" t="str">
        <f t="shared" si="8"/>
        <v>Sat</v>
      </c>
      <c r="J336" s="8" t="str">
        <f t="shared" si="9"/>
        <v>Apr</v>
      </c>
      <c r="K336" s="8">
        <f t="shared" si="10"/>
        <v>6</v>
      </c>
      <c r="L336" s="8">
        <f t="shared" si="11"/>
        <v>4</v>
      </c>
    </row>
    <row r="337" spans="1:12" x14ac:dyDescent="0.3">
      <c r="A337" s="10">
        <v>45402</v>
      </c>
      <c r="B337" s="11">
        <v>45402.547654837967</v>
      </c>
      <c r="C337" s="12">
        <f t="shared" si="6"/>
        <v>13</v>
      </c>
      <c r="D337" s="12" t="s">
        <v>4</v>
      </c>
      <c r="E337" s="12" t="s">
        <v>138</v>
      </c>
      <c r="F337" s="13">
        <v>28.9</v>
      </c>
      <c r="G337" s="12" t="s">
        <v>17</v>
      </c>
      <c r="H337" s="12" t="str">
        <f t="shared" si="7"/>
        <v>Afternoon</v>
      </c>
      <c r="I337" s="12" t="str">
        <f t="shared" si="8"/>
        <v>Sat</v>
      </c>
      <c r="J337" s="12" t="str">
        <f t="shared" si="9"/>
        <v>Apr</v>
      </c>
      <c r="K337" s="12">
        <f t="shared" si="10"/>
        <v>6</v>
      </c>
      <c r="L337" s="12">
        <f t="shared" si="11"/>
        <v>4</v>
      </c>
    </row>
    <row r="338" spans="1:12" x14ac:dyDescent="0.3">
      <c r="A338" s="6">
        <v>45402</v>
      </c>
      <c r="B338" s="7">
        <v>45402.548471122682</v>
      </c>
      <c r="C338" s="8">
        <f t="shared" si="6"/>
        <v>13</v>
      </c>
      <c r="D338" s="8" t="s">
        <v>4</v>
      </c>
      <c r="E338" s="8" t="s">
        <v>138</v>
      </c>
      <c r="F338" s="9">
        <v>33.799999999999997</v>
      </c>
      <c r="G338" s="8" t="s">
        <v>20</v>
      </c>
      <c r="H338" s="8" t="str">
        <f t="shared" si="7"/>
        <v>Afternoon</v>
      </c>
      <c r="I338" s="8" t="str">
        <f t="shared" si="8"/>
        <v>Sat</v>
      </c>
      <c r="J338" s="8" t="str">
        <f t="shared" si="9"/>
        <v>Apr</v>
      </c>
      <c r="K338" s="8">
        <f t="shared" si="10"/>
        <v>6</v>
      </c>
      <c r="L338" s="8">
        <f t="shared" si="11"/>
        <v>4</v>
      </c>
    </row>
    <row r="339" spans="1:12" x14ac:dyDescent="0.3">
      <c r="A339" s="10">
        <v>45402</v>
      </c>
      <c r="B339" s="11">
        <v>45402.549249432872</v>
      </c>
      <c r="C339" s="12">
        <f t="shared" si="6"/>
        <v>13</v>
      </c>
      <c r="D339" s="12" t="s">
        <v>4</v>
      </c>
      <c r="E339" s="12" t="s">
        <v>138</v>
      </c>
      <c r="F339" s="13">
        <v>38.700000000000003</v>
      </c>
      <c r="G339" s="12" t="s">
        <v>15</v>
      </c>
      <c r="H339" s="12" t="str">
        <f t="shared" si="7"/>
        <v>Afternoon</v>
      </c>
      <c r="I339" s="12" t="str">
        <f t="shared" si="8"/>
        <v>Sat</v>
      </c>
      <c r="J339" s="12" t="str">
        <f t="shared" si="9"/>
        <v>Apr</v>
      </c>
      <c r="K339" s="12">
        <f t="shared" si="10"/>
        <v>6</v>
      </c>
      <c r="L339" s="12">
        <f t="shared" si="11"/>
        <v>4</v>
      </c>
    </row>
    <row r="340" spans="1:12" x14ac:dyDescent="0.3">
      <c r="A340" s="6">
        <v>45402</v>
      </c>
      <c r="B340" s="7">
        <v>45402.614098587961</v>
      </c>
      <c r="C340" s="8">
        <f t="shared" si="6"/>
        <v>14</v>
      </c>
      <c r="D340" s="8" t="s">
        <v>4</v>
      </c>
      <c r="E340" s="8" t="s">
        <v>60</v>
      </c>
      <c r="F340" s="9">
        <v>38.700000000000003</v>
      </c>
      <c r="G340" s="8" t="s">
        <v>49</v>
      </c>
      <c r="H340" s="8" t="str">
        <f t="shared" si="7"/>
        <v>Afternoon</v>
      </c>
      <c r="I340" s="8" t="str">
        <f t="shared" si="8"/>
        <v>Sat</v>
      </c>
      <c r="J340" s="8" t="str">
        <f t="shared" si="9"/>
        <v>Apr</v>
      </c>
      <c r="K340" s="8">
        <f t="shared" si="10"/>
        <v>6</v>
      </c>
      <c r="L340" s="8">
        <f t="shared" si="11"/>
        <v>4</v>
      </c>
    </row>
    <row r="341" spans="1:12" x14ac:dyDescent="0.3">
      <c r="A341" s="10">
        <v>45402</v>
      </c>
      <c r="B341" s="11">
        <v>45402.632642708333</v>
      </c>
      <c r="C341" s="12">
        <f t="shared" si="6"/>
        <v>15</v>
      </c>
      <c r="D341" s="12" t="s">
        <v>4</v>
      </c>
      <c r="E341" s="12" t="s">
        <v>25</v>
      </c>
      <c r="F341" s="13">
        <v>33.799999999999997</v>
      </c>
      <c r="G341" s="12" t="s">
        <v>20</v>
      </c>
      <c r="H341" s="12" t="str">
        <f t="shared" si="7"/>
        <v>Afternoon</v>
      </c>
      <c r="I341" s="12" t="str">
        <f t="shared" si="8"/>
        <v>Sat</v>
      </c>
      <c r="J341" s="12" t="str">
        <f t="shared" si="9"/>
        <v>Apr</v>
      </c>
      <c r="K341" s="12">
        <f t="shared" si="10"/>
        <v>6</v>
      </c>
      <c r="L341" s="12">
        <f t="shared" si="11"/>
        <v>4</v>
      </c>
    </row>
    <row r="342" spans="1:12" x14ac:dyDescent="0.3">
      <c r="A342" s="6">
        <v>45402</v>
      </c>
      <c r="B342" s="7">
        <v>45402.640749039354</v>
      </c>
      <c r="C342" s="8">
        <f t="shared" si="6"/>
        <v>15</v>
      </c>
      <c r="D342" s="8" t="s">
        <v>4</v>
      </c>
      <c r="E342" s="8" t="s">
        <v>29</v>
      </c>
      <c r="F342" s="9">
        <v>32.82</v>
      </c>
      <c r="G342" s="8" t="s">
        <v>20</v>
      </c>
      <c r="H342" s="8" t="str">
        <f t="shared" si="7"/>
        <v>Afternoon</v>
      </c>
      <c r="I342" s="8" t="str">
        <f t="shared" si="8"/>
        <v>Sat</v>
      </c>
      <c r="J342" s="8" t="str">
        <f t="shared" si="9"/>
        <v>Apr</v>
      </c>
      <c r="K342" s="8">
        <f t="shared" si="10"/>
        <v>6</v>
      </c>
      <c r="L342" s="8">
        <f t="shared" si="11"/>
        <v>4</v>
      </c>
    </row>
    <row r="343" spans="1:12" x14ac:dyDescent="0.3">
      <c r="A343" s="10">
        <v>45402</v>
      </c>
      <c r="B343" s="11">
        <v>45402.65931884259</v>
      </c>
      <c r="C343" s="12">
        <f t="shared" si="6"/>
        <v>15</v>
      </c>
      <c r="D343" s="12" t="s">
        <v>4</v>
      </c>
      <c r="E343" s="12" t="s">
        <v>146</v>
      </c>
      <c r="F343" s="13">
        <v>32.82</v>
      </c>
      <c r="G343" s="12" t="s">
        <v>20</v>
      </c>
      <c r="H343" s="12" t="str">
        <f t="shared" si="7"/>
        <v>Afternoon</v>
      </c>
      <c r="I343" s="12" t="str">
        <f t="shared" si="8"/>
        <v>Sat</v>
      </c>
      <c r="J343" s="12" t="str">
        <f t="shared" si="9"/>
        <v>Apr</v>
      </c>
      <c r="K343" s="12">
        <f t="shared" si="10"/>
        <v>6</v>
      </c>
      <c r="L343" s="12">
        <f t="shared" si="11"/>
        <v>4</v>
      </c>
    </row>
    <row r="344" spans="1:12" x14ac:dyDescent="0.3">
      <c r="A344" s="6">
        <v>45402</v>
      </c>
      <c r="B344" s="7">
        <v>45402.713865381942</v>
      </c>
      <c r="C344" s="8">
        <f t="shared" si="6"/>
        <v>17</v>
      </c>
      <c r="D344" s="8" t="s">
        <v>27</v>
      </c>
      <c r="E344" s="8"/>
      <c r="F344" s="9">
        <v>39</v>
      </c>
      <c r="G344" s="8" t="s">
        <v>24</v>
      </c>
      <c r="H344" s="8" t="str">
        <f t="shared" si="7"/>
        <v>Night</v>
      </c>
      <c r="I344" s="8" t="str">
        <f t="shared" si="8"/>
        <v>Sat</v>
      </c>
      <c r="J344" s="8" t="str">
        <f t="shared" si="9"/>
        <v>Apr</v>
      </c>
      <c r="K344" s="8">
        <f t="shared" si="10"/>
        <v>6</v>
      </c>
      <c r="L344" s="8">
        <f t="shared" si="11"/>
        <v>4</v>
      </c>
    </row>
    <row r="345" spans="1:12" x14ac:dyDescent="0.3">
      <c r="A345" s="10">
        <v>45402</v>
      </c>
      <c r="B345" s="11">
        <v>45402.76923027778</v>
      </c>
      <c r="C345" s="12">
        <f t="shared" si="6"/>
        <v>18</v>
      </c>
      <c r="D345" s="12" t="s">
        <v>4</v>
      </c>
      <c r="E345" s="12" t="s">
        <v>147</v>
      </c>
      <c r="F345" s="13">
        <v>37.72</v>
      </c>
      <c r="G345" s="12" t="s">
        <v>49</v>
      </c>
      <c r="H345" s="12" t="str">
        <f t="shared" si="7"/>
        <v>Night</v>
      </c>
      <c r="I345" s="12" t="str">
        <f t="shared" si="8"/>
        <v>Sat</v>
      </c>
      <c r="J345" s="12" t="str">
        <f t="shared" si="9"/>
        <v>Apr</v>
      </c>
      <c r="K345" s="12">
        <f t="shared" si="10"/>
        <v>6</v>
      </c>
      <c r="L345" s="12">
        <f t="shared" si="11"/>
        <v>4</v>
      </c>
    </row>
    <row r="346" spans="1:12" x14ac:dyDescent="0.3">
      <c r="A346" s="6">
        <v>45402</v>
      </c>
      <c r="B346" s="7">
        <v>45402.769987268519</v>
      </c>
      <c r="C346" s="8">
        <f t="shared" si="6"/>
        <v>18</v>
      </c>
      <c r="D346" s="8" t="s">
        <v>4</v>
      </c>
      <c r="E346" s="8" t="s">
        <v>147</v>
      </c>
      <c r="F346" s="9">
        <v>37.72</v>
      </c>
      <c r="G346" s="8" t="s">
        <v>49</v>
      </c>
      <c r="H346" s="8" t="str">
        <f t="shared" si="7"/>
        <v>Night</v>
      </c>
      <c r="I346" s="8" t="str">
        <f t="shared" si="8"/>
        <v>Sat</v>
      </c>
      <c r="J346" s="8" t="str">
        <f t="shared" si="9"/>
        <v>Apr</v>
      </c>
      <c r="K346" s="8">
        <f t="shared" si="10"/>
        <v>6</v>
      </c>
      <c r="L346" s="8">
        <f t="shared" si="11"/>
        <v>4</v>
      </c>
    </row>
    <row r="347" spans="1:12" x14ac:dyDescent="0.3">
      <c r="A347" s="10">
        <v>45402</v>
      </c>
      <c r="B347" s="11">
        <v>45402.813140243059</v>
      </c>
      <c r="C347" s="12">
        <f t="shared" si="6"/>
        <v>19</v>
      </c>
      <c r="D347" s="12" t="s">
        <v>4</v>
      </c>
      <c r="E347" s="12" t="s">
        <v>148</v>
      </c>
      <c r="F347" s="13">
        <v>37.72</v>
      </c>
      <c r="G347" s="12" t="s">
        <v>13</v>
      </c>
      <c r="H347" s="12" t="str">
        <f t="shared" si="7"/>
        <v>Night</v>
      </c>
      <c r="I347" s="12" t="str">
        <f t="shared" si="8"/>
        <v>Sat</v>
      </c>
      <c r="J347" s="12" t="str">
        <f t="shared" si="9"/>
        <v>Apr</v>
      </c>
      <c r="K347" s="12">
        <f t="shared" si="10"/>
        <v>6</v>
      </c>
      <c r="L347" s="12">
        <f t="shared" si="11"/>
        <v>4</v>
      </c>
    </row>
    <row r="348" spans="1:12" x14ac:dyDescent="0.3">
      <c r="A348" s="6">
        <v>45403</v>
      </c>
      <c r="B348" s="7">
        <v>45403.469973460647</v>
      </c>
      <c r="C348" s="8">
        <f t="shared" si="6"/>
        <v>11</v>
      </c>
      <c r="D348" s="8" t="s">
        <v>4</v>
      </c>
      <c r="E348" s="8" t="s">
        <v>12</v>
      </c>
      <c r="F348" s="9">
        <v>37.72</v>
      </c>
      <c r="G348" s="8" t="s">
        <v>13</v>
      </c>
      <c r="H348" s="8" t="str">
        <f t="shared" si="7"/>
        <v>Morning</v>
      </c>
      <c r="I348" s="8" t="str">
        <f t="shared" si="8"/>
        <v>Sun</v>
      </c>
      <c r="J348" s="8" t="str">
        <f t="shared" si="9"/>
        <v>Apr</v>
      </c>
      <c r="K348" s="8">
        <f t="shared" si="10"/>
        <v>7</v>
      </c>
      <c r="L348" s="8">
        <f t="shared" si="11"/>
        <v>4</v>
      </c>
    </row>
    <row r="349" spans="1:12" x14ac:dyDescent="0.3">
      <c r="A349" s="10">
        <v>45403</v>
      </c>
      <c r="B349" s="11">
        <v>45403.594184502312</v>
      </c>
      <c r="C349" s="12">
        <f t="shared" si="6"/>
        <v>14</v>
      </c>
      <c r="D349" s="12" t="s">
        <v>4</v>
      </c>
      <c r="E349" s="12" t="s">
        <v>119</v>
      </c>
      <c r="F349" s="13">
        <v>27.92</v>
      </c>
      <c r="G349" s="12" t="s">
        <v>17</v>
      </c>
      <c r="H349" s="12" t="str">
        <f t="shared" si="7"/>
        <v>Afternoon</v>
      </c>
      <c r="I349" s="12" t="str">
        <f t="shared" si="8"/>
        <v>Sun</v>
      </c>
      <c r="J349" s="12" t="str">
        <f t="shared" si="9"/>
        <v>Apr</v>
      </c>
      <c r="K349" s="12">
        <f t="shared" si="10"/>
        <v>7</v>
      </c>
      <c r="L349" s="12">
        <f t="shared" si="11"/>
        <v>4</v>
      </c>
    </row>
    <row r="350" spans="1:12" x14ac:dyDescent="0.3">
      <c r="A350" s="6">
        <v>45403</v>
      </c>
      <c r="B350" s="7">
        <v>45403.714620358798</v>
      </c>
      <c r="C350" s="8">
        <f t="shared" si="6"/>
        <v>17</v>
      </c>
      <c r="D350" s="8" t="s">
        <v>27</v>
      </c>
      <c r="E350" s="8"/>
      <c r="F350" s="9">
        <v>39</v>
      </c>
      <c r="G350" s="8" t="s">
        <v>49</v>
      </c>
      <c r="H350" s="8" t="str">
        <f t="shared" si="7"/>
        <v>Night</v>
      </c>
      <c r="I350" s="8" t="str">
        <f t="shared" si="8"/>
        <v>Sun</v>
      </c>
      <c r="J350" s="8" t="str">
        <f t="shared" si="9"/>
        <v>Apr</v>
      </c>
      <c r="K350" s="8">
        <f t="shared" si="10"/>
        <v>7</v>
      </c>
      <c r="L350" s="8">
        <f t="shared" si="11"/>
        <v>4</v>
      </c>
    </row>
    <row r="351" spans="1:12" x14ac:dyDescent="0.3">
      <c r="A351" s="10">
        <v>45404</v>
      </c>
      <c r="B351" s="11">
        <v>45404.464773287036</v>
      </c>
      <c r="C351" s="12">
        <f t="shared" si="6"/>
        <v>11</v>
      </c>
      <c r="D351" s="12" t="s">
        <v>4</v>
      </c>
      <c r="E351" s="12" t="s">
        <v>29</v>
      </c>
      <c r="F351" s="13">
        <v>27.92</v>
      </c>
      <c r="G351" s="12" t="s">
        <v>17</v>
      </c>
      <c r="H351" s="12" t="str">
        <f t="shared" si="7"/>
        <v>Morning</v>
      </c>
      <c r="I351" s="12" t="str">
        <f t="shared" si="8"/>
        <v>Mon</v>
      </c>
      <c r="J351" s="12" t="str">
        <f t="shared" si="9"/>
        <v>Apr</v>
      </c>
      <c r="K351" s="12">
        <f t="shared" si="10"/>
        <v>1</v>
      </c>
      <c r="L351" s="12">
        <f t="shared" si="11"/>
        <v>4</v>
      </c>
    </row>
    <row r="352" spans="1:12" x14ac:dyDescent="0.3">
      <c r="A352" s="6">
        <v>45404</v>
      </c>
      <c r="B352" s="7">
        <v>45404.478785868057</v>
      </c>
      <c r="C352" s="8">
        <f t="shared" si="6"/>
        <v>11</v>
      </c>
      <c r="D352" s="8" t="s">
        <v>4</v>
      </c>
      <c r="E352" s="8" t="s">
        <v>149</v>
      </c>
      <c r="F352" s="9">
        <v>32.82</v>
      </c>
      <c r="G352" s="8" t="s">
        <v>20</v>
      </c>
      <c r="H352" s="8" t="str">
        <f t="shared" si="7"/>
        <v>Morning</v>
      </c>
      <c r="I352" s="8" t="str">
        <f t="shared" si="8"/>
        <v>Mon</v>
      </c>
      <c r="J352" s="8" t="str">
        <f t="shared" si="9"/>
        <v>Apr</v>
      </c>
      <c r="K352" s="8">
        <f t="shared" si="10"/>
        <v>1</v>
      </c>
      <c r="L352" s="8">
        <f t="shared" si="11"/>
        <v>4</v>
      </c>
    </row>
    <row r="353" spans="1:12" x14ac:dyDescent="0.3">
      <c r="A353" s="10">
        <v>45404</v>
      </c>
      <c r="B353" s="11">
        <v>45404.778160000002</v>
      </c>
      <c r="C353" s="12">
        <f t="shared" si="6"/>
        <v>18</v>
      </c>
      <c r="D353" s="12" t="s">
        <v>27</v>
      </c>
      <c r="E353" s="12"/>
      <c r="F353" s="13">
        <v>39</v>
      </c>
      <c r="G353" s="12" t="s">
        <v>13</v>
      </c>
      <c r="H353" s="12" t="str">
        <f t="shared" si="7"/>
        <v>Night</v>
      </c>
      <c r="I353" s="12" t="str">
        <f t="shared" si="8"/>
        <v>Mon</v>
      </c>
      <c r="J353" s="12" t="str">
        <f t="shared" si="9"/>
        <v>Apr</v>
      </c>
      <c r="K353" s="12">
        <f t="shared" si="10"/>
        <v>1</v>
      </c>
      <c r="L353" s="12">
        <f t="shared" si="11"/>
        <v>4</v>
      </c>
    </row>
    <row r="354" spans="1:12" x14ac:dyDescent="0.3">
      <c r="A354" s="6">
        <v>45404</v>
      </c>
      <c r="B354" s="7">
        <v>45404.81880508102</v>
      </c>
      <c r="C354" s="8">
        <f t="shared" si="6"/>
        <v>19</v>
      </c>
      <c r="D354" s="8" t="s">
        <v>4</v>
      </c>
      <c r="E354" s="8" t="s">
        <v>25</v>
      </c>
      <c r="F354" s="9">
        <v>37.72</v>
      </c>
      <c r="G354" s="8" t="s">
        <v>13</v>
      </c>
      <c r="H354" s="8" t="str">
        <f t="shared" si="7"/>
        <v>Night</v>
      </c>
      <c r="I354" s="8" t="str">
        <f t="shared" si="8"/>
        <v>Mon</v>
      </c>
      <c r="J354" s="8" t="str">
        <f t="shared" si="9"/>
        <v>Apr</v>
      </c>
      <c r="K354" s="8">
        <f t="shared" si="10"/>
        <v>1</v>
      </c>
      <c r="L354" s="8">
        <f t="shared" si="11"/>
        <v>4</v>
      </c>
    </row>
    <row r="355" spans="1:12" x14ac:dyDescent="0.3">
      <c r="A355" s="10">
        <v>45404</v>
      </c>
      <c r="B355" s="11">
        <v>45404.835059780089</v>
      </c>
      <c r="C355" s="12">
        <f t="shared" si="6"/>
        <v>20</v>
      </c>
      <c r="D355" s="12" t="s">
        <v>27</v>
      </c>
      <c r="E355" s="12"/>
      <c r="F355" s="13">
        <v>39</v>
      </c>
      <c r="G355" s="12" t="s">
        <v>49</v>
      </c>
      <c r="H355" s="12" t="str">
        <f t="shared" si="7"/>
        <v>Night</v>
      </c>
      <c r="I355" s="12" t="str">
        <f t="shared" si="8"/>
        <v>Mon</v>
      </c>
      <c r="J355" s="12" t="str">
        <f t="shared" si="9"/>
        <v>Apr</v>
      </c>
      <c r="K355" s="12">
        <f t="shared" si="10"/>
        <v>1</v>
      </c>
      <c r="L355" s="12">
        <f t="shared" si="11"/>
        <v>4</v>
      </c>
    </row>
    <row r="356" spans="1:12" x14ac:dyDescent="0.3">
      <c r="A356" s="6">
        <v>45405</v>
      </c>
      <c r="B356" s="7">
        <v>45405.599027719909</v>
      </c>
      <c r="C356" s="8">
        <f t="shared" si="6"/>
        <v>14</v>
      </c>
      <c r="D356" s="8" t="s">
        <v>4</v>
      </c>
      <c r="E356" s="8" t="s">
        <v>44</v>
      </c>
      <c r="F356" s="9">
        <v>37.72</v>
      </c>
      <c r="G356" s="8" t="s">
        <v>49</v>
      </c>
      <c r="H356" s="8" t="str">
        <f t="shared" si="7"/>
        <v>Afternoon</v>
      </c>
      <c r="I356" s="8" t="str">
        <f t="shared" si="8"/>
        <v>Tue</v>
      </c>
      <c r="J356" s="8" t="str">
        <f t="shared" si="9"/>
        <v>Apr</v>
      </c>
      <c r="K356" s="8">
        <f t="shared" si="10"/>
        <v>2</v>
      </c>
      <c r="L356" s="8">
        <f t="shared" si="11"/>
        <v>4</v>
      </c>
    </row>
    <row r="357" spans="1:12" x14ac:dyDescent="0.3">
      <c r="A357" s="10">
        <v>45405</v>
      </c>
      <c r="B357" s="11">
        <v>45405.59992064815</v>
      </c>
      <c r="C357" s="12">
        <f t="shared" si="6"/>
        <v>14</v>
      </c>
      <c r="D357" s="12" t="s">
        <v>4</v>
      </c>
      <c r="E357" s="12" t="s">
        <v>43</v>
      </c>
      <c r="F357" s="13">
        <v>32.82</v>
      </c>
      <c r="G357" s="12" t="s">
        <v>20</v>
      </c>
      <c r="H357" s="12" t="str">
        <f t="shared" si="7"/>
        <v>Afternoon</v>
      </c>
      <c r="I357" s="12" t="str">
        <f t="shared" si="8"/>
        <v>Tue</v>
      </c>
      <c r="J357" s="12" t="str">
        <f t="shared" si="9"/>
        <v>Apr</v>
      </c>
      <c r="K357" s="12">
        <f t="shared" si="10"/>
        <v>2</v>
      </c>
      <c r="L357" s="12">
        <f t="shared" si="11"/>
        <v>4</v>
      </c>
    </row>
    <row r="358" spans="1:12" x14ac:dyDescent="0.3">
      <c r="A358" s="6">
        <v>45405</v>
      </c>
      <c r="B358" s="7">
        <v>45405.600665682869</v>
      </c>
      <c r="C358" s="8">
        <f t="shared" si="6"/>
        <v>14</v>
      </c>
      <c r="D358" s="8" t="s">
        <v>4</v>
      </c>
      <c r="E358" s="8" t="s">
        <v>25</v>
      </c>
      <c r="F358" s="9">
        <v>37.72</v>
      </c>
      <c r="G358" s="8" t="s">
        <v>49</v>
      </c>
      <c r="H358" s="8" t="str">
        <f t="shared" si="7"/>
        <v>Afternoon</v>
      </c>
      <c r="I358" s="8" t="str">
        <f t="shared" si="8"/>
        <v>Tue</v>
      </c>
      <c r="J358" s="8" t="str">
        <f t="shared" si="9"/>
        <v>Apr</v>
      </c>
      <c r="K358" s="8">
        <f t="shared" si="10"/>
        <v>2</v>
      </c>
      <c r="L358" s="8">
        <f t="shared" si="11"/>
        <v>4</v>
      </c>
    </row>
    <row r="359" spans="1:12" x14ac:dyDescent="0.3">
      <c r="A359" s="10">
        <v>45405</v>
      </c>
      <c r="B359" s="11">
        <v>45405.821154687503</v>
      </c>
      <c r="C359" s="12">
        <f t="shared" si="6"/>
        <v>19</v>
      </c>
      <c r="D359" s="12" t="s">
        <v>4</v>
      </c>
      <c r="E359" s="12" t="s">
        <v>150</v>
      </c>
      <c r="F359" s="13">
        <v>32.82</v>
      </c>
      <c r="G359" s="12" t="s">
        <v>20</v>
      </c>
      <c r="H359" s="12" t="str">
        <f t="shared" si="7"/>
        <v>Night</v>
      </c>
      <c r="I359" s="12" t="str">
        <f t="shared" si="8"/>
        <v>Tue</v>
      </c>
      <c r="J359" s="12" t="str">
        <f t="shared" si="9"/>
        <v>Apr</v>
      </c>
      <c r="K359" s="12">
        <f t="shared" si="10"/>
        <v>2</v>
      </c>
      <c r="L359" s="12">
        <f t="shared" si="11"/>
        <v>4</v>
      </c>
    </row>
    <row r="360" spans="1:12" x14ac:dyDescent="0.3">
      <c r="A360" s="6">
        <v>45405</v>
      </c>
      <c r="B360" s="7">
        <v>45405.821831412039</v>
      </c>
      <c r="C360" s="8">
        <f t="shared" si="6"/>
        <v>19</v>
      </c>
      <c r="D360" s="8" t="s">
        <v>4</v>
      </c>
      <c r="E360" s="8" t="s">
        <v>150</v>
      </c>
      <c r="F360" s="9">
        <v>32.82</v>
      </c>
      <c r="G360" s="8" t="s">
        <v>20</v>
      </c>
      <c r="H360" s="8" t="str">
        <f t="shared" si="7"/>
        <v>Night</v>
      </c>
      <c r="I360" s="8" t="str">
        <f t="shared" si="8"/>
        <v>Tue</v>
      </c>
      <c r="J360" s="8" t="str">
        <f t="shared" si="9"/>
        <v>Apr</v>
      </c>
      <c r="K360" s="8">
        <f t="shared" si="10"/>
        <v>2</v>
      </c>
      <c r="L360" s="8">
        <f t="shared" si="11"/>
        <v>4</v>
      </c>
    </row>
    <row r="361" spans="1:12" x14ac:dyDescent="0.3">
      <c r="A361" s="10">
        <v>45406</v>
      </c>
      <c r="B361" s="11">
        <v>45406.430304930553</v>
      </c>
      <c r="C361" s="12">
        <f t="shared" si="6"/>
        <v>10</v>
      </c>
      <c r="D361" s="12" t="s">
        <v>4</v>
      </c>
      <c r="E361" s="12" t="s">
        <v>12</v>
      </c>
      <c r="F361" s="13">
        <v>37.72</v>
      </c>
      <c r="G361" s="12" t="s">
        <v>13</v>
      </c>
      <c r="H361" s="12" t="str">
        <f t="shared" si="7"/>
        <v>Morning</v>
      </c>
      <c r="I361" s="12" t="str">
        <f t="shared" si="8"/>
        <v>Wed</v>
      </c>
      <c r="J361" s="12" t="str">
        <f t="shared" si="9"/>
        <v>Apr</v>
      </c>
      <c r="K361" s="12">
        <f t="shared" si="10"/>
        <v>3</v>
      </c>
      <c r="L361" s="12">
        <f t="shared" si="11"/>
        <v>4</v>
      </c>
    </row>
    <row r="362" spans="1:12" x14ac:dyDescent="0.3">
      <c r="A362" s="6">
        <v>45406</v>
      </c>
      <c r="B362" s="7">
        <v>45406.43156582176</v>
      </c>
      <c r="C362" s="8">
        <f t="shared" si="6"/>
        <v>10</v>
      </c>
      <c r="D362" s="8" t="s">
        <v>4</v>
      </c>
      <c r="E362" s="8" t="s">
        <v>151</v>
      </c>
      <c r="F362" s="9">
        <v>32.82</v>
      </c>
      <c r="G362" s="8" t="s">
        <v>20</v>
      </c>
      <c r="H362" s="8" t="str">
        <f t="shared" si="7"/>
        <v>Morning</v>
      </c>
      <c r="I362" s="8" t="str">
        <f t="shared" si="8"/>
        <v>Wed</v>
      </c>
      <c r="J362" s="8" t="str">
        <f t="shared" si="9"/>
        <v>Apr</v>
      </c>
      <c r="K362" s="8">
        <f t="shared" si="10"/>
        <v>3</v>
      </c>
      <c r="L362" s="8">
        <f t="shared" si="11"/>
        <v>4</v>
      </c>
    </row>
    <row r="363" spans="1:12" x14ac:dyDescent="0.3">
      <c r="A363" s="10">
        <v>45406</v>
      </c>
      <c r="B363" s="11">
        <v>45406.474839143521</v>
      </c>
      <c r="C363" s="12">
        <f t="shared" si="6"/>
        <v>11</v>
      </c>
      <c r="D363" s="12" t="s">
        <v>4</v>
      </c>
      <c r="E363" s="12" t="s">
        <v>152</v>
      </c>
      <c r="F363" s="13">
        <v>32.82</v>
      </c>
      <c r="G363" s="12" t="s">
        <v>20</v>
      </c>
      <c r="H363" s="12" t="str">
        <f t="shared" si="7"/>
        <v>Morning</v>
      </c>
      <c r="I363" s="12" t="str">
        <f t="shared" si="8"/>
        <v>Wed</v>
      </c>
      <c r="J363" s="12" t="str">
        <f t="shared" si="9"/>
        <v>Apr</v>
      </c>
      <c r="K363" s="12">
        <f t="shared" si="10"/>
        <v>3</v>
      </c>
      <c r="L363" s="12">
        <f t="shared" si="11"/>
        <v>4</v>
      </c>
    </row>
    <row r="364" spans="1:12" x14ac:dyDescent="0.3">
      <c r="A364" s="6">
        <v>45406</v>
      </c>
      <c r="B364" s="7">
        <v>45406.481554942133</v>
      </c>
      <c r="C364" s="8">
        <f t="shared" si="6"/>
        <v>11</v>
      </c>
      <c r="D364" s="8" t="s">
        <v>4</v>
      </c>
      <c r="E364" s="8" t="s">
        <v>153</v>
      </c>
      <c r="F364" s="9">
        <v>32.82</v>
      </c>
      <c r="G364" s="8" t="s">
        <v>20</v>
      </c>
      <c r="H364" s="8" t="str">
        <f t="shared" si="7"/>
        <v>Morning</v>
      </c>
      <c r="I364" s="8" t="str">
        <f t="shared" si="8"/>
        <v>Wed</v>
      </c>
      <c r="J364" s="8" t="str">
        <f t="shared" si="9"/>
        <v>Apr</v>
      </c>
      <c r="K364" s="8">
        <f t="shared" si="10"/>
        <v>3</v>
      </c>
      <c r="L364" s="8">
        <f t="shared" si="11"/>
        <v>4</v>
      </c>
    </row>
    <row r="365" spans="1:12" x14ac:dyDescent="0.3">
      <c r="A365" s="10">
        <v>45406</v>
      </c>
      <c r="B365" s="11">
        <v>45406.527190949077</v>
      </c>
      <c r="C365" s="12">
        <f t="shared" si="6"/>
        <v>12</v>
      </c>
      <c r="D365" s="12" t="s">
        <v>4</v>
      </c>
      <c r="E365" s="12" t="s">
        <v>79</v>
      </c>
      <c r="F365" s="13">
        <v>32.82</v>
      </c>
      <c r="G365" s="12" t="s">
        <v>20</v>
      </c>
      <c r="H365" s="12" t="str">
        <f t="shared" si="7"/>
        <v>Afternoon</v>
      </c>
      <c r="I365" s="12" t="str">
        <f t="shared" si="8"/>
        <v>Wed</v>
      </c>
      <c r="J365" s="12" t="str">
        <f t="shared" si="9"/>
        <v>Apr</v>
      </c>
      <c r="K365" s="12">
        <f t="shared" si="10"/>
        <v>3</v>
      </c>
      <c r="L365" s="12">
        <f t="shared" si="11"/>
        <v>4</v>
      </c>
    </row>
    <row r="366" spans="1:12" x14ac:dyDescent="0.3">
      <c r="A366" s="6">
        <v>45406</v>
      </c>
      <c r="B366" s="7">
        <v>45406.693835914353</v>
      </c>
      <c r="C366" s="8">
        <f t="shared" si="6"/>
        <v>16</v>
      </c>
      <c r="D366" s="8" t="s">
        <v>4</v>
      </c>
      <c r="E366" s="8" t="s">
        <v>25</v>
      </c>
      <c r="F366" s="9">
        <v>32.82</v>
      </c>
      <c r="G366" s="8" t="s">
        <v>20</v>
      </c>
      <c r="H366" s="8" t="str">
        <f t="shared" si="7"/>
        <v>Afternoon</v>
      </c>
      <c r="I366" s="8" t="str">
        <f t="shared" si="8"/>
        <v>Wed</v>
      </c>
      <c r="J366" s="8" t="str">
        <f t="shared" si="9"/>
        <v>Apr</v>
      </c>
      <c r="K366" s="8">
        <f t="shared" si="10"/>
        <v>3</v>
      </c>
      <c r="L366" s="8">
        <f t="shared" si="11"/>
        <v>4</v>
      </c>
    </row>
    <row r="367" spans="1:12" x14ac:dyDescent="0.3">
      <c r="A367" s="10">
        <v>45406</v>
      </c>
      <c r="B367" s="11">
        <v>45406.819328506943</v>
      </c>
      <c r="C367" s="12">
        <f t="shared" si="6"/>
        <v>19</v>
      </c>
      <c r="D367" s="12" t="s">
        <v>4</v>
      </c>
      <c r="E367" s="12" t="s">
        <v>154</v>
      </c>
      <c r="F367" s="13">
        <v>32.82</v>
      </c>
      <c r="G367" s="12" t="s">
        <v>20</v>
      </c>
      <c r="H367" s="12" t="str">
        <f t="shared" si="7"/>
        <v>Night</v>
      </c>
      <c r="I367" s="12" t="str">
        <f t="shared" si="8"/>
        <v>Wed</v>
      </c>
      <c r="J367" s="12" t="str">
        <f t="shared" si="9"/>
        <v>Apr</v>
      </c>
      <c r="K367" s="12">
        <f t="shared" si="10"/>
        <v>3</v>
      </c>
      <c r="L367" s="12">
        <f t="shared" si="11"/>
        <v>4</v>
      </c>
    </row>
    <row r="368" spans="1:12" x14ac:dyDescent="0.3">
      <c r="A368" s="6">
        <v>45406</v>
      </c>
      <c r="B368" s="7">
        <v>45406.820069803238</v>
      </c>
      <c r="C368" s="8">
        <f t="shared" si="6"/>
        <v>19</v>
      </c>
      <c r="D368" s="8" t="s">
        <v>4</v>
      </c>
      <c r="E368" s="8" t="s">
        <v>154</v>
      </c>
      <c r="F368" s="9">
        <v>37.72</v>
      </c>
      <c r="G368" s="8" t="s">
        <v>49</v>
      </c>
      <c r="H368" s="8" t="str">
        <f t="shared" si="7"/>
        <v>Night</v>
      </c>
      <c r="I368" s="8" t="str">
        <f t="shared" si="8"/>
        <v>Wed</v>
      </c>
      <c r="J368" s="8" t="str">
        <f t="shared" si="9"/>
        <v>Apr</v>
      </c>
      <c r="K368" s="8">
        <f t="shared" si="10"/>
        <v>3</v>
      </c>
      <c r="L368" s="8">
        <f t="shared" si="11"/>
        <v>4</v>
      </c>
    </row>
    <row r="369" spans="1:12" x14ac:dyDescent="0.3">
      <c r="A369" s="10">
        <v>45407</v>
      </c>
      <c r="B369" s="11">
        <v>45407.448704363429</v>
      </c>
      <c r="C369" s="12">
        <f t="shared" si="6"/>
        <v>10</v>
      </c>
      <c r="D369" s="12" t="s">
        <v>4</v>
      </c>
      <c r="E369" s="12" t="s">
        <v>155</v>
      </c>
      <c r="F369" s="13">
        <v>27.92</v>
      </c>
      <c r="G369" s="12" t="s">
        <v>17</v>
      </c>
      <c r="H369" s="12" t="str">
        <f t="shared" si="7"/>
        <v>Morning</v>
      </c>
      <c r="I369" s="12" t="str">
        <f t="shared" si="8"/>
        <v>Thu</v>
      </c>
      <c r="J369" s="12" t="str">
        <f t="shared" si="9"/>
        <v>Apr</v>
      </c>
      <c r="K369" s="12">
        <f t="shared" si="10"/>
        <v>4</v>
      </c>
      <c r="L369" s="12">
        <f t="shared" si="11"/>
        <v>4</v>
      </c>
    </row>
    <row r="370" spans="1:12" x14ac:dyDescent="0.3">
      <c r="A370" s="6">
        <v>45407</v>
      </c>
      <c r="B370" s="7">
        <v>45407.63781216435</v>
      </c>
      <c r="C370" s="8">
        <f t="shared" si="6"/>
        <v>15</v>
      </c>
      <c r="D370" s="8" t="s">
        <v>4</v>
      </c>
      <c r="E370" s="8" t="s">
        <v>25</v>
      </c>
      <c r="F370" s="9">
        <v>37.72</v>
      </c>
      <c r="G370" s="8" t="s">
        <v>13</v>
      </c>
      <c r="H370" s="8" t="str">
        <f t="shared" si="7"/>
        <v>Afternoon</v>
      </c>
      <c r="I370" s="8" t="str">
        <f t="shared" si="8"/>
        <v>Thu</v>
      </c>
      <c r="J370" s="8" t="str">
        <f t="shared" si="9"/>
        <v>Apr</v>
      </c>
      <c r="K370" s="8">
        <f t="shared" si="10"/>
        <v>4</v>
      </c>
      <c r="L370" s="8">
        <f t="shared" si="11"/>
        <v>4</v>
      </c>
    </row>
    <row r="371" spans="1:12" x14ac:dyDescent="0.3">
      <c r="A371" s="10">
        <v>45407</v>
      </c>
      <c r="B371" s="11">
        <v>45407.715087199074</v>
      </c>
      <c r="C371" s="12">
        <f t="shared" si="6"/>
        <v>17</v>
      </c>
      <c r="D371" s="12" t="s">
        <v>4</v>
      </c>
      <c r="E371" s="12" t="s">
        <v>29</v>
      </c>
      <c r="F371" s="13">
        <v>27.92</v>
      </c>
      <c r="G371" s="12" t="s">
        <v>17</v>
      </c>
      <c r="H371" s="12" t="str">
        <f t="shared" si="7"/>
        <v>Night</v>
      </c>
      <c r="I371" s="12" t="str">
        <f t="shared" si="8"/>
        <v>Thu</v>
      </c>
      <c r="J371" s="12" t="str">
        <f t="shared" si="9"/>
        <v>Apr</v>
      </c>
      <c r="K371" s="12">
        <f t="shared" si="10"/>
        <v>4</v>
      </c>
      <c r="L371" s="12">
        <f t="shared" si="11"/>
        <v>4</v>
      </c>
    </row>
    <row r="372" spans="1:12" x14ac:dyDescent="0.3">
      <c r="A372" s="6">
        <v>45407</v>
      </c>
      <c r="B372" s="7">
        <v>45407.715846678242</v>
      </c>
      <c r="C372" s="8">
        <f t="shared" si="6"/>
        <v>17</v>
      </c>
      <c r="D372" s="8" t="s">
        <v>4</v>
      </c>
      <c r="E372" s="8" t="s">
        <v>29</v>
      </c>
      <c r="F372" s="9">
        <v>27.92</v>
      </c>
      <c r="G372" s="8" t="s">
        <v>17</v>
      </c>
      <c r="H372" s="8" t="str">
        <f t="shared" si="7"/>
        <v>Night</v>
      </c>
      <c r="I372" s="8" t="str">
        <f t="shared" si="8"/>
        <v>Thu</v>
      </c>
      <c r="J372" s="8" t="str">
        <f t="shared" si="9"/>
        <v>Apr</v>
      </c>
      <c r="K372" s="8">
        <f t="shared" si="10"/>
        <v>4</v>
      </c>
      <c r="L372" s="8">
        <f t="shared" si="11"/>
        <v>4</v>
      </c>
    </row>
    <row r="373" spans="1:12" x14ac:dyDescent="0.3">
      <c r="A373" s="10">
        <v>45408</v>
      </c>
      <c r="B373" s="11">
        <v>45408.425585856479</v>
      </c>
      <c r="C373" s="12">
        <f t="shared" si="6"/>
        <v>10</v>
      </c>
      <c r="D373" s="12" t="s">
        <v>4</v>
      </c>
      <c r="E373" s="12" t="s">
        <v>12</v>
      </c>
      <c r="F373" s="13">
        <v>37.72</v>
      </c>
      <c r="G373" s="12" t="s">
        <v>13</v>
      </c>
      <c r="H373" s="12" t="str">
        <f t="shared" si="7"/>
        <v>Morning</v>
      </c>
      <c r="I373" s="12" t="str">
        <f t="shared" si="8"/>
        <v>Fri</v>
      </c>
      <c r="J373" s="12" t="str">
        <f t="shared" si="9"/>
        <v>Apr</v>
      </c>
      <c r="K373" s="12">
        <f t="shared" si="10"/>
        <v>5</v>
      </c>
      <c r="L373" s="12">
        <f t="shared" si="11"/>
        <v>4</v>
      </c>
    </row>
    <row r="374" spans="1:12" x14ac:dyDescent="0.3">
      <c r="A374" s="6">
        <v>45408</v>
      </c>
      <c r="B374" s="7">
        <v>45408.501048379629</v>
      </c>
      <c r="C374" s="8">
        <f t="shared" si="6"/>
        <v>12</v>
      </c>
      <c r="D374" s="8" t="s">
        <v>4</v>
      </c>
      <c r="E374" s="8" t="s">
        <v>156</v>
      </c>
      <c r="F374" s="9">
        <v>37.72</v>
      </c>
      <c r="G374" s="8" t="s">
        <v>13</v>
      </c>
      <c r="H374" s="8" t="str">
        <f t="shared" si="7"/>
        <v>Afternoon</v>
      </c>
      <c r="I374" s="8" t="str">
        <f t="shared" si="8"/>
        <v>Fri</v>
      </c>
      <c r="J374" s="8" t="str">
        <f t="shared" si="9"/>
        <v>Apr</v>
      </c>
      <c r="K374" s="8">
        <f t="shared" si="10"/>
        <v>5</v>
      </c>
      <c r="L374" s="8">
        <f t="shared" si="11"/>
        <v>4</v>
      </c>
    </row>
    <row r="375" spans="1:12" x14ac:dyDescent="0.3">
      <c r="A375" s="10">
        <v>45408</v>
      </c>
      <c r="B375" s="11">
        <v>45408.563521956021</v>
      </c>
      <c r="C375" s="12">
        <f t="shared" si="6"/>
        <v>13</v>
      </c>
      <c r="D375" s="12" t="s">
        <v>4</v>
      </c>
      <c r="E375" s="12" t="s">
        <v>157</v>
      </c>
      <c r="F375" s="13">
        <v>37.72</v>
      </c>
      <c r="G375" s="12" t="s">
        <v>49</v>
      </c>
      <c r="H375" s="12" t="str">
        <f t="shared" si="7"/>
        <v>Afternoon</v>
      </c>
      <c r="I375" s="12" t="str">
        <f t="shared" si="8"/>
        <v>Fri</v>
      </c>
      <c r="J375" s="12" t="str">
        <f t="shared" si="9"/>
        <v>Apr</v>
      </c>
      <c r="K375" s="12">
        <f t="shared" si="10"/>
        <v>5</v>
      </c>
      <c r="L375" s="12">
        <f t="shared" si="11"/>
        <v>4</v>
      </c>
    </row>
    <row r="376" spans="1:12" x14ac:dyDescent="0.3">
      <c r="A376" s="6">
        <v>45408</v>
      </c>
      <c r="B376" s="7">
        <v>45408.647631828702</v>
      </c>
      <c r="C376" s="8">
        <f t="shared" si="6"/>
        <v>15</v>
      </c>
      <c r="D376" s="8" t="s">
        <v>4</v>
      </c>
      <c r="E376" s="8" t="s">
        <v>29</v>
      </c>
      <c r="F376" s="9">
        <v>27.92</v>
      </c>
      <c r="G376" s="8" t="s">
        <v>17</v>
      </c>
      <c r="H376" s="8" t="str">
        <f t="shared" si="7"/>
        <v>Afternoon</v>
      </c>
      <c r="I376" s="8" t="str">
        <f t="shared" si="8"/>
        <v>Fri</v>
      </c>
      <c r="J376" s="8" t="str">
        <f t="shared" si="9"/>
        <v>Apr</v>
      </c>
      <c r="K376" s="8">
        <f t="shared" si="10"/>
        <v>5</v>
      </c>
      <c r="L376" s="8">
        <f t="shared" si="11"/>
        <v>4</v>
      </c>
    </row>
    <row r="377" spans="1:12" x14ac:dyDescent="0.3">
      <c r="A377" s="10">
        <v>45408</v>
      </c>
      <c r="B377" s="11">
        <v>45408.648300138891</v>
      </c>
      <c r="C377" s="12">
        <f t="shared" si="6"/>
        <v>15</v>
      </c>
      <c r="D377" s="12" t="s">
        <v>4</v>
      </c>
      <c r="E377" s="12" t="s">
        <v>29</v>
      </c>
      <c r="F377" s="13">
        <v>27.92</v>
      </c>
      <c r="G377" s="12" t="s">
        <v>17</v>
      </c>
      <c r="H377" s="12" t="str">
        <f t="shared" si="7"/>
        <v>Afternoon</v>
      </c>
      <c r="I377" s="12" t="str">
        <f t="shared" si="8"/>
        <v>Fri</v>
      </c>
      <c r="J377" s="12" t="str">
        <f t="shared" si="9"/>
        <v>Apr</v>
      </c>
      <c r="K377" s="12">
        <f t="shared" si="10"/>
        <v>5</v>
      </c>
      <c r="L377" s="12">
        <f t="shared" si="11"/>
        <v>4</v>
      </c>
    </row>
    <row r="378" spans="1:12" x14ac:dyDescent="0.3">
      <c r="A378" s="6">
        <v>45408</v>
      </c>
      <c r="B378" s="7">
        <v>45408.682945763889</v>
      </c>
      <c r="C378" s="8">
        <f t="shared" si="6"/>
        <v>16</v>
      </c>
      <c r="D378" s="8" t="s">
        <v>4</v>
      </c>
      <c r="E378" s="8" t="s">
        <v>158</v>
      </c>
      <c r="F378" s="9">
        <v>27.92</v>
      </c>
      <c r="G378" s="8" t="s">
        <v>34</v>
      </c>
      <c r="H378" s="8" t="str">
        <f t="shared" si="7"/>
        <v>Afternoon</v>
      </c>
      <c r="I378" s="8" t="str">
        <f t="shared" si="8"/>
        <v>Fri</v>
      </c>
      <c r="J378" s="8" t="str">
        <f t="shared" si="9"/>
        <v>Apr</v>
      </c>
      <c r="K378" s="8">
        <f t="shared" si="10"/>
        <v>5</v>
      </c>
      <c r="L378" s="8">
        <f t="shared" si="11"/>
        <v>4</v>
      </c>
    </row>
    <row r="379" spans="1:12" x14ac:dyDescent="0.3">
      <c r="A379" s="10">
        <v>45408</v>
      </c>
      <c r="B379" s="11">
        <v>45408.683724537033</v>
      </c>
      <c r="C379" s="12">
        <f t="shared" si="6"/>
        <v>16</v>
      </c>
      <c r="D379" s="12" t="s">
        <v>4</v>
      </c>
      <c r="E379" s="12" t="s">
        <v>159</v>
      </c>
      <c r="F379" s="13">
        <v>27.92</v>
      </c>
      <c r="G379" s="12" t="s">
        <v>17</v>
      </c>
      <c r="H379" s="12" t="str">
        <f t="shared" si="7"/>
        <v>Afternoon</v>
      </c>
      <c r="I379" s="12" t="str">
        <f t="shared" si="8"/>
        <v>Fri</v>
      </c>
      <c r="J379" s="12" t="str">
        <f t="shared" si="9"/>
        <v>Apr</v>
      </c>
      <c r="K379" s="12">
        <f t="shared" si="10"/>
        <v>5</v>
      </c>
      <c r="L379" s="12">
        <f t="shared" si="11"/>
        <v>4</v>
      </c>
    </row>
    <row r="380" spans="1:12" x14ac:dyDescent="0.3">
      <c r="A380" s="6">
        <v>45408</v>
      </c>
      <c r="B380" s="7">
        <v>45408.813971203701</v>
      </c>
      <c r="C380" s="8">
        <f t="shared" si="6"/>
        <v>19</v>
      </c>
      <c r="D380" s="8" t="s">
        <v>4</v>
      </c>
      <c r="E380" s="8" t="s">
        <v>25</v>
      </c>
      <c r="F380" s="9">
        <v>37.72</v>
      </c>
      <c r="G380" s="8" t="s">
        <v>15</v>
      </c>
      <c r="H380" s="8" t="str">
        <f t="shared" si="7"/>
        <v>Night</v>
      </c>
      <c r="I380" s="8" t="str">
        <f t="shared" si="8"/>
        <v>Fri</v>
      </c>
      <c r="J380" s="8" t="str">
        <f t="shared" si="9"/>
        <v>Apr</v>
      </c>
      <c r="K380" s="8">
        <f t="shared" si="10"/>
        <v>5</v>
      </c>
      <c r="L380" s="8">
        <f t="shared" si="11"/>
        <v>4</v>
      </c>
    </row>
    <row r="381" spans="1:12" x14ac:dyDescent="0.3">
      <c r="A381" s="10">
        <v>45408</v>
      </c>
      <c r="B381" s="11">
        <v>45408.81493310185</v>
      </c>
      <c r="C381" s="12">
        <f t="shared" si="6"/>
        <v>19</v>
      </c>
      <c r="D381" s="12" t="s">
        <v>4</v>
      </c>
      <c r="E381" s="12" t="s">
        <v>25</v>
      </c>
      <c r="F381" s="13">
        <v>37.72</v>
      </c>
      <c r="G381" s="12" t="s">
        <v>24</v>
      </c>
      <c r="H381" s="12" t="str">
        <f t="shared" si="7"/>
        <v>Night</v>
      </c>
      <c r="I381" s="12" t="str">
        <f t="shared" si="8"/>
        <v>Fri</v>
      </c>
      <c r="J381" s="12" t="str">
        <f t="shared" si="9"/>
        <v>Apr</v>
      </c>
      <c r="K381" s="12">
        <f t="shared" si="10"/>
        <v>5</v>
      </c>
      <c r="L381" s="12">
        <f t="shared" si="11"/>
        <v>4</v>
      </c>
    </row>
    <row r="382" spans="1:12" x14ac:dyDescent="0.3">
      <c r="A382" s="6">
        <v>45409</v>
      </c>
      <c r="B382" s="7">
        <v>45409.64375787037</v>
      </c>
      <c r="C382" s="8">
        <f t="shared" si="6"/>
        <v>15</v>
      </c>
      <c r="D382" s="8" t="s">
        <v>4</v>
      </c>
      <c r="E382" s="8" t="s">
        <v>25</v>
      </c>
      <c r="F382" s="9">
        <v>37.72</v>
      </c>
      <c r="G382" s="8" t="s">
        <v>49</v>
      </c>
      <c r="H382" s="8" t="str">
        <f t="shared" si="7"/>
        <v>Afternoon</v>
      </c>
      <c r="I382" s="8" t="str">
        <f t="shared" si="8"/>
        <v>Sat</v>
      </c>
      <c r="J382" s="8" t="str">
        <f t="shared" si="9"/>
        <v>Apr</v>
      </c>
      <c r="K382" s="8">
        <f t="shared" si="10"/>
        <v>6</v>
      </c>
      <c r="L382" s="8">
        <f t="shared" si="11"/>
        <v>4</v>
      </c>
    </row>
    <row r="383" spans="1:12" x14ac:dyDescent="0.3">
      <c r="A383" s="10">
        <v>45410</v>
      </c>
      <c r="B383" s="11">
        <v>45410.439496284722</v>
      </c>
      <c r="C383" s="12">
        <f t="shared" si="6"/>
        <v>10</v>
      </c>
      <c r="D383" s="12" t="s">
        <v>4</v>
      </c>
      <c r="E383" s="12" t="s">
        <v>12</v>
      </c>
      <c r="F383" s="13">
        <v>37.72</v>
      </c>
      <c r="G383" s="12" t="s">
        <v>13</v>
      </c>
      <c r="H383" s="12" t="str">
        <f t="shared" si="7"/>
        <v>Morning</v>
      </c>
      <c r="I383" s="12" t="str">
        <f t="shared" si="8"/>
        <v>Sun</v>
      </c>
      <c r="J383" s="12" t="str">
        <f t="shared" si="9"/>
        <v>Apr</v>
      </c>
      <c r="K383" s="12">
        <f t="shared" si="10"/>
        <v>7</v>
      </c>
      <c r="L383" s="12">
        <f t="shared" si="11"/>
        <v>4</v>
      </c>
    </row>
    <row r="384" spans="1:12" x14ac:dyDescent="0.3">
      <c r="A384" s="6">
        <v>45410</v>
      </c>
      <c r="B384" s="7">
        <v>45410.520946168981</v>
      </c>
      <c r="C384" s="8">
        <f t="shared" si="6"/>
        <v>12</v>
      </c>
      <c r="D384" s="8" t="s">
        <v>4</v>
      </c>
      <c r="E384" s="8" t="s">
        <v>160</v>
      </c>
      <c r="F384" s="9">
        <v>37.72</v>
      </c>
      <c r="G384" s="8" t="s">
        <v>49</v>
      </c>
      <c r="H384" s="8" t="str">
        <f t="shared" si="7"/>
        <v>Afternoon</v>
      </c>
      <c r="I384" s="8" t="str">
        <f t="shared" si="8"/>
        <v>Sun</v>
      </c>
      <c r="J384" s="8" t="str">
        <f t="shared" si="9"/>
        <v>Apr</v>
      </c>
      <c r="K384" s="8">
        <f t="shared" si="10"/>
        <v>7</v>
      </c>
      <c r="L384" s="8">
        <f t="shared" si="11"/>
        <v>4</v>
      </c>
    </row>
    <row r="385" spans="1:12" x14ac:dyDescent="0.3">
      <c r="A385" s="10">
        <v>45410</v>
      </c>
      <c r="B385" s="11">
        <v>45410.768845254628</v>
      </c>
      <c r="C385" s="12">
        <f t="shared" si="6"/>
        <v>18</v>
      </c>
      <c r="D385" s="12" t="s">
        <v>4</v>
      </c>
      <c r="E385" s="12" t="s">
        <v>29</v>
      </c>
      <c r="F385" s="13">
        <v>27.92</v>
      </c>
      <c r="G385" s="12" t="s">
        <v>17</v>
      </c>
      <c r="H385" s="12" t="str">
        <f t="shared" si="7"/>
        <v>Night</v>
      </c>
      <c r="I385" s="12" t="str">
        <f t="shared" si="8"/>
        <v>Sun</v>
      </c>
      <c r="J385" s="12" t="str">
        <f t="shared" si="9"/>
        <v>Apr</v>
      </c>
      <c r="K385" s="12">
        <f t="shared" si="10"/>
        <v>7</v>
      </c>
      <c r="L385" s="12">
        <f t="shared" si="11"/>
        <v>4</v>
      </c>
    </row>
    <row r="386" spans="1:12" x14ac:dyDescent="0.3">
      <c r="A386" s="6">
        <v>45410</v>
      </c>
      <c r="B386" s="7">
        <v>45410.769576516206</v>
      </c>
      <c r="C386" s="8">
        <f t="shared" si="6"/>
        <v>18</v>
      </c>
      <c r="D386" s="8" t="s">
        <v>4</v>
      </c>
      <c r="E386" s="8" t="s">
        <v>29</v>
      </c>
      <c r="F386" s="9">
        <v>27.92</v>
      </c>
      <c r="G386" s="8" t="s">
        <v>17</v>
      </c>
      <c r="H386" s="8" t="str">
        <f t="shared" si="7"/>
        <v>Night</v>
      </c>
      <c r="I386" s="8" t="str">
        <f t="shared" si="8"/>
        <v>Sun</v>
      </c>
      <c r="J386" s="8" t="str">
        <f t="shared" si="9"/>
        <v>Apr</v>
      </c>
      <c r="K386" s="8">
        <f t="shared" si="10"/>
        <v>7</v>
      </c>
      <c r="L386" s="8">
        <f t="shared" si="11"/>
        <v>4</v>
      </c>
    </row>
    <row r="387" spans="1:12" x14ac:dyDescent="0.3">
      <c r="A387" s="10">
        <v>45410</v>
      </c>
      <c r="B387" s="11">
        <v>45410.770166365743</v>
      </c>
      <c r="C387" s="12">
        <f t="shared" si="6"/>
        <v>18</v>
      </c>
      <c r="D387" s="12" t="s">
        <v>4</v>
      </c>
      <c r="E387" s="12" t="s">
        <v>37</v>
      </c>
      <c r="F387" s="13">
        <v>37.72</v>
      </c>
      <c r="G387" s="12" t="s">
        <v>13</v>
      </c>
      <c r="H387" s="12" t="str">
        <f t="shared" si="7"/>
        <v>Night</v>
      </c>
      <c r="I387" s="12" t="str">
        <f t="shared" si="8"/>
        <v>Sun</v>
      </c>
      <c r="J387" s="12" t="str">
        <f t="shared" si="9"/>
        <v>Apr</v>
      </c>
      <c r="K387" s="12">
        <f t="shared" si="10"/>
        <v>7</v>
      </c>
      <c r="L387" s="12">
        <f t="shared" si="11"/>
        <v>4</v>
      </c>
    </row>
    <row r="388" spans="1:12" x14ac:dyDescent="0.3">
      <c r="A388" s="6">
        <v>45411</v>
      </c>
      <c r="B388" s="7">
        <v>45411.476757766206</v>
      </c>
      <c r="C388" s="8">
        <f t="shared" si="6"/>
        <v>11</v>
      </c>
      <c r="D388" s="8" t="s">
        <v>4</v>
      </c>
      <c r="E388" s="8" t="s">
        <v>161</v>
      </c>
      <c r="F388" s="9">
        <v>27.92</v>
      </c>
      <c r="G388" s="8" t="s">
        <v>34</v>
      </c>
      <c r="H388" s="8" t="str">
        <f t="shared" si="7"/>
        <v>Morning</v>
      </c>
      <c r="I388" s="8" t="str">
        <f t="shared" si="8"/>
        <v>Mon</v>
      </c>
      <c r="J388" s="8" t="str">
        <f t="shared" si="9"/>
        <v>Apr</v>
      </c>
      <c r="K388" s="8">
        <f t="shared" si="10"/>
        <v>1</v>
      </c>
      <c r="L388" s="8">
        <f t="shared" si="11"/>
        <v>4</v>
      </c>
    </row>
    <row r="389" spans="1:12" x14ac:dyDescent="0.3">
      <c r="A389" s="10">
        <v>45411</v>
      </c>
      <c r="B389" s="11">
        <v>45411.561075798614</v>
      </c>
      <c r="C389" s="12">
        <f t="shared" si="6"/>
        <v>13</v>
      </c>
      <c r="D389" s="12" t="s">
        <v>4</v>
      </c>
      <c r="E389" s="12" t="s">
        <v>16</v>
      </c>
      <c r="F389" s="13">
        <v>27.92</v>
      </c>
      <c r="G389" s="12" t="s">
        <v>17</v>
      </c>
      <c r="H389" s="12" t="str">
        <f t="shared" si="7"/>
        <v>Afternoon</v>
      </c>
      <c r="I389" s="12" t="str">
        <f t="shared" si="8"/>
        <v>Mon</v>
      </c>
      <c r="J389" s="12" t="str">
        <f t="shared" si="9"/>
        <v>Apr</v>
      </c>
      <c r="K389" s="12">
        <f t="shared" si="10"/>
        <v>1</v>
      </c>
      <c r="L389" s="12">
        <f t="shared" si="11"/>
        <v>4</v>
      </c>
    </row>
    <row r="390" spans="1:12" x14ac:dyDescent="0.3">
      <c r="A390" s="6">
        <v>45411</v>
      </c>
      <c r="B390" s="7">
        <v>45411.56173494213</v>
      </c>
      <c r="C390" s="8">
        <f t="shared" si="6"/>
        <v>13</v>
      </c>
      <c r="D390" s="8" t="s">
        <v>4</v>
      </c>
      <c r="E390" s="8" t="s">
        <v>16</v>
      </c>
      <c r="F390" s="9">
        <v>27.92</v>
      </c>
      <c r="G390" s="8" t="s">
        <v>34</v>
      </c>
      <c r="H390" s="8" t="str">
        <f t="shared" si="7"/>
        <v>Afternoon</v>
      </c>
      <c r="I390" s="8" t="str">
        <f t="shared" si="8"/>
        <v>Mon</v>
      </c>
      <c r="J390" s="8" t="str">
        <f t="shared" si="9"/>
        <v>Apr</v>
      </c>
      <c r="K390" s="8">
        <f t="shared" si="10"/>
        <v>1</v>
      </c>
      <c r="L390" s="8">
        <f t="shared" si="11"/>
        <v>4</v>
      </c>
    </row>
    <row r="391" spans="1:12" x14ac:dyDescent="0.3">
      <c r="A391" s="10">
        <v>45411</v>
      </c>
      <c r="B391" s="11">
        <v>45411.578885763891</v>
      </c>
      <c r="C391" s="12">
        <f t="shared" si="6"/>
        <v>13</v>
      </c>
      <c r="D391" s="12" t="s">
        <v>4</v>
      </c>
      <c r="E391" s="12" t="s">
        <v>161</v>
      </c>
      <c r="F391" s="13">
        <v>27.92</v>
      </c>
      <c r="G391" s="12" t="s">
        <v>34</v>
      </c>
      <c r="H391" s="12" t="str">
        <f t="shared" si="7"/>
        <v>Afternoon</v>
      </c>
      <c r="I391" s="12" t="str">
        <f t="shared" si="8"/>
        <v>Mon</v>
      </c>
      <c r="J391" s="12" t="str">
        <f t="shared" si="9"/>
        <v>Apr</v>
      </c>
      <c r="K391" s="12">
        <f t="shared" si="10"/>
        <v>1</v>
      </c>
      <c r="L391" s="12">
        <f t="shared" si="11"/>
        <v>4</v>
      </c>
    </row>
    <row r="392" spans="1:12" x14ac:dyDescent="0.3">
      <c r="A392" s="6">
        <v>45411</v>
      </c>
      <c r="B392" s="7">
        <v>45411.579448576391</v>
      </c>
      <c r="C392" s="8">
        <f t="shared" si="6"/>
        <v>13</v>
      </c>
      <c r="D392" s="8" t="s">
        <v>4</v>
      </c>
      <c r="E392" s="8" t="s">
        <v>161</v>
      </c>
      <c r="F392" s="9">
        <v>32.82</v>
      </c>
      <c r="G392" s="8" t="s">
        <v>20</v>
      </c>
      <c r="H392" s="8" t="str">
        <f t="shared" si="7"/>
        <v>Afternoon</v>
      </c>
      <c r="I392" s="8" t="str">
        <f t="shared" si="8"/>
        <v>Mon</v>
      </c>
      <c r="J392" s="8" t="str">
        <f t="shared" si="9"/>
        <v>Apr</v>
      </c>
      <c r="K392" s="8">
        <f t="shared" si="10"/>
        <v>1</v>
      </c>
      <c r="L392" s="8">
        <f t="shared" si="11"/>
        <v>4</v>
      </c>
    </row>
    <row r="393" spans="1:12" x14ac:dyDescent="0.3">
      <c r="A393" s="10">
        <v>45411</v>
      </c>
      <c r="B393" s="11">
        <v>45411.776254699071</v>
      </c>
      <c r="C393" s="12">
        <f t="shared" si="6"/>
        <v>18</v>
      </c>
      <c r="D393" s="12" t="s">
        <v>4</v>
      </c>
      <c r="E393" s="12" t="s">
        <v>160</v>
      </c>
      <c r="F393" s="13">
        <v>37.72</v>
      </c>
      <c r="G393" s="12" t="s">
        <v>49</v>
      </c>
      <c r="H393" s="12" t="str">
        <f t="shared" si="7"/>
        <v>Night</v>
      </c>
      <c r="I393" s="12" t="str">
        <f t="shared" si="8"/>
        <v>Mon</v>
      </c>
      <c r="J393" s="12" t="str">
        <f t="shared" si="9"/>
        <v>Apr</v>
      </c>
      <c r="K393" s="12">
        <f t="shared" si="10"/>
        <v>1</v>
      </c>
      <c r="L393" s="12">
        <f t="shared" si="11"/>
        <v>4</v>
      </c>
    </row>
    <row r="394" spans="1:12" x14ac:dyDescent="0.3">
      <c r="A394" s="6">
        <v>45411</v>
      </c>
      <c r="B394" s="7">
        <v>45411.800384189817</v>
      </c>
      <c r="C394" s="8">
        <f t="shared" si="6"/>
        <v>19</v>
      </c>
      <c r="D394" s="8" t="s">
        <v>4</v>
      </c>
      <c r="E394" s="8" t="s">
        <v>154</v>
      </c>
      <c r="F394" s="9">
        <v>37.72</v>
      </c>
      <c r="G394" s="8" t="s">
        <v>49</v>
      </c>
      <c r="H394" s="8" t="str">
        <f t="shared" si="7"/>
        <v>Night</v>
      </c>
      <c r="I394" s="8" t="str">
        <f t="shared" si="8"/>
        <v>Mon</v>
      </c>
      <c r="J394" s="8" t="str">
        <f t="shared" si="9"/>
        <v>Apr</v>
      </c>
      <c r="K394" s="8">
        <f t="shared" si="10"/>
        <v>1</v>
      </c>
      <c r="L394" s="8">
        <f t="shared" si="11"/>
        <v>4</v>
      </c>
    </row>
    <row r="395" spans="1:12" x14ac:dyDescent="0.3">
      <c r="A395" s="10">
        <v>45411</v>
      </c>
      <c r="B395" s="11">
        <v>45411.80113284722</v>
      </c>
      <c r="C395" s="12">
        <f t="shared" si="6"/>
        <v>19</v>
      </c>
      <c r="D395" s="12" t="s">
        <v>4</v>
      </c>
      <c r="E395" s="12" t="s">
        <v>154</v>
      </c>
      <c r="F395" s="13">
        <v>37.72</v>
      </c>
      <c r="G395" s="12" t="s">
        <v>49</v>
      </c>
      <c r="H395" s="12" t="str">
        <f t="shared" si="7"/>
        <v>Night</v>
      </c>
      <c r="I395" s="12" t="str">
        <f t="shared" si="8"/>
        <v>Mon</v>
      </c>
      <c r="J395" s="12" t="str">
        <f t="shared" si="9"/>
        <v>Apr</v>
      </c>
      <c r="K395" s="12">
        <f t="shared" si="10"/>
        <v>1</v>
      </c>
      <c r="L395" s="12">
        <f t="shared" si="11"/>
        <v>4</v>
      </c>
    </row>
    <row r="396" spans="1:12" x14ac:dyDescent="0.3">
      <c r="A396" s="6">
        <v>45412</v>
      </c>
      <c r="B396" s="7">
        <v>45412.428258020831</v>
      </c>
      <c r="C396" s="8">
        <f t="shared" si="6"/>
        <v>10</v>
      </c>
      <c r="D396" s="8" t="s">
        <v>4</v>
      </c>
      <c r="E396" s="8" t="s">
        <v>162</v>
      </c>
      <c r="F396" s="9">
        <v>37.72</v>
      </c>
      <c r="G396" s="8" t="s">
        <v>13</v>
      </c>
      <c r="H396" s="8" t="str">
        <f t="shared" si="7"/>
        <v>Morning</v>
      </c>
      <c r="I396" s="8" t="str">
        <f t="shared" si="8"/>
        <v>Tue</v>
      </c>
      <c r="J396" s="8" t="str">
        <f t="shared" si="9"/>
        <v>Apr</v>
      </c>
      <c r="K396" s="8">
        <f t="shared" si="10"/>
        <v>2</v>
      </c>
      <c r="L396" s="8">
        <f t="shared" si="11"/>
        <v>4</v>
      </c>
    </row>
    <row r="397" spans="1:12" x14ac:dyDescent="0.3">
      <c r="A397" s="10">
        <v>45412</v>
      </c>
      <c r="B397" s="11">
        <v>45412.440882523151</v>
      </c>
      <c r="C397" s="12">
        <f t="shared" si="6"/>
        <v>10</v>
      </c>
      <c r="D397" s="12" t="s">
        <v>4</v>
      </c>
      <c r="E397" s="12" t="s">
        <v>162</v>
      </c>
      <c r="F397" s="13">
        <v>32.82</v>
      </c>
      <c r="G397" s="12" t="s">
        <v>20</v>
      </c>
      <c r="H397" s="12" t="str">
        <f t="shared" si="7"/>
        <v>Morning</v>
      </c>
      <c r="I397" s="12" t="str">
        <f t="shared" si="8"/>
        <v>Tue</v>
      </c>
      <c r="J397" s="12" t="str">
        <f t="shared" si="9"/>
        <v>Apr</v>
      </c>
      <c r="K397" s="12">
        <f t="shared" si="10"/>
        <v>2</v>
      </c>
      <c r="L397" s="12">
        <f t="shared" si="11"/>
        <v>4</v>
      </c>
    </row>
    <row r="398" spans="1:12" x14ac:dyDescent="0.3">
      <c r="A398" s="6">
        <v>45412</v>
      </c>
      <c r="B398" s="7">
        <v>45412.441523344911</v>
      </c>
      <c r="C398" s="8">
        <f t="shared" si="6"/>
        <v>10</v>
      </c>
      <c r="D398" s="8" t="s">
        <v>4</v>
      </c>
      <c r="E398" s="8" t="s">
        <v>162</v>
      </c>
      <c r="F398" s="9">
        <v>32.82</v>
      </c>
      <c r="G398" s="8" t="s">
        <v>20</v>
      </c>
      <c r="H398" s="8" t="str">
        <f t="shared" si="7"/>
        <v>Morning</v>
      </c>
      <c r="I398" s="8" t="str">
        <f t="shared" si="8"/>
        <v>Tue</v>
      </c>
      <c r="J398" s="8" t="str">
        <f t="shared" si="9"/>
        <v>Apr</v>
      </c>
      <c r="K398" s="8">
        <f t="shared" si="10"/>
        <v>2</v>
      </c>
      <c r="L398" s="8">
        <f t="shared" si="11"/>
        <v>4</v>
      </c>
    </row>
    <row r="399" spans="1:12" x14ac:dyDescent="0.3">
      <c r="A399" s="10">
        <v>45412</v>
      </c>
      <c r="B399" s="11">
        <v>45412.570744502314</v>
      </c>
      <c r="C399" s="12">
        <f t="shared" si="6"/>
        <v>13</v>
      </c>
      <c r="D399" s="12" t="s">
        <v>4</v>
      </c>
      <c r="E399" s="12" t="s">
        <v>162</v>
      </c>
      <c r="F399" s="13">
        <v>27.92</v>
      </c>
      <c r="G399" s="12" t="s">
        <v>17</v>
      </c>
      <c r="H399" s="12" t="str">
        <f t="shared" si="7"/>
        <v>Afternoon</v>
      </c>
      <c r="I399" s="12" t="str">
        <f t="shared" si="8"/>
        <v>Tue</v>
      </c>
      <c r="J399" s="12" t="str">
        <f t="shared" si="9"/>
        <v>Apr</v>
      </c>
      <c r="K399" s="12">
        <f t="shared" si="10"/>
        <v>2</v>
      </c>
      <c r="L399" s="12">
        <f t="shared" si="11"/>
        <v>4</v>
      </c>
    </row>
    <row r="400" spans="1:12" x14ac:dyDescent="0.3">
      <c r="A400" s="6">
        <v>45412</v>
      </c>
      <c r="B400" s="7">
        <v>45412.571527511573</v>
      </c>
      <c r="C400" s="8">
        <f t="shared" si="6"/>
        <v>13</v>
      </c>
      <c r="D400" s="8" t="s">
        <v>4</v>
      </c>
      <c r="E400" s="8" t="s">
        <v>162</v>
      </c>
      <c r="F400" s="9">
        <v>32.82</v>
      </c>
      <c r="G400" s="8" t="s">
        <v>20</v>
      </c>
      <c r="H400" s="8" t="str">
        <f t="shared" si="7"/>
        <v>Afternoon</v>
      </c>
      <c r="I400" s="8" t="str">
        <f t="shared" si="8"/>
        <v>Tue</v>
      </c>
      <c r="J400" s="8" t="str">
        <f t="shared" si="9"/>
        <v>Apr</v>
      </c>
      <c r="K400" s="8">
        <f t="shared" si="10"/>
        <v>2</v>
      </c>
      <c r="L400" s="8">
        <f t="shared" si="11"/>
        <v>4</v>
      </c>
    </row>
    <row r="401" spans="1:12" x14ac:dyDescent="0.3">
      <c r="A401" s="10">
        <v>45412</v>
      </c>
      <c r="B401" s="11">
        <v>45412.805071053241</v>
      </c>
      <c r="C401" s="12">
        <f t="shared" si="6"/>
        <v>19</v>
      </c>
      <c r="D401" s="12" t="s">
        <v>4</v>
      </c>
      <c r="E401" s="12" t="s">
        <v>162</v>
      </c>
      <c r="F401" s="13">
        <v>37.72</v>
      </c>
      <c r="G401" s="12" t="s">
        <v>49</v>
      </c>
      <c r="H401" s="12" t="str">
        <f t="shared" si="7"/>
        <v>Night</v>
      </c>
      <c r="I401" s="12" t="str">
        <f t="shared" si="8"/>
        <v>Tue</v>
      </c>
      <c r="J401" s="12" t="str">
        <f t="shared" si="9"/>
        <v>Apr</v>
      </c>
      <c r="K401" s="12">
        <f t="shared" si="10"/>
        <v>2</v>
      </c>
      <c r="L401" s="12">
        <f t="shared" si="11"/>
        <v>4</v>
      </c>
    </row>
    <row r="402" spans="1:12" x14ac:dyDescent="0.3">
      <c r="A402" s="6">
        <v>45412</v>
      </c>
      <c r="B402" s="7">
        <v>45412.812546331021</v>
      </c>
      <c r="C402" s="8">
        <f t="shared" si="6"/>
        <v>19</v>
      </c>
      <c r="D402" s="8" t="s">
        <v>4</v>
      </c>
      <c r="E402" s="8" t="s">
        <v>162</v>
      </c>
      <c r="F402" s="9">
        <v>32.82</v>
      </c>
      <c r="G402" s="8" t="s">
        <v>20</v>
      </c>
      <c r="H402" s="8" t="str">
        <f t="shared" si="7"/>
        <v>Night</v>
      </c>
      <c r="I402" s="8" t="str">
        <f t="shared" si="8"/>
        <v>Tue</v>
      </c>
      <c r="J402" s="8" t="str">
        <f t="shared" si="9"/>
        <v>Apr</v>
      </c>
      <c r="K402" s="8">
        <f t="shared" si="10"/>
        <v>2</v>
      </c>
      <c r="L402" s="8">
        <f t="shared" si="11"/>
        <v>4</v>
      </c>
    </row>
    <row r="403" spans="1:12" x14ac:dyDescent="0.3">
      <c r="A403" s="10">
        <v>45412</v>
      </c>
      <c r="B403" s="11">
        <v>45412.813436944445</v>
      </c>
      <c r="C403" s="12">
        <f t="shared" si="6"/>
        <v>19</v>
      </c>
      <c r="D403" s="12" t="s">
        <v>4</v>
      </c>
      <c r="E403" s="12" t="s">
        <v>162</v>
      </c>
      <c r="F403" s="13">
        <v>37.72</v>
      </c>
      <c r="G403" s="12" t="s">
        <v>13</v>
      </c>
      <c r="H403" s="12" t="str">
        <f t="shared" si="7"/>
        <v>Night</v>
      </c>
      <c r="I403" s="12" t="str">
        <f t="shared" si="8"/>
        <v>Tue</v>
      </c>
      <c r="J403" s="12" t="str">
        <f t="shared" si="9"/>
        <v>Apr</v>
      </c>
      <c r="K403" s="12">
        <f t="shared" si="10"/>
        <v>2</v>
      </c>
      <c r="L403" s="12">
        <f t="shared" si="11"/>
        <v>4</v>
      </c>
    </row>
    <row r="404" spans="1:12" x14ac:dyDescent="0.3">
      <c r="A404" s="6">
        <v>45414</v>
      </c>
      <c r="B404" s="7">
        <v>45414.440228541665</v>
      </c>
      <c r="C404" s="8">
        <f t="shared" si="6"/>
        <v>10</v>
      </c>
      <c r="D404" s="8" t="s">
        <v>4</v>
      </c>
      <c r="E404" s="8" t="s">
        <v>163</v>
      </c>
      <c r="F404" s="9">
        <v>27.92</v>
      </c>
      <c r="G404" s="8" t="s">
        <v>17</v>
      </c>
      <c r="H404" s="8" t="str">
        <f t="shared" si="7"/>
        <v>Morning</v>
      </c>
      <c r="I404" s="8" t="str">
        <f t="shared" si="8"/>
        <v>Thu</v>
      </c>
      <c r="J404" s="8" t="str">
        <f t="shared" si="9"/>
        <v>May</v>
      </c>
      <c r="K404" s="8">
        <f t="shared" si="10"/>
        <v>4</v>
      </c>
      <c r="L404" s="8">
        <f t="shared" si="11"/>
        <v>5</v>
      </c>
    </row>
    <row r="405" spans="1:12" x14ac:dyDescent="0.3">
      <c r="A405" s="10">
        <v>45414</v>
      </c>
      <c r="B405" s="11">
        <v>45414.479132870372</v>
      </c>
      <c r="C405" s="12">
        <f t="shared" si="6"/>
        <v>11</v>
      </c>
      <c r="D405" s="12" t="s">
        <v>27</v>
      </c>
      <c r="E405" s="12"/>
      <c r="F405" s="13">
        <v>39</v>
      </c>
      <c r="G405" s="12" t="s">
        <v>13</v>
      </c>
      <c r="H405" s="12" t="str">
        <f t="shared" si="7"/>
        <v>Morning</v>
      </c>
      <c r="I405" s="12" t="str">
        <f t="shared" si="8"/>
        <v>Thu</v>
      </c>
      <c r="J405" s="12" t="str">
        <f t="shared" si="9"/>
        <v>May</v>
      </c>
      <c r="K405" s="12">
        <f t="shared" si="10"/>
        <v>4</v>
      </c>
      <c r="L405" s="12">
        <f t="shared" si="11"/>
        <v>5</v>
      </c>
    </row>
    <row r="406" spans="1:12" x14ac:dyDescent="0.3">
      <c r="A406" s="6">
        <v>45414</v>
      </c>
      <c r="B406" s="7">
        <v>45414.576156226853</v>
      </c>
      <c r="C406" s="8">
        <f t="shared" si="6"/>
        <v>13</v>
      </c>
      <c r="D406" s="8" t="s">
        <v>4</v>
      </c>
      <c r="E406" s="8" t="s">
        <v>153</v>
      </c>
      <c r="F406" s="9">
        <v>32.82</v>
      </c>
      <c r="G406" s="8" t="s">
        <v>20</v>
      </c>
      <c r="H406" s="8" t="str">
        <f t="shared" si="7"/>
        <v>Afternoon</v>
      </c>
      <c r="I406" s="8" t="str">
        <f t="shared" si="8"/>
        <v>Thu</v>
      </c>
      <c r="J406" s="8" t="str">
        <f t="shared" si="9"/>
        <v>May</v>
      </c>
      <c r="K406" s="8">
        <f t="shared" si="10"/>
        <v>4</v>
      </c>
      <c r="L406" s="8">
        <f t="shared" si="11"/>
        <v>5</v>
      </c>
    </row>
    <row r="407" spans="1:12" x14ac:dyDescent="0.3">
      <c r="A407" s="10">
        <v>45414</v>
      </c>
      <c r="B407" s="11">
        <v>45414.775256226851</v>
      </c>
      <c r="C407" s="12">
        <f t="shared" si="6"/>
        <v>18</v>
      </c>
      <c r="D407" s="12" t="s">
        <v>4</v>
      </c>
      <c r="E407" s="12" t="s">
        <v>164</v>
      </c>
      <c r="F407" s="13">
        <v>37.72</v>
      </c>
      <c r="G407" s="12" t="s">
        <v>49</v>
      </c>
      <c r="H407" s="12" t="str">
        <f t="shared" si="7"/>
        <v>Night</v>
      </c>
      <c r="I407" s="12" t="str">
        <f t="shared" si="8"/>
        <v>Thu</v>
      </c>
      <c r="J407" s="12" t="str">
        <f t="shared" si="9"/>
        <v>May</v>
      </c>
      <c r="K407" s="12">
        <f t="shared" si="10"/>
        <v>4</v>
      </c>
      <c r="L407" s="12">
        <f t="shared" si="11"/>
        <v>5</v>
      </c>
    </row>
    <row r="408" spans="1:12" x14ac:dyDescent="0.3">
      <c r="A408" s="6">
        <v>45414</v>
      </c>
      <c r="B408" s="7">
        <v>45414.77860208333</v>
      </c>
      <c r="C408" s="8">
        <f t="shared" si="6"/>
        <v>18</v>
      </c>
      <c r="D408" s="8" t="s">
        <v>4</v>
      </c>
      <c r="E408" s="8" t="s">
        <v>43</v>
      </c>
      <c r="F408" s="9">
        <v>32.82</v>
      </c>
      <c r="G408" s="8" t="s">
        <v>20</v>
      </c>
      <c r="H408" s="8" t="str">
        <f t="shared" si="7"/>
        <v>Night</v>
      </c>
      <c r="I408" s="8" t="str">
        <f t="shared" si="8"/>
        <v>Thu</v>
      </c>
      <c r="J408" s="8" t="str">
        <f t="shared" si="9"/>
        <v>May</v>
      </c>
      <c r="K408" s="8">
        <f t="shared" si="10"/>
        <v>4</v>
      </c>
      <c r="L408" s="8">
        <f t="shared" si="11"/>
        <v>5</v>
      </c>
    </row>
    <row r="409" spans="1:12" x14ac:dyDescent="0.3">
      <c r="A409" s="10">
        <v>45414</v>
      </c>
      <c r="B409" s="11">
        <v>45414.804549583336</v>
      </c>
      <c r="C409" s="12">
        <f t="shared" si="6"/>
        <v>19</v>
      </c>
      <c r="D409" s="12" t="s">
        <v>4</v>
      </c>
      <c r="E409" s="12" t="s">
        <v>165</v>
      </c>
      <c r="F409" s="13">
        <v>37.72</v>
      </c>
      <c r="G409" s="12" t="s">
        <v>13</v>
      </c>
      <c r="H409" s="12" t="str">
        <f t="shared" si="7"/>
        <v>Night</v>
      </c>
      <c r="I409" s="12" t="str">
        <f t="shared" si="8"/>
        <v>Thu</v>
      </c>
      <c r="J409" s="12" t="str">
        <f t="shared" si="9"/>
        <v>May</v>
      </c>
      <c r="K409" s="12">
        <f t="shared" si="10"/>
        <v>4</v>
      </c>
      <c r="L409" s="12">
        <f t="shared" si="11"/>
        <v>5</v>
      </c>
    </row>
    <row r="410" spans="1:12" x14ac:dyDescent="0.3">
      <c r="A410" s="6">
        <v>45414</v>
      </c>
      <c r="B410" s="7">
        <v>45414.805513414351</v>
      </c>
      <c r="C410" s="8">
        <f t="shared" si="6"/>
        <v>19</v>
      </c>
      <c r="D410" s="8" t="s">
        <v>4</v>
      </c>
      <c r="E410" s="8" t="s">
        <v>165</v>
      </c>
      <c r="F410" s="9">
        <v>37.72</v>
      </c>
      <c r="G410" s="8" t="s">
        <v>49</v>
      </c>
      <c r="H410" s="8" t="str">
        <f t="shared" si="7"/>
        <v>Night</v>
      </c>
      <c r="I410" s="8" t="str">
        <f t="shared" si="8"/>
        <v>Thu</v>
      </c>
      <c r="J410" s="8" t="str">
        <f t="shared" si="9"/>
        <v>May</v>
      </c>
      <c r="K410" s="8">
        <f t="shared" si="10"/>
        <v>4</v>
      </c>
      <c r="L410" s="8">
        <f t="shared" si="11"/>
        <v>5</v>
      </c>
    </row>
    <row r="411" spans="1:12" x14ac:dyDescent="0.3">
      <c r="A411" s="10">
        <v>45415</v>
      </c>
      <c r="B411" s="11">
        <v>45415.424923599538</v>
      </c>
      <c r="C411" s="12">
        <f t="shared" si="6"/>
        <v>10</v>
      </c>
      <c r="D411" s="12" t="s">
        <v>27</v>
      </c>
      <c r="E411" s="12"/>
      <c r="F411" s="13">
        <v>39</v>
      </c>
      <c r="G411" s="12" t="s">
        <v>13</v>
      </c>
      <c r="H411" s="12" t="str">
        <f t="shared" si="7"/>
        <v>Morning</v>
      </c>
      <c r="I411" s="12" t="str">
        <f t="shared" si="8"/>
        <v>Fri</v>
      </c>
      <c r="J411" s="12" t="str">
        <f t="shared" si="9"/>
        <v>May</v>
      </c>
      <c r="K411" s="12">
        <f t="shared" si="10"/>
        <v>5</v>
      </c>
      <c r="L411" s="12">
        <f t="shared" si="11"/>
        <v>5</v>
      </c>
    </row>
    <row r="412" spans="1:12" x14ac:dyDescent="0.3">
      <c r="A412" s="6">
        <v>45415</v>
      </c>
      <c r="B412" s="7">
        <v>45415.604177349538</v>
      </c>
      <c r="C412" s="8">
        <f t="shared" si="6"/>
        <v>14</v>
      </c>
      <c r="D412" s="8" t="s">
        <v>4</v>
      </c>
      <c r="E412" s="8" t="s">
        <v>166</v>
      </c>
      <c r="F412" s="9">
        <v>37.72</v>
      </c>
      <c r="G412" s="8" t="s">
        <v>13</v>
      </c>
      <c r="H412" s="8" t="str">
        <f t="shared" si="7"/>
        <v>Afternoon</v>
      </c>
      <c r="I412" s="8" t="str">
        <f t="shared" si="8"/>
        <v>Fri</v>
      </c>
      <c r="J412" s="8" t="str">
        <f t="shared" si="9"/>
        <v>May</v>
      </c>
      <c r="K412" s="8">
        <f t="shared" si="10"/>
        <v>5</v>
      </c>
      <c r="L412" s="8">
        <f t="shared" si="11"/>
        <v>5</v>
      </c>
    </row>
    <row r="413" spans="1:12" x14ac:dyDescent="0.3">
      <c r="A413" s="10">
        <v>45415</v>
      </c>
      <c r="B413" s="11">
        <v>45415.71070491898</v>
      </c>
      <c r="C413" s="12">
        <f t="shared" si="6"/>
        <v>17</v>
      </c>
      <c r="D413" s="12" t="s">
        <v>4</v>
      </c>
      <c r="E413" s="12" t="s">
        <v>167</v>
      </c>
      <c r="F413" s="13">
        <v>37.72</v>
      </c>
      <c r="G413" s="12" t="s">
        <v>13</v>
      </c>
      <c r="H413" s="12" t="str">
        <f t="shared" si="7"/>
        <v>Night</v>
      </c>
      <c r="I413" s="12" t="str">
        <f t="shared" si="8"/>
        <v>Fri</v>
      </c>
      <c r="J413" s="12" t="str">
        <f t="shared" si="9"/>
        <v>May</v>
      </c>
      <c r="K413" s="12">
        <f t="shared" si="10"/>
        <v>5</v>
      </c>
      <c r="L413" s="12">
        <f t="shared" si="11"/>
        <v>5</v>
      </c>
    </row>
    <row r="414" spans="1:12" x14ac:dyDescent="0.3">
      <c r="A414" s="6">
        <v>45418</v>
      </c>
      <c r="B414" s="7">
        <v>45418.420346296298</v>
      </c>
      <c r="C414" s="8">
        <f t="shared" si="6"/>
        <v>10</v>
      </c>
      <c r="D414" s="8" t="s">
        <v>4</v>
      </c>
      <c r="E414" s="8" t="s">
        <v>168</v>
      </c>
      <c r="F414" s="9">
        <v>27.92</v>
      </c>
      <c r="G414" s="8" t="s">
        <v>17</v>
      </c>
      <c r="H414" s="8" t="str">
        <f t="shared" si="7"/>
        <v>Morning</v>
      </c>
      <c r="I414" s="8" t="str">
        <f t="shared" si="8"/>
        <v>Mon</v>
      </c>
      <c r="J414" s="8" t="str">
        <f t="shared" si="9"/>
        <v>May</v>
      </c>
      <c r="K414" s="8">
        <f t="shared" si="10"/>
        <v>1</v>
      </c>
      <c r="L414" s="8">
        <f t="shared" si="11"/>
        <v>5</v>
      </c>
    </row>
    <row r="415" spans="1:12" x14ac:dyDescent="0.3">
      <c r="A415" s="10">
        <v>45418</v>
      </c>
      <c r="B415" s="11">
        <v>45418.421430844908</v>
      </c>
      <c r="C415" s="12">
        <f t="shared" si="6"/>
        <v>10</v>
      </c>
      <c r="D415" s="12" t="s">
        <v>4</v>
      </c>
      <c r="E415" s="12" t="s">
        <v>169</v>
      </c>
      <c r="F415" s="13">
        <v>37.72</v>
      </c>
      <c r="G415" s="12" t="s">
        <v>49</v>
      </c>
      <c r="H415" s="12" t="str">
        <f t="shared" si="7"/>
        <v>Morning</v>
      </c>
      <c r="I415" s="12" t="str">
        <f t="shared" si="8"/>
        <v>Mon</v>
      </c>
      <c r="J415" s="12" t="str">
        <f t="shared" si="9"/>
        <v>May</v>
      </c>
      <c r="K415" s="12">
        <f t="shared" si="10"/>
        <v>1</v>
      </c>
      <c r="L415" s="12">
        <f t="shared" si="11"/>
        <v>5</v>
      </c>
    </row>
    <row r="416" spans="1:12" x14ac:dyDescent="0.3">
      <c r="A416" s="6">
        <v>45418</v>
      </c>
      <c r="B416" s="7">
        <v>45418.42229008102</v>
      </c>
      <c r="C416" s="8">
        <f t="shared" si="6"/>
        <v>10</v>
      </c>
      <c r="D416" s="8" t="s">
        <v>4</v>
      </c>
      <c r="E416" s="8" t="s">
        <v>169</v>
      </c>
      <c r="F416" s="9">
        <v>32.82</v>
      </c>
      <c r="G416" s="8" t="s">
        <v>20</v>
      </c>
      <c r="H416" s="8" t="str">
        <f t="shared" si="7"/>
        <v>Morning</v>
      </c>
      <c r="I416" s="8" t="str">
        <f t="shared" si="8"/>
        <v>Mon</v>
      </c>
      <c r="J416" s="8" t="str">
        <f t="shared" si="9"/>
        <v>May</v>
      </c>
      <c r="K416" s="8">
        <f t="shared" si="10"/>
        <v>1</v>
      </c>
      <c r="L416" s="8">
        <f t="shared" si="11"/>
        <v>5</v>
      </c>
    </row>
    <row r="417" spans="1:12" x14ac:dyDescent="0.3">
      <c r="A417" s="10">
        <v>45418</v>
      </c>
      <c r="B417" s="11">
        <v>45418.423008993057</v>
      </c>
      <c r="C417" s="12">
        <f t="shared" si="6"/>
        <v>10</v>
      </c>
      <c r="D417" s="12" t="s">
        <v>4</v>
      </c>
      <c r="E417" s="12" t="s">
        <v>170</v>
      </c>
      <c r="F417" s="13">
        <v>27.92</v>
      </c>
      <c r="G417" s="12" t="s">
        <v>17</v>
      </c>
      <c r="H417" s="12" t="str">
        <f t="shared" si="7"/>
        <v>Morning</v>
      </c>
      <c r="I417" s="12" t="str">
        <f t="shared" si="8"/>
        <v>Mon</v>
      </c>
      <c r="J417" s="12" t="str">
        <f t="shared" si="9"/>
        <v>May</v>
      </c>
      <c r="K417" s="12">
        <f t="shared" si="10"/>
        <v>1</v>
      </c>
      <c r="L417" s="12">
        <f t="shared" si="11"/>
        <v>5</v>
      </c>
    </row>
    <row r="418" spans="1:12" x14ac:dyDescent="0.3">
      <c r="A418" s="6">
        <v>45418</v>
      </c>
      <c r="B418" s="7">
        <v>45418.443896307872</v>
      </c>
      <c r="C418" s="8">
        <f t="shared" si="6"/>
        <v>10</v>
      </c>
      <c r="D418" s="8" t="s">
        <v>4</v>
      </c>
      <c r="E418" s="8" t="s">
        <v>161</v>
      </c>
      <c r="F418" s="9">
        <v>27.92</v>
      </c>
      <c r="G418" s="8" t="s">
        <v>34</v>
      </c>
      <c r="H418" s="8" t="str">
        <f t="shared" si="7"/>
        <v>Morning</v>
      </c>
      <c r="I418" s="8" t="str">
        <f t="shared" si="8"/>
        <v>Mon</v>
      </c>
      <c r="J418" s="8" t="str">
        <f t="shared" si="9"/>
        <v>May</v>
      </c>
      <c r="K418" s="8">
        <f t="shared" si="10"/>
        <v>1</v>
      </c>
      <c r="L418" s="8">
        <f t="shared" si="11"/>
        <v>5</v>
      </c>
    </row>
    <row r="419" spans="1:12" x14ac:dyDescent="0.3">
      <c r="A419" s="10">
        <v>45418</v>
      </c>
      <c r="B419" s="11">
        <v>45418.482183333334</v>
      </c>
      <c r="C419" s="12">
        <f t="shared" si="6"/>
        <v>11</v>
      </c>
      <c r="D419" s="12" t="s">
        <v>27</v>
      </c>
      <c r="E419" s="12"/>
      <c r="F419" s="13">
        <v>29</v>
      </c>
      <c r="G419" s="12" t="s">
        <v>17</v>
      </c>
      <c r="H419" s="12" t="str">
        <f t="shared" si="7"/>
        <v>Morning</v>
      </c>
      <c r="I419" s="12" t="str">
        <f t="shared" si="8"/>
        <v>Mon</v>
      </c>
      <c r="J419" s="12" t="str">
        <f t="shared" si="9"/>
        <v>May</v>
      </c>
      <c r="K419" s="12">
        <f t="shared" si="10"/>
        <v>1</v>
      </c>
      <c r="L419" s="12">
        <f t="shared" si="11"/>
        <v>5</v>
      </c>
    </row>
    <row r="420" spans="1:12" x14ac:dyDescent="0.3">
      <c r="A420" s="6">
        <v>45418</v>
      </c>
      <c r="B420" s="7">
        <v>45418.554293865738</v>
      </c>
      <c r="C420" s="8">
        <f t="shared" si="6"/>
        <v>13</v>
      </c>
      <c r="D420" s="8" t="s">
        <v>4</v>
      </c>
      <c r="E420" s="8" t="s">
        <v>168</v>
      </c>
      <c r="F420" s="9">
        <v>27.92</v>
      </c>
      <c r="G420" s="8" t="s">
        <v>34</v>
      </c>
      <c r="H420" s="8" t="str">
        <f t="shared" si="7"/>
        <v>Afternoon</v>
      </c>
      <c r="I420" s="8" t="str">
        <f t="shared" si="8"/>
        <v>Mon</v>
      </c>
      <c r="J420" s="8" t="str">
        <f t="shared" si="9"/>
        <v>May</v>
      </c>
      <c r="K420" s="8">
        <f t="shared" si="10"/>
        <v>1</v>
      </c>
      <c r="L420" s="8">
        <f t="shared" si="11"/>
        <v>5</v>
      </c>
    </row>
    <row r="421" spans="1:12" x14ac:dyDescent="0.3">
      <c r="A421" s="10">
        <v>45418</v>
      </c>
      <c r="B421" s="11">
        <v>45418.554870497683</v>
      </c>
      <c r="C421" s="12">
        <f t="shared" si="6"/>
        <v>13</v>
      </c>
      <c r="D421" s="12" t="s">
        <v>4</v>
      </c>
      <c r="E421" s="12" t="s">
        <v>168</v>
      </c>
      <c r="F421" s="13">
        <v>27.92</v>
      </c>
      <c r="G421" s="12" t="s">
        <v>17</v>
      </c>
      <c r="H421" s="12" t="str">
        <f t="shared" si="7"/>
        <v>Afternoon</v>
      </c>
      <c r="I421" s="12" t="str">
        <f t="shared" si="8"/>
        <v>Mon</v>
      </c>
      <c r="J421" s="12" t="str">
        <f t="shared" si="9"/>
        <v>May</v>
      </c>
      <c r="K421" s="12">
        <f t="shared" si="10"/>
        <v>1</v>
      </c>
      <c r="L421" s="12">
        <f t="shared" si="11"/>
        <v>5</v>
      </c>
    </row>
    <row r="422" spans="1:12" x14ac:dyDescent="0.3">
      <c r="A422" s="6">
        <v>45418</v>
      </c>
      <c r="B422" s="7">
        <v>45418.804317002316</v>
      </c>
      <c r="C422" s="8">
        <f t="shared" si="6"/>
        <v>19</v>
      </c>
      <c r="D422" s="8" t="s">
        <v>4</v>
      </c>
      <c r="E422" s="8" t="s">
        <v>171</v>
      </c>
      <c r="F422" s="9">
        <v>37.72</v>
      </c>
      <c r="G422" s="8" t="s">
        <v>49</v>
      </c>
      <c r="H422" s="8" t="str">
        <f t="shared" si="7"/>
        <v>Night</v>
      </c>
      <c r="I422" s="8" t="str">
        <f t="shared" si="8"/>
        <v>Mon</v>
      </c>
      <c r="J422" s="8" t="str">
        <f t="shared" si="9"/>
        <v>May</v>
      </c>
      <c r="K422" s="8">
        <f t="shared" si="10"/>
        <v>1</v>
      </c>
      <c r="L422" s="8">
        <f t="shared" si="11"/>
        <v>5</v>
      </c>
    </row>
    <row r="423" spans="1:12" x14ac:dyDescent="0.3">
      <c r="A423" s="10">
        <v>45418</v>
      </c>
      <c r="B423" s="11">
        <v>45418.80543458333</v>
      </c>
      <c r="C423" s="12">
        <f t="shared" si="6"/>
        <v>19</v>
      </c>
      <c r="D423" s="12" t="s">
        <v>4</v>
      </c>
      <c r="E423" s="12" t="s">
        <v>171</v>
      </c>
      <c r="F423" s="13">
        <v>37.72</v>
      </c>
      <c r="G423" s="12" t="s">
        <v>49</v>
      </c>
      <c r="H423" s="12" t="str">
        <f t="shared" si="7"/>
        <v>Night</v>
      </c>
      <c r="I423" s="12" t="str">
        <f t="shared" si="8"/>
        <v>Mon</v>
      </c>
      <c r="J423" s="12" t="str">
        <f t="shared" si="9"/>
        <v>May</v>
      </c>
      <c r="K423" s="12">
        <f t="shared" si="10"/>
        <v>1</v>
      </c>
      <c r="L423" s="12">
        <f t="shared" si="11"/>
        <v>5</v>
      </c>
    </row>
    <row r="424" spans="1:12" x14ac:dyDescent="0.3">
      <c r="A424" s="6">
        <v>45419</v>
      </c>
      <c r="B424" s="7">
        <v>45419.447865532406</v>
      </c>
      <c r="C424" s="8">
        <f t="shared" si="6"/>
        <v>10</v>
      </c>
      <c r="D424" s="8" t="s">
        <v>4</v>
      </c>
      <c r="E424" s="8" t="s">
        <v>168</v>
      </c>
      <c r="F424" s="9">
        <v>37.72</v>
      </c>
      <c r="G424" s="8" t="s">
        <v>24</v>
      </c>
      <c r="H424" s="8" t="str">
        <f t="shared" si="7"/>
        <v>Morning</v>
      </c>
      <c r="I424" s="8" t="str">
        <f t="shared" si="8"/>
        <v>Tue</v>
      </c>
      <c r="J424" s="8" t="str">
        <f t="shared" si="9"/>
        <v>May</v>
      </c>
      <c r="K424" s="8">
        <f t="shared" si="10"/>
        <v>2</v>
      </c>
      <c r="L424" s="8">
        <f t="shared" si="11"/>
        <v>5</v>
      </c>
    </row>
    <row r="425" spans="1:12" x14ac:dyDescent="0.3">
      <c r="A425" s="10">
        <v>45419</v>
      </c>
      <c r="B425" s="11">
        <v>45419.473593668983</v>
      </c>
      <c r="C425" s="12">
        <f t="shared" si="6"/>
        <v>11</v>
      </c>
      <c r="D425" s="12" t="s">
        <v>4</v>
      </c>
      <c r="E425" s="12" t="s">
        <v>161</v>
      </c>
      <c r="F425" s="13">
        <v>27.92</v>
      </c>
      <c r="G425" s="12" t="s">
        <v>34</v>
      </c>
      <c r="H425" s="12" t="str">
        <f t="shared" si="7"/>
        <v>Morning</v>
      </c>
      <c r="I425" s="12" t="str">
        <f t="shared" si="8"/>
        <v>Tue</v>
      </c>
      <c r="J425" s="12" t="str">
        <f t="shared" si="9"/>
        <v>May</v>
      </c>
      <c r="K425" s="12">
        <f t="shared" si="10"/>
        <v>2</v>
      </c>
      <c r="L425" s="12">
        <f t="shared" si="11"/>
        <v>5</v>
      </c>
    </row>
    <row r="426" spans="1:12" x14ac:dyDescent="0.3">
      <c r="A426" s="6">
        <v>45419</v>
      </c>
      <c r="B426" s="7">
        <v>45419.558043321762</v>
      </c>
      <c r="C426" s="8">
        <f t="shared" si="6"/>
        <v>13</v>
      </c>
      <c r="D426" s="8" t="s">
        <v>4</v>
      </c>
      <c r="E426" s="8" t="s">
        <v>97</v>
      </c>
      <c r="F426" s="9">
        <v>27.92</v>
      </c>
      <c r="G426" s="8" t="s">
        <v>34</v>
      </c>
      <c r="H426" s="8" t="str">
        <f t="shared" si="7"/>
        <v>Afternoon</v>
      </c>
      <c r="I426" s="8" t="str">
        <f t="shared" si="8"/>
        <v>Tue</v>
      </c>
      <c r="J426" s="8" t="str">
        <f t="shared" si="9"/>
        <v>May</v>
      </c>
      <c r="K426" s="8">
        <f t="shared" si="10"/>
        <v>2</v>
      </c>
      <c r="L426" s="8">
        <f t="shared" si="11"/>
        <v>5</v>
      </c>
    </row>
    <row r="427" spans="1:12" x14ac:dyDescent="0.3">
      <c r="A427" s="10">
        <v>45419</v>
      </c>
      <c r="B427" s="11">
        <v>45419.695924768515</v>
      </c>
      <c r="C427" s="12">
        <f t="shared" si="6"/>
        <v>16</v>
      </c>
      <c r="D427" s="12" t="s">
        <v>4</v>
      </c>
      <c r="E427" s="12" t="s">
        <v>168</v>
      </c>
      <c r="F427" s="13">
        <v>37.72</v>
      </c>
      <c r="G427" s="12" t="s">
        <v>24</v>
      </c>
      <c r="H427" s="12" t="str">
        <f t="shared" si="7"/>
        <v>Afternoon</v>
      </c>
      <c r="I427" s="12" t="str">
        <f t="shared" si="8"/>
        <v>Tue</v>
      </c>
      <c r="J427" s="12" t="str">
        <f t="shared" si="9"/>
        <v>May</v>
      </c>
      <c r="K427" s="12">
        <f t="shared" si="10"/>
        <v>2</v>
      </c>
      <c r="L427" s="12">
        <f t="shared" si="11"/>
        <v>5</v>
      </c>
    </row>
    <row r="428" spans="1:12" x14ac:dyDescent="0.3">
      <c r="A428" s="6">
        <v>45419</v>
      </c>
      <c r="B428" s="7">
        <v>45419.705310243058</v>
      </c>
      <c r="C428" s="8">
        <f t="shared" si="6"/>
        <v>16</v>
      </c>
      <c r="D428" s="8" t="s">
        <v>4</v>
      </c>
      <c r="E428" s="8" t="s">
        <v>172</v>
      </c>
      <c r="F428" s="9">
        <v>27.92</v>
      </c>
      <c r="G428" s="8" t="s">
        <v>17</v>
      </c>
      <c r="H428" s="8" t="str">
        <f t="shared" si="7"/>
        <v>Afternoon</v>
      </c>
      <c r="I428" s="8" t="str">
        <f t="shared" si="8"/>
        <v>Tue</v>
      </c>
      <c r="J428" s="8" t="str">
        <f t="shared" si="9"/>
        <v>May</v>
      </c>
      <c r="K428" s="8">
        <f t="shared" si="10"/>
        <v>2</v>
      </c>
      <c r="L428" s="8">
        <f t="shared" si="11"/>
        <v>5</v>
      </c>
    </row>
    <row r="429" spans="1:12" x14ac:dyDescent="0.3">
      <c r="A429" s="10">
        <v>45419</v>
      </c>
      <c r="B429" s="11">
        <v>45419.734564953702</v>
      </c>
      <c r="C429" s="12">
        <f t="shared" si="6"/>
        <v>17</v>
      </c>
      <c r="D429" s="12" t="s">
        <v>4</v>
      </c>
      <c r="E429" s="12" t="s">
        <v>173</v>
      </c>
      <c r="F429" s="13">
        <v>37.72</v>
      </c>
      <c r="G429" s="12" t="s">
        <v>49</v>
      </c>
      <c r="H429" s="12" t="str">
        <f t="shared" si="7"/>
        <v>Night</v>
      </c>
      <c r="I429" s="12" t="str">
        <f t="shared" si="8"/>
        <v>Tue</v>
      </c>
      <c r="J429" s="12" t="str">
        <f t="shared" si="9"/>
        <v>May</v>
      </c>
      <c r="K429" s="12">
        <f t="shared" si="10"/>
        <v>2</v>
      </c>
      <c r="L429" s="12">
        <f t="shared" si="11"/>
        <v>5</v>
      </c>
    </row>
    <row r="430" spans="1:12" x14ac:dyDescent="0.3">
      <c r="A430" s="6">
        <v>45419</v>
      </c>
      <c r="B430" s="7">
        <v>45419.735280034722</v>
      </c>
      <c r="C430" s="8">
        <f t="shared" si="6"/>
        <v>17</v>
      </c>
      <c r="D430" s="8" t="s">
        <v>4</v>
      </c>
      <c r="E430" s="8" t="s">
        <v>173</v>
      </c>
      <c r="F430" s="9">
        <v>37.72</v>
      </c>
      <c r="G430" s="8" t="s">
        <v>13</v>
      </c>
      <c r="H430" s="8" t="str">
        <f t="shared" si="7"/>
        <v>Night</v>
      </c>
      <c r="I430" s="8" t="str">
        <f t="shared" si="8"/>
        <v>Tue</v>
      </c>
      <c r="J430" s="8" t="str">
        <f t="shared" si="9"/>
        <v>May</v>
      </c>
      <c r="K430" s="8">
        <f t="shared" si="10"/>
        <v>2</v>
      </c>
      <c r="L430" s="8">
        <f t="shared" si="11"/>
        <v>5</v>
      </c>
    </row>
    <row r="431" spans="1:12" x14ac:dyDescent="0.3">
      <c r="A431" s="10">
        <v>45419</v>
      </c>
      <c r="B431" s="11">
        <v>45419.774736516207</v>
      </c>
      <c r="C431" s="12">
        <f t="shared" si="6"/>
        <v>18</v>
      </c>
      <c r="D431" s="12" t="s">
        <v>27</v>
      </c>
      <c r="E431" s="12"/>
      <c r="F431" s="13">
        <v>34</v>
      </c>
      <c r="G431" s="12" t="s">
        <v>20</v>
      </c>
      <c r="H431" s="12" t="str">
        <f t="shared" si="7"/>
        <v>Night</v>
      </c>
      <c r="I431" s="12" t="str">
        <f t="shared" si="8"/>
        <v>Tue</v>
      </c>
      <c r="J431" s="12" t="str">
        <f t="shared" si="9"/>
        <v>May</v>
      </c>
      <c r="K431" s="12">
        <f t="shared" si="10"/>
        <v>2</v>
      </c>
      <c r="L431" s="12">
        <f t="shared" si="11"/>
        <v>5</v>
      </c>
    </row>
    <row r="432" spans="1:12" x14ac:dyDescent="0.3">
      <c r="A432" s="6">
        <v>45419</v>
      </c>
      <c r="B432" s="7">
        <v>45419.800144953704</v>
      </c>
      <c r="C432" s="8">
        <f t="shared" si="6"/>
        <v>19</v>
      </c>
      <c r="D432" s="8" t="s">
        <v>4</v>
      </c>
      <c r="E432" s="8" t="s">
        <v>174</v>
      </c>
      <c r="F432" s="9">
        <v>37.72</v>
      </c>
      <c r="G432" s="8" t="s">
        <v>49</v>
      </c>
      <c r="H432" s="8" t="str">
        <f t="shared" si="7"/>
        <v>Night</v>
      </c>
      <c r="I432" s="8" t="str">
        <f t="shared" si="8"/>
        <v>Tue</v>
      </c>
      <c r="J432" s="8" t="str">
        <f t="shared" si="9"/>
        <v>May</v>
      </c>
      <c r="K432" s="8">
        <f t="shared" si="10"/>
        <v>2</v>
      </c>
      <c r="L432" s="8">
        <f t="shared" si="11"/>
        <v>5</v>
      </c>
    </row>
    <row r="433" spans="1:12" x14ac:dyDescent="0.3">
      <c r="A433" s="10">
        <v>45419</v>
      </c>
      <c r="B433" s="11">
        <v>45419.800835590278</v>
      </c>
      <c r="C433" s="12">
        <f t="shared" si="6"/>
        <v>19</v>
      </c>
      <c r="D433" s="12" t="s">
        <v>4</v>
      </c>
      <c r="E433" s="12" t="s">
        <v>174</v>
      </c>
      <c r="F433" s="13">
        <v>37.72</v>
      </c>
      <c r="G433" s="12" t="s">
        <v>49</v>
      </c>
      <c r="H433" s="12" t="str">
        <f t="shared" si="7"/>
        <v>Night</v>
      </c>
      <c r="I433" s="12" t="str">
        <f t="shared" si="8"/>
        <v>Tue</v>
      </c>
      <c r="J433" s="12" t="str">
        <f t="shared" si="9"/>
        <v>May</v>
      </c>
      <c r="K433" s="12">
        <f t="shared" si="10"/>
        <v>2</v>
      </c>
      <c r="L433" s="12">
        <f t="shared" si="11"/>
        <v>5</v>
      </c>
    </row>
    <row r="434" spans="1:12" x14ac:dyDescent="0.3">
      <c r="A434" s="6">
        <v>45420</v>
      </c>
      <c r="B434" s="7">
        <v>45420.421861840281</v>
      </c>
      <c r="C434" s="8">
        <f t="shared" si="6"/>
        <v>10</v>
      </c>
      <c r="D434" s="8" t="s">
        <v>4</v>
      </c>
      <c r="E434" s="8" t="s">
        <v>12</v>
      </c>
      <c r="F434" s="9">
        <v>37.72</v>
      </c>
      <c r="G434" s="8" t="s">
        <v>13</v>
      </c>
      <c r="H434" s="8" t="str">
        <f t="shared" si="7"/>
        <v>Morning</v>
      </c>
      <c r="I434" s="8" t="str">
        <f t="shared" si="8"/>
        <v>Wed</v>
      </c>
      <c r="J434" s="8" t="str">
        <f t="shared" si="9"/>
        <v>May</v>
      </c>
      <c r="K434" s="8">
        <f t="shared" si="10"/>
        <v>3</v>
      </c>
      <c r="L434" s="8">
        <f t="shared" si="11"/>
        <v>5</v>
      </c>
    </row>
    <row r="435" spans="1:12" x14ac:dyDescent="0.3">
      <c r="A435" s="10">
        <v>45421</v>
      </c>
      <c r="B435" s="11">
        <v>45421.537752453703</v>
      </c>
      <c r="C435" s="12">
        <f t="shared" si="6"/>
        <v>12</v>
      </c>
      <c r="D435" s="12" t="s">
        <v>4</v>
      </c>
      <c r="E435" s="12" t="s">
        <v>175</v>
      </c>
      <c r="F435" s="13">
        <v>37.72</v>
      </c>
      <c r="G435" s="12" t="s">
        <v>49</v>
      </c>
      <c r="H435" s="12" t="str">
        <f t="shared" si="7"/>
        <v>Afternoon</v>
      </c>
      <c r="I435" s="12" t="str">
        <f t="shared" si="8"/>
        <v>Thu</v>
      </c>
      <c r="J435" s="12" t="str">
        <f t="shared" si="9"/>
        <v>May</v>
      </c>
      <c r="K435" s="12">
        <f t="shared" si="10"/>
        <v>4</v>
      </c>
      <c r="L435" s="12">
        <f t="shared" si="11"/>
        <v>5</v>
      </c>
    </row>
    <row r="436" spans="1:12" x14ac:dyDescent="0.3">
      <c r="A436" s="6">
        <v>45421</v>
      </c>
      <c r="B436" s="7">
        <v>45421.544427731482</v>
      </c>
      <c r="C436" s="8">
        <f t="shared" si="6"/>
        <v>13</v>
      </c>
      <c r="D436" s="8" t="s">
        <v>4</v>
      </c>
      <c r="E436" s="8" t="s">
        <v>176</v>
      </c>
      <c r="F436" s="9">
        <v>27.92</v>
      </c>
      <c r="G436" s="8" t="s">
        <v>17</v>
      </c>
      <c r="H436" s="8" t="str">
        <f t="shared" si="7"/>
        <v>Afternoon</v>
      </c>
      <c r="I436" s="8" t="str">
        <f t="shared" si="8"/>
        <v>Thu</v>
      </c>
      <c r="J436" s="8" t="str">
        <f t="shared" si="9"/>
        <v>May</v>
      </c>
      <c r="K436" s="8">
        <f t="shared" si="10"/>
        <v>4</v>
      </c>
      <c r="L436" s="8">
        <f t="shared" si="11"/>
        <v>5</v>
      </c>
    </row>
    <row r="437" spans="1:12" x14ac:dyDescent="0.3">
      <c r="A437" s="10">
        <v>45421</v>
      </c>
      <c r="B437" s="11">
        <v>45421.54511165509</v>
      </c>
      <c r="C437" s="12">
        <f t="shared" si="6"/>
        <v>13</v>
      </c>
      <c r="D437" s="12" t="s">
        <v>4</v>
      </c>
      <c r="E437" s="12" t="s">
        <v>176</v>
      </c>
      <c r="F437" s="13">
        <v>37.72</v>
      </c>
      <c r="G437" s="12" t="s">
        <v>13</v>
      </c>
      <c r="H437" s="12" t="str">
        <f t="shared" si="7"/>
        <v>Afternoon</v>
      </c>
      <c r="I437" s="12" t="str">
        <f t="shared" si="8"/>
        <v>Thu</v>
      </c>
      <c r="J437" s="12" t="str">
        <f t="shared" si="9"/>
        <v>May</v>
      </c>
      <c r="K437" s="12">
        <f t="shared" si="10"/>
        <v>4</v>
      </c>
      <c r="L437" s="12">
        <f t="shared" si="11"/>
        <v>5</v>
      </c>
    </row>
    <row r="438" spans="1:12" x14ac:dyDescent="0.3">
      <c r="A438" s="6">
        <v>45421</v>
      </c>
      <c r="B438" s="7">
        <v>45421.545963668985</v>
      </c>
      <c r="C438" s="8">
        <f t="shared" si="6"/>
        <v>13</v>
      </c>
      <c r="D438" s="8" t="s">
        <v>4</v>
      </c>
      <c r="E438" s="8" t="s">
        <v>176</v>
      </c>
      <c r="F438" s="9">
        <v>37.72</v>
      </c>
      <c r="G438" s="8" t="s">
        <v>13</v>
      </c>
      <c r="H438" s="8" t="str">
        <f t="shared" si="7"/>
        <v>Afternoon</v>
      </c>
      <c r="I438" s="8" t="str">
        <f t="shared" si="8"/>
        <v>Thu</v>
      </c>
      <c r="J438" s="8" t="str">
        <f t="shared" si="9"/>
        <v>May</v>
      </c>
      <c r="K438" s="8">
        <f t="shared" si="10"/>
        <v>4</v>
      </c>
      <c r="L438" s="8">
        <f t="shared" si="11"/>
        <v>5</v>
      </c>
    </row>
    <row r="439" spans="1:12" x14ac:dyDescent="0.3">
      <c r="A439" s="10">
        <v>45421</v>
      </c>
      <c r="B439" s="11">
        <v>45421.546717696758</v>
      </c>
      <c r="C439" s="12">
        <f t="shared" si="6"/>
        <v>13</v>
      </c>
      <c r="D439" s="12" t="s">
        <v>4</v>
      </c>
      <c r="E439" s="12" t="s">
        <v>176</v>
      </c>
      <c r="F439" s="13">
        <v>37.72</v>
      </c>
      <c r="G439" s="12" t="s">
        <v>13</v>
      </c>
      <c r="H439" s="12" t="str">
        <f t="shared" si="7"/>
        <v>Afternoon</v>
      </c>
      <c r="I439" s="12" t="str">
        <f t="shared" si="8"/>
        <v>Thu</v>
      </c>
      <c r="J439" s="12" t="str">
        <f t="shared" si="9"/>
        <v>May</v>
      </c>
      <c r="K439" s="12">
        <f t="shared" si="10"/>
        <v>4</v>
      </c>
      <c r="L439" s="12">
        <f t="shared" si="11"/>
        <v>5</v>
      </c>
    </row>
    <row r="440" spans="1:12" x14ac:dyDescent="0.3">
      <c r="A440" s="6">
        <v>45421</v>
      </c>
      <c r="B440" s="7">
        <v>45421.705030104167</v>
      </c>
      <c r="C440" s="8">
        <f t="shared" si="6"/>
        <v>16</v>
      </c>
      <c r="D440" s="8" t="s">
        <v>4</v>
      </c>
      <c r="E440" s="8" t="s">
        <v>138</v>
      </c>
      <c r="F440" s="9">
        <v>27.92</v>
      </c>
      <c r="G440" s="8" t="s">
        <v>17</v>
      </c>
      <c r="H440" s="8" t="str">
        <f t="shared" si="7"/>
        <v>Afternoon</v>
      </c>
      <c r="I440" s="8" t="str">
        <f t="shared" si="8"/>
        <v>Thu</v>
      </c>
      <c r="J440" s="8" t="str">
        <f t="shared" si="9"/>
        <v>May</v>
      </c>
      <c r="K440" s="8">
        <f t="shared" si="10"/>
        <v>4</v>
      </c>
      <c r="L440" s="8">
        <f t="shared" si="11"/>
        <v>5</v>
      </c>
    </row>
    <row r="441" spans="1:12" x14ac:dyDescent="0.3">
      <c r="A441" s="10">
        <v>45421</v>
      </c>
      <c r="B441" s="11">
        <v>45421.70572903935</v>
      </c>
      <c r="C441" s="12">
        <f t="shared" si="6"/>
        <v>16</v>
      </c>
      <c r="D441" s="12" t="s">
        <v>4</v>
      </c>
      <c r="E441" s="12" t="s">
        <v>138</v>
      </c>
      <c r="F441" s="13">
        <v>27.92</v>
      </c>
      <c r="G441" s="12" t="s">
        <v>17</v>
      </c>
      <c r="H441" s="12" t="str">
        <f t="shared" si="7"/>
        <v>Afternoon</v>
      </c>
      <c r="I441" s="12" t="str">
        <f t="shared" si="8"/>
        <v>Thu</v>
      </c>
      <c r="J441" s="12" t="str">
        <f t="shared" si="9"/>
        <v>May</v>
      </c>
      <c r="K441" s="12">
        <f t="shared" si="10"/>
        <v>4</v>
      </c>
      <c r="L441" s="12">
        <f t="shared" si="11"/>
        <v>5</v>
      </c>
    </row>
    <row r="442" spans="1:12" x14ac:dyDescent="0.3">
      <c r="A442" s="6">
        <v>45421</v>
      </c>
      <c r="B442" s="7">
        <v>45421.751040451389</v>
      </c>
      <c r="C442" s="8">
        <f t="shared" si="6"/>
        <v>18</v>
      </c>
      <c r="D442" s="8" t="s">
        <v>4</v>
      </c>
      <c r="E442" s="8" t="s">
        <v>177</v>
      </c>
      <c r="F442" s="9">
        <v>27.92</v>
      </c>
      <c r="G442" s="8" t="s">
        <v>17</v>
      </c>
      <c r="H442" s="8" t="str">
        <f t="shared" si="7"/>
        <v>Night</v>
      </c>
      <c r="I442" s="8" t="str">
        <f t="shared" si="8"/>
        <v>Thu</v>
      </c>
      <c r="J442" s="8" t="str">
        <f t="shared" si="9"/>
        <v>May</v>
      </c>
      <c r="K442" s="8">
        <f t="shared" si="10"/>
        <v>4</v>
      </c>
      <c r="L442" s="8">
        <f t="shared" si="11"/>
        <v>5</v>
      </c>
    </row>
    <row r="443" spans="1:12" x14ac:dyDescent="0.3">
      <c r="A443" s="10">
        <v>45421</v>
      </c>
      <c r="B443" s="11">
        <v>45421.759678541668</v>
      </c>
      <c r="C443" s="12">
        <f t="shared" si="6"/>
        <v>18</v>
      </c>
      <c r="D443" s="12" t="s">
        <v>4</v>
      </c>
      <c r="E443" s="12" t="s">
        <v>163</v>
      </c>
      <c r="F443" s="13">
        <v>32.82</v>
      </c>
      <c r="G443" s="12" t="s">
        <v>20</v>
      </c>
      <c r="H443" s="12" t="str">
        <f t="shared" si="7"/>
        <v>Night</v>
      </c>
      <c r="I443" s="12" t="str">
        <f t="shared" si="8"/>
        <v>Thu</v>
      </c>
      <c r="J443" s="12" t="str">
        <f t="shared" si="9"/>
        <v>May</v>
      </c>
      <c r="K443" s="12">
        <f t="shared" si="10"/>
        <v>4</v>
      </c>
      <c r="L443" s="12">
        <f t="shared" si="11"/>
        <v>5</v>
      </c>
    </row>
    <row r="444" spans="1:12" x14ac:dyDescent="0.3">
      <c r="A444" s="6">
        <v>45422</v>
      </c>
      <c r="B444" s="7">
        <v>45422.423170972223</v>
      </c>
      <c r="C444" s="8">
        <f t="shared" si="6"/>
        <v>10</v>
      </c>
      <c r="D444" s="8" t="s">
        <v>27</v>
      </c>
      <c r="E444" s="8"/>
      <c r="F444" s="9">
        <v>39</v>
      </c>
      <c r="G444" s="8" t="s">
        <v>13</v>
      </c>
      <c r="H444" s="8" t="str">
        <f t="shared" si="7"/>
        <v>Morning</v>
      </c>
      <c r="I444" s="8" t="str">
        <f t="shared" si="8"/>
        <v>Fri</v>
      </c>
      <c r="J444" s="8" t="str">
        <f t="shared" si="9"/>
        <v>May</v>
      </c>
      <c r="K444" s="8">
        <f t="shared" si="10"/>
        <v>5</v>
      </c>
      <c r="L444" s="8">
        <f t="shared" si="11"/>
        <v>5</v>
      </c>
    </row>
    <row r="445" spans="1:12" x14ac:dyDescent="0.3">
      <c r="A445" s="10">
        <v>45422</v>
      </c>
      <c r="B445" s="11">
        <v>45422.65719341435</v>
      </c>
      <c r="C445" s="12">
        <f t="shared" si="6"/>
        <v>15</v>
      </c>
      <c r="D445" s="12" t="s">
        <v>4</v>
      </c>
      <c r="E445" s="12" t="s">
        <v>178</v>
      </c>
      <c r="F445" s="13">
        <v>37.72</v>
      </c>
      <c r="G445" s="12" t="s">
        <v>13</v>
      </c>
      <c r="H445" s="12" t="str">
        <f t="shared" si="7"/>
        <v>Afternoon</v>
      </c>
      <c r="I445" s="12" t="str">
        <f t="shared" si="8"/>
        <v>Fri</v>
      </c>
      <c r="J445" s="12" t="str">
        <f t="shared" si="9"/>
        <v>May</v>
      </c>
      <c r="K445" s="12">
        <f t="shared" si="10"/>
        <v>5</v>
      </c>
      <c r="L445" s="12">
        <f t="shared" si="11"/>
        <v>5</v>
      </c>
    </row>
    <row r="446" spans="1:12" x14ac:dyDescent="0.3">
      <c r="A446" s="6">
        <v>45422</v>
      </c>
      <c r="B446" s="7">
        <v>45422.658015138892</v>
      </c>
      <c r="C446" s="8">
        <f t="shared" si="6"/>
        <v>15</v>
      </c>
      <c r="D446" s="8" t="s">
        <v>4</v>
      </c>
      <c r="E446" s="8" t="s">
        <v>178</v>
      </c>
      <c r="F446" s="9">
        <v>37.72</v>
      </c>
      <c r="G446" s="8" t="s">
        <v>13</v>
      </c>
      <c r="H446" s="8" t="str">
        <f t="shared" si="7"/>
        <v>Afternoon</v>
      </c>
      <c r="I446" s="8" t="str">
        <f t="shared" si="8"/>
        <v>Fri</v>
      </c>
      <c r="J446" s="8" t="str">
        <f t="shared" si="9"/>
        <v>May</v>
      </c>
      <c r="K446" s="8">
        <f t="shared" si="10"/>
        <v>5</v>
      </c>
      <c r="L446" s="8">
        <f t="shared" si="11"/>
        <v>5</v>
      </c>
    </row>
    <row r="447" spans="1:12" x14ac:dyDescent="0.3">
      <c r="A447" s="10">
        <v>45422</v>
      </c>
      <c r="B447" s="11">
        <v>45422.680730138891</v>
      </c>
      <c r="C447" s="12">
        <f t="shared" si="6"/>
        <v>16</v>
      </c>
      <c r="D447" s="12" t="s">
        <v>27</v>
      </c>
      <c r="E447" s="12"/>
      <c r="F447" s="13">
        <v>34</v>
      </c>
      <c r="G447" s="12" t="s">
        <v>20</v>
      </c>
      <c r="H447" s="12" t="str">
        <f t="shared" si="7"/>
        <v>Afternoon</v>
      </c>
      <c r="I447" s="12" t="str">
        <f t="shared" si="8"/>
        <v>Fri</v>
      </c>
      <c r="J447" s="12" t="str">
        <f t="shared" si="9"/>
        <v>May</v>
      </c>
      <c r="K447" s="12">
        <f t="shared" si="10"/>
        <v>5</v>
      </c>
      <c r="L447" s="12">
        <f t="shared" si="11"/>
        <v>5</v>
      </c>
    </row>
    <row r="448" spans="1:12" x14ac:dyDescent="0.3">
      <c r="A448" s="6">
        <v>45423</v>
      </c>
      <c r="B448" s="7">
        <v>45423.486028680556</v>
      </c>
      <c r="C448" s="8">
        <f t="shared" si="6"/>
        <v>11</v>
      </c>
      <c r="D448" s="8" t="s">
        <v>4</v>
      </c>
      <c r="E448" s="8" t="s">
        <v>89</v>
      </c>
      <c r="F448" s="9">
        <v>37.72</v>
      </c>
      <c r="G448" s="8" t="s">
        <v>13</v>
      </c>
      <c r="H448" s="8" t="str">
        <f t="shared" si="7"/>
        <v>Morning</v>
      </c>
      <c r="I448" s="8" t="str">
        <f t="shared" si="8"/>
        <v>Sat</v>
      </c>
      <c r="J448" s="8" t="str">
        <f t="shared" si="9"/>
        <v>May</v>
      </c>
      <c r="K448" s="8">
        <f t="shared" si="10"/>
        <v>6</v>
      </c>
      <c r="L448" s="8">
        <f t="shared" si="11"/>
        <v>5</v>
      </c>
    </row>
    <row r="449" spans="1:12" x14ac:dyDescent="0.3">
      <c r="A449" s="10">
        <v>45423</v>
      </c>
      <c r="B449" s="11">
        <v>45423.710227407406</v>
      </c>
      <c r="C449" s="12">
        <f t="shared" si="6"/>
        <v>17</v>
      </c>
      <c r="D449" s="12" t="s">
        <v>27</v>
      </c>
      <c r="E449" s="12"/>
      <c r="F449" s="13">
        <v>39</v>
      </c>
      <c r="G449" s="12" t="s">
        <v>13</v>
      </c>
      <c r="H449" s="12" t="str">
        <f t="shared" si="7"/>
        <v>Night</v>
      </c>
      <c r="I449" s="12" t="str">
        <f t="shared" si="8"/>
        <v>Sat</v>
      </c>
      <c r="J449" s="12" t="str">
        <f t="shared" si="9"/>
        <v>May</v>
      </c>
      <c r="K449" s="12">
        <f t="shared" si="10"/>
        <v>6</v>
      </c>
      <c r="L449" s="12">
        <f t="shared" si="11"/>
        <v>5</v>
      </c>
    </row>
    <row r="450" spans="1:12" x14ac:dyDescent="0.3">
      <c r="A450" s="6">
        <v>45423</v>
      </c>
      <c r="B450" s="7">
        <v>45423.722574050924</v>
      </c>
      <c r="C450" s="8">
        <f t="shared" si="6"/>
        <v>17</v>
      </c>
      <c r="D450" s="8" t="s">
        <v>4</v>
      </c>
      <c r="E450" s="8" t="s">
        <v>25</v>
      </c>
      <c r="F450" s="9">
        <v>32.82</v>
      </c>
      <c r="G450" s="8" t="s">
        <v>20</v>
      </c>
      <c r="H450" s="8" t="str">
        <f t="shared" si="7"/>
        <v>Night</v>
      </c>
      <c r="I450" s="8" t="str">
        <f t="shared" si="8"/>
        <v>Sat</v>
      </c>
      <c r="J450" s="8" t="str">
        <f t="shared" si="9"/>
        <v>May</v>
      </c>
      <c r="K450" s="8">
        <f t="shared" si="10"/>
        <v>6</v>
      </c>
      <c r="L450" s="8">
        <f t="shared" si="11"/>
        <v>5</v>
      </c>
    </row>
    <row r="451" spans="1:12" x14ac:dyDescent="0.3">
      <c r="A451" s="10">
        <v>45423</v>
      </c>
      <c r="B451" s="11">
        <v>45423.723566168985</v>
      </c>
      <c r="C451" s="12">
        <f t="shared" si="6"/>
        <v>17</v>
      </c>
      <c r="D451" s="12" t="s">
        <v>4</v>
      </c>
      <c r="E451" s="12" t="s">
        <v>45</v>
      </c>
      <c r="F451" s="13">
        <v>37.72</v>
      </c>
      <c r="G451" s="12" t="s">
        <v>24</v>
      </c>
      <c r="H451" s="12" t="str">
        <f t="shared" si="7"/>
        <v>Night</v>
      </c>
      <c r="I451" s="12" t="str">
        <f t="shared" si="8"/>
        <v>Sat</v>
      </c>
      <c r="J451" s="12" t="str">
        <f t="shared" si="9"/>
        <v>May</v>
      </c>
      <c r="K451" s="12">
        <f t="shared" si="10"/>
        <v>6</v>
      </c>
      <c r="L451" s="12">
        <f t="shared" si="11"/>
        <v>5</v>
      </c>
    </row>
    <row r="452" spans="1:12" x14ac:dyDescent="0.3">
      <c r="A452" s="6">
        <v>45423</v>
      </c>
      <c r="B452" s="7">
        <v>45423.724968761577</v>
      </c>
      <c r="C452" s="8">
        <f t="shared" si="6"/>
        <v>17</v>
      </c>
      <c r="D452" s="8" t="s">
        <v>4</v>
      </c>
      <c r="E452" s="8" t="s">
        <v>60</v>
      </c>
      <c r="F452" s="9">
        <v>37.72</v>
      </c>
      <c r="G452" s="8" t="s">
        <v>49</v>
      </c>
      <c r="H452" s="8" t="str">
        <f t="shared" si="7"/>
        <v>Night</v>
      </c>
      <c r="I452" s="8" t="str">
        <f t="shared" si="8"/>
        <v>Sat</v>
      </c>
      <c r="J452" s="8" t="str">
        <f t="shared" si="9"/>
        <v>May</v>
      </c>
      <c r="K452" s="8">
        <f t="shared" si="10"/>
        <v>6</v>
      </c>
      <c r="L452" s="8">
        <f t="shared" si="11"/>
        <v>5</v>
      </c>
    </row>
    <row r="453" spans="1:12" x14ac:dyDescent="0.3">
      <c r="A453" s="10">
        <v>45423</v>
      </c>
      <c r="B453" s="11">
        <v>45423.728404305555</v>
      </c>
      <c r="C453" s="12">
        <f t="shared" si="6"/>
        <v>17</v>
      </c>
      <c r="D453" s="12" t="s">
        <v>4</v>
      </c>
      <c r="E453" s="12" t="s">
        <v>29</v>
      </c>
      <c r="F453" s="13">
        <v>32.82</v>
      </c>
      <c r="G453" s="12" t="s">
        <v>20</v>
      </c>
      <c r="H453" s="12" t="str">
        <f t="shared" si="7"/>
        <v>Night</v>
      </c>
      <c r="I453" s="12" t="str">
        <f t="shared" si="8"/>
        <v>Sat</v>
      </c>
      <c r="J453" s="12" t="str">
        <f t="shared" si="9"/>
        <v>May</v>
      </c>
      <c r="K453" s="12">
        <f t="shared" si="10"/>
        <v>6</v>
      </c>
      <c r="L453" s="12">
        <f t="shared" si="11"/>
        <v>5</v>
      </c>
    </row>
    <row r="454" spans="1:12" x14ac:dyDescent="0.3">
      <c r="A454" s="6">
        <v>45423</v>
      </c>
      <c r="B454" s="7">
        <v>45423.774771493052</v>
      </c>
      <c r="C454" s="8">
        <f t="shared" si="6"/>
        <v>18</v>
      </c>
      <c r="D454" s="8" t="s">
        <v>4</v>
      </c>
      <c r="E454" s="8" t="s">
        <v>135</v>
      </c>
      <c r="F454" s="9">
        <v>37.72</v>
      </c>
      <c r="G454" s="8" t="s">
        <v>49</v>
      </c>
      <c r="H454" s="8" t="str">
        <f t="shared" si="7"/>
        <v>Night</v>
      </c>
      <c r="I454" s="8" t="str">
        <f t="shared" si="8"/>
        <v>Sat</v>
      </c>
      <c r="J454" s="8" t="str">
        <f t="shared" si="9"/>
        <v>May</v>
      </c>
      <c r="K454" s="8">
        <f t="shared" si="10"/>
        <v>6</v>
      </c>
      <c r="L454" s="8">
        <f t="shared" si="11"/>
        <v>5</v>
      </c>
    </row>
    <row r="455" spans="1:12" x14ac:dyDescent="0.3">
      <c r="A455" s="10">
        <v>45423</v>
      </c>
      <c r="B455" s="11">
        <v>45423.818241851855</v>
      </c>
      <c r="C455" s="12">
        <f t="shared" si="6"/>
        <v>19</v>
      </c>
      <c r="D455" s="12" t="s">
        <v>4</v>
      </c>
      <c r="E455" s="12" t="s">
        <v>179</v>
      </c>
      <c r="F455" s="13">
        <v>37.72</v>
      </c>
      <c r="G455" s="12" t="s">
        <v>13</v>
      </c>
      <c r="H455" s="12" t="str">
        <f t="shared" si="7"/>
        <v>Night</v>
      </c>
      <c r="I455" s="12" t="str">
        <f t="shared" si="8"/>
        <v>Sat</v>
      </c>
      <c r="J455" s="12" t="str">
        <f t="shared" si="9"/>
        <v>May</v>
      </c>
      <c r="K455" s="12">
        <f t="shared" si="10"/>
        <v>6</v>
      </c>
      <c r="L455" s="12">
        <f t="shared" si="11"/>
        <v>5</v>
      </c>
    </row>
    <row r="456" spans="1:12" x14ac:dyDescent="0.3">
      <c r="A456" s="6">
        <v>45424</v>
      </c>
      <c r="B456" s="7">
        <v>45424.431047592596</v>
      </c>
      <c r="C456" s="8">
        <f t="shared" si="6"/>
        <v>10</v>
      </c>
      <c r="D456" s="8" t="s">
        <v>4</v>
      </c>
      <c r="E456" s="8" t="s">
        <v>12</v>
      </c>
      <c r="F456" s="9">
        <v>37.72</v>
      </c>
      <c r="G456" s="8" t="s">
        <v>13</v>
      </c>
      <c r="H456" s="8" t="str">
        <f t="shared" si="7"/>
        <v>Morning</v>
      </c>
      <c r="I456" s="8" t="str">
        <f t="shared" si="8"/>
        <v>Sun</v>
      </c>
      <c r="J456" s="8" t="str">
        <f t="shared" si="9"/>
        <v>May</v>
      </c>
      <c r="K456" s="8">
        <f t="shared" si="10"/>
        <v>7</v>
      </c>
      <c r="L456" s="8">
        <f t="shared" si="11"/>
        <v>5</v>
      </c>
    </row>
    <row r="457" spans="1:12" x14ac:dyDescent="0.3">
      <c r="A457" s="10">
        <v>45424</v>
      </c>
      <c r="B457" s="11">
        <v>45424.558373437503</v>
      </c>
      <c r="C457" s="12">
        <f t="shared" si="6"/>
        <v>13</v>
      </c>
      <c r="D457" s="12" t="s">
        <v>4</v>
      </c>
      <c r="E457" s="12" t="s">
        <v>180</v>
      </c>
      <c r="F457" s="13">
        <v>37.72</v>
      </c>
      <c r="G457" s="12" t="s">
        <v>13</v>
      </c>
      <c r="H457" s="12" t="str">
        <f t="shared" si="7"/>
        <v>Afternoon</v>
      </c>
      <c r="I457" s="12" t="str">
        <f t="shared" si="8"/>
        <v>Sun</v>
      </c>
      <c r="J457" s="12" t="str">
        <f t="shared" si="9"/>
        <v>May</v>
      </c>
      <c r="K457" s="12">
        <f t="shared" si="10"/>
        <v>7</v>
      </c>
      <c r="L457" s="12">
        <f t="shared" si="11"/>
        <v>5</v>
      </c>
    </row>
    <row r="458" spans="1:12" x14ac:dyDescent="0.3">
      <c r="A458" s="6">
        <v>45424</v>
      </c>
      <c r="B458" s="7">
        <v>45424.560868553242</v>
      </c>
      <c r="C458" s="8">
        <f t="shared" si="6"/>
        <v>13</v>
      </c>
      <c r="D458" s="8" t="s">
        <v>4</v>
      </c>
      <c r="E458" s="8" t="s">
        <v>181</v>
      </c>
      <c r="F458" s="9">
        <v>27.92</v>
      </c>
      <c r="G458" s="8" t="s">
        <v>17</v>
      </c>
      <c r="H458" s="8" t="str">
        <f t="shared" si="7"/>
        <v>Afternoon</v>
      </c>
      <c r="I458" s="8" t="str">
        <f t="shared" si="8"/>
        <v>Sun</v>
      </c>
      <c r="J458" s="8" t="str">
        <f t="shared" si="9"/>
        <v>May</v>
      </c>
      <c r="K458" s="8">
        <f t="shared" si="10"/>
        <v>7</v>
      </c>
      <c r="L458" s="8">
        <f t="shared" si="11"/>
        <v>5</v>
      </c>
    </row>
    <row r="459" spans="1:12" x14ac:dyDescent="0.3">
      <c r="A459" s="10">
        <v>45424</v>
      </c>
      <c r="B459" s="11">
        <v>45424.63634045139</v>
      </c>
      <c r="C459" s="12">
        <f t="shared" si="6"/>
        <v>15</v>
      </c>
      <c r="D459" s="12" t="s">
        <v>4</v>
      </c>
      <c r="E459" s="12" t="s">
        <v>97</v>
      </c>
      <c r="F459" s="13">
        <v>37.72</v>
      </c>
      <c r="G459" s="12" t="s">
        <v>13</v>
      </c>
      <c r="H459" s="12" t="str">
        <f t="shared" si="7"/>
        <v>Afternoon</v>
      </c>
      <c r="I459" s="12" t="str">
        <f t="shared" si="8"/>
        <v>Sun</v>
      </c>
      <c r="J459" s="12" t="str">
        <f t="shared" si="9"/>
        <v>May</v>
      </c>
      <c r="K459" s="12">
        <f t="shared" si="10"/>
        <v>7</v>
      </c>
      <c r="L459" s="12">
        <f t="shared" si="11"/>
        <v>5</v>
      </c>
    </row>
    <row r="460" spans="1:12" x14ac:dyDescent="0.3">
      <c r="A460" s="6">
        <v>45424</v>
      </c>
      <c r="B460" s="7">
        <v>45424.651416921297</v>
      </c>
      <c r="C460" s="8">
        <f t="shared" si="6"/>
        <v>15</v>
      </c>
      <c r="D460" s="8" t="s">
        <v>4</v>
      </c>
      <c r="E460" s="8" t="s">
        <v>182</v>
      </c>
      <c r="F460" s="9">
        <v>32.82</v>
      </c>
      <c r="G460" s="8" t="s">
        <v>20</v>
      </c>
      <c r="H460" s="8" t="str">
        <f t="shared" si="7"/>
        <v>Afternoon</v>
      </c>
      <c r="I460" s="8" t="str">
        <f t="shared" si="8"/>
        <v>Sun</v>
      </c>
      <c r="J460" s="8" t="str">
        <f t="shared" si="9"/>
        <v>May</v>
      </c>
      <c r="K460" s="8">
        <f t="shared" si="10"/>
        <v>7</v>
      </c>
      <c r="L460" s="8">
        <f t="shared" si="11"/>
        <v>5</v>
      </c>
    </row>
    <row r="461" spans="1:12" x14ac:dyDescent="0.3">
      <c r="A461" s="10">
        <v>45424</v>
      </c>
      <c r="B461" s="11">
        <v>45424.661283229165</v>
      </c>
      <c r="C461" s="12">
        <f t="shared" si="6"/>
        <v>15</v>
      </c>
      <c r="D461" s="12" t="s">
        <v>4</v>
      </c>
      <c r="E461" s="12" t="s">
        <v>183</v>
      </c>
      <c r="F461" s="13">
        <v>32.82</v>
      </c>
      <c r="G461" s="12" t="s">
        <v>20</v>
      </c>
      <c r="H461" s="12" t="str">
        <f t="shared" si="7"/>
        <v>Afternoon</v>
      </c>
      <c r="I461" s="12" t="str">
        <f t="shared" si="8"/>
        <v>Sun</v>
      </c>
      <c r="J461" s="12" t="str">
        <f t="shared" si="9"/>
        <v>May</v>
      </c>
      <c r="K461" s="12">
        <f t="shared" si="10"/>
        <v>7</v>
      </c>
      <c r="L461" s="12">
        <f t="shared" si="11"/>
        <v>5</v>
      </c>
    </row>
    <row r="462" spans="1:12" x14ac:dyDescent="0.3">
      <c r="A462" s="6">
        <v>45424</v>
      </c>
      <c r="B462" s="7">
        <v>45424.66968903935</v>
      </c>
      <c r="C462" s="8">
        <f t="shared" si="6"/>
        <v>16</v>
      </c>
      <c r="D462" s="8" t="s">
        <v>4</v>
      </c>
      <c r="E462" s="8" t="s">
        <v>29</v>
      </c>
      <c r="F462" s="9">
        <v>32.82</v>
      </c>
      <c r="G462" s="8" t="s">
        <v>20</v>
      </c>
      <c r="H462" s="8" t="str">
        <f t="shared" si="7"/>
        <v>Afternoon</v>
      </c>
      <c r="I462" s="8" t="str">
        <f t="shared" si="8"/>
        <v>Sun</v>
      </c>
      <c r="J462" s="8" t="str">
        <f t="shared" si="9"/>
        <v>May</v>
      </c>
      <c r="K462" s="8">
        <f t="shared" si="10"/>
        <v>7</v>
      </c>
      <c r="L462" s="8">
        <f t="shared" si="11"/>
        <v>5</v>
      </c>
    </row>
    <row r="463" spans="1:12" x14ac:dyDescent="0.3">
      <c r="A463" s="10">
        <v>45424</v>
      </c>
      <c r="B463" s="11">
        <v>45424.820492696759</v>
      </c>
      <c r="C463" s="12">
        <f t="shared" si="6"/>
        <v>19</v>
      </c>
      <c r="D463" s="12" t="s">
        <v>4</v>
      </c>
      <c r="E463" s="12" t="s">
        <v>25</v>
      </c>
      <c r="F463" s="13">
        <v>32.82</v>
      </c>
      <c r="G463" s="12" t="s">
        <v>20</v>
      </c>
      <c r="H463" s="12" t="str">
        <f t="shared" si="7"/>
        <v>Night</v>
      </c>
      <c r="I463" s="12" t="str">
        <f t="shared" si="8"/>
        <v>Sun</v>
      </c>
      <c r="J463" s="12" t="str">
        <f t="shared" si="9"/>
        <v>May</v>
      </c>
      <c r="K463" s="12">
        <f t="shared" si="10"/>
        <v>7</v>
      </c>
      <c r="L463" s="12">
        <f t="shared" si="11"/>
        <v>5</v>
      </c>
    </row>
    <row r="464" spans="1:12" x14ac:dyDescent="0.3">
      <c r="A464" s="6">
        <v>45425</v>
      </c>
      <c r="B464" s="7">
        <v>45425.461034120373</v>
      </c>
      <c r="C464" s="8">
        <f t="shared" si="6"/>
        <v>11</v>
      </c>
      <c r="D464" s="8" t="s">
        <v>4</v>
      </c>
      <c r="E464" s="8" t="s">
        <v>184</v>
      </c>
      <c r="F464" s="9">
        <v>32.82</v>
      </c>
      <c r="G464" s="8" t="s">
        <v>20</v>
      </c>
      <c r="H464" s="8" t="str">
        <f t="shared" si="7"/>
        <v>Morning</v>
      </c>
      <c r="I464" s="8" t="str">
        <f t="shared" si="8"/>
        <v>Mon</v>
      </c>
      <c r="J464" s="8" t="str">
        <f t="shared" si="9"/>
        <v>May</v>
      </c>
      <c r="K464" s="8">
        <f t="shared" si="10"/>
        <v>1</v>
      </c>
      <c r="L464" s="8">
        <f t="shared" si="11"/>
        <v>5</v>
      </c>
    </row>
    <row r="465" spans="1:12" x14ac:dyDescent="0.3">
      <c r="A465" s="10">
        <v>45425</v>
      </c>
      <c r="B465" s="11">
        <v>45425.64665234954</v>
      </c>
      <c r="C465" s="12">
        <f t="shared" si="6"/>
        <v>15</v>
      </c>
      <c r="D465" s="12" t="s">
        <v>27</v>
      </c>
      <c r="E465" s="12"/>
      <c r="F465" s="13">
        <v>29</v>
      </c>
      <c r="G465" s="12" t="s">
        <v>17</v>
      </c>
      <c r="H465" s="12" t="str">
        <f t="shared" si="7"/>
        <v>Afternoon</v>
      </c>
      <c r="I465" s="12" t="str">
        <f t="shared" si="8"/>
        <v>Mon</v>
      </c>
      <c r="J465" s="12" t="str">
        <f t="shared" si="9"/>
        <v>May</v>
      </c>
      <c r="K465" s="12">
        <f t="shared" si="10"/>
        <v>1</v>
      </c>
      <c r="L465" s="12">
        <f t="shared" si="11"/>
        <v>5</v>
      </c>
    </row>
    <row r="466" spans="1:12" x14ac:dyDescent="0.3">
      <c r="A466" s="6">
        <v>45425</v>
      </c>
      <c r="B466" s="7">
        <v>45425.647116979169</v>
      </c>
      <c r="C466" s="8">
        <f t="shared" si="6"/>
        <v>15</v>
      </c>
      <c r="D466" s="8" t="s">
        <v>27</v>
      </c>
      <c r="E466" s="8"/>
      <c r="F466" s="9">
        <v>29</v>
      </c>
      <c r="G466" s="8" t="s">
        <v>17</v>
      </c>
      <c r="H466" s="8" t="str">
        <f t="shared" si="7"/>
        <v>Afternoon</v>
      </c>
      <c r="I466" s="8" t="str">
        <f t="shared" si="8"/>
        <v>Mon</v>
      </c>
      <c r="J466" s="8" t="str">
        <f t="shared" si="9"/>
        <v>May</v>
      </c>
      <c r="K466" s="8">
        <f t="shared" si="10"/>
        <v>1</v>
      </c>
      <c r="L466" s="8">
        <f t="shared" si="11"/>
        <v>5</v>
      </c>
    </row>
    <row r="467" spans="1:12" x14ac:dyDescent="0.3">
      <c r="A467" s="10">
        <v>45426</v>
      </c>
      <c r="B467" s="11">
        <v>45426.359890983797</v>
      </c>
      <c r="C467" s="12">
        <f t="shared" si="6"/>
        <v>8</v>
      </c>
      <c r="D467" s="12" t="s">
        <v>4</v>
      </c>
      <c r="E467" s="12" t="s">
        <v>29</v>
      </c>
      <c r="F467" s="13">
        <v>27.92</v>
      </c>
      <c r="G467" s="12" t="s">
        <v>17</v>
      </c>
      <c r="H467" s="12" t="str">
        <f t="shared" si="7"/>
        <v>Morning</v>
      </c>
      <c r="I467" s="12" t="str">
        <f t="shared" si="8"/>
        <v>Tue</v>
      </c>
      <c r="J467" s="12" t="str">
        <f t="shared" si="9"/>
        <v>May</v>
      </c>
      <c r="K467" s="12">
        <f t="shared" si="10"/>
        <v>2</v>
      </c>
      <c r="L467" s="12">
        <f t="shared" si="11"/>
        <v>5</v>
      </c>
    </row>
    <row r="468" spans="1:12" x14ac:dyDescent="0.3">
      <c r="A468" s="6">
        <v>45426</v>
      </c>
      <c r="B468" s="7">
        <v>45426.360711284724</v>
      </c>
      <c r="C468" s="8">
        <f t="shared" si="6"/>
        <v>8</v>
      </c>
      <c r="D468" s="8" t="s">
        <v>4</v>
      </c>
      <c r="E468" s="8" t="s">
        <v>29</v>
      </c>
      <c r="F468" s="9">
        <v>27.92</v>
      </c>
      <c r="G468" s="8" t="s">
        <v>17</v>
      </c>
      <c r="H468" s="8" t="str">
        <f t="shared" si="7"/>
        <v>Morning</v>
      </c>
      <c r="I468" s="8" t="str">
        <f t="shared" si="8"/>
        <v>Tue</v>
      </c>
      <c r="J468" s="8" t="str">
        <f t="shared" si="9"/>
        <v>May</v>
      </c>
      <c r="K468" s="8">
        <f t="shared" si="10"/>
        <v>2</v>
      </c>
      <c r="L468" s="8">
        <f t="shared" si="11"/>
        <v>5</v>
      </c>
    </row>
    <row r="469" spans="1:12" x14ac:dyDescent="0.3">
      <c r="A469" s="10">
        <v>45426</v>
      </c>
      <c r="B469" s="11">
        <v>45426.361313472225</v>
      </c>
      <c r="C469" s="12">
        <f t="shared" si="6"/>
        <v>8</v>
      </c>
      <c r="D469" s="12" t="s">
        <v>4</v>
      </c>
      <c r="E469" s="12" t="s">
        <v>29</v>
      </c>
      <c r="F469" s="13">
        <v>27.92</v>
      </c>
      <c r="G469" s="12" t="s">
        <v>17</v>
      </c>
      <c r="H469" s="12" t="str">
        <f t="shared" si="7"/>
        <v>Morning</v>
      </c>
      <c r="I469" s="12" t="str">
        <f t="shared" si="8"/>
        <v>Tue</v>
      </c>
      <c r="J469" s="12" t="str">
        <f t="shared" si="9"/>
        <v>May</v>
      </c>
      <c r="K469" s="12">
        <f t="shared" si="10"/>
        <v>2</v>
      </c>
      <c r="L469" s="12">
        <f t="shared" si="11"/>
        <v>5</v>
      </c>
    </row>
    <row r="470" spans="1:12" x14ac:dyDescent="0.3">
      <c r="A470" s="6">
        <v>45426</v>
      </c>
      <c r="B470" s="7">
        <v>45426.430129328706</v>
      </c>
      <c r="C470" s="8">
        <f t="shared" si="6"/>
        <v>10</v>
      </c>
      <c r="D470" s="8" t="s">
        <v>4</v>
      </c>
      <c r="E470" s="8" t="s">
        <v>29</v>
      </c>
      <c r="F470" s="9">
        <v>37.72</v>
      </c>
      <c r="G470" s="8" t="s">
        <v>49</v>
      </c>
      <c r="H470" s="8" t="str">
        <f t="shared" si="7"/>
        <v>Morning</v>
      </c>
      <c r="I470" s="8" t="str">
        <f t="shared" si="8"/>
        <v>Tue</v>
      </c>
      <c r="J470" s="8" t="str">
        <f t="shared" si="9"/>
        <v>May</v>
      </c>
      <c r="K470" s="8">
        <f t="shared" si="10"/>
        <v>2</v>
      </c>
      <c r="L470" s="8">
        <f t="shared" si="11"/>
        <v>5</v>
      </c>
    </row>
    <row r="471" spans="1:12" x14ac:dyDescent="0.3">
      <c r="A471" s="10">
        <v>45426</v>
      </c>
      <c r="B471" s="11">
        <v>45426.480895509259</v>
      </c>
      <c r="C471" s="12">
        <f t="shared" si="6"/>
        <v>11</v>
      </c>
      <c r="D471" s="12" t="s">
        <v>4</v>
      </c>
      <c r="E471" s="12" t="s">
        <v>185</v>
      </c>
      <c r="F471" s="13">
        <v>37.72</v>
      </c>
      <c r="G471" s="12" t="s">
        <v>13</v>
      </c>
      <c r="H471" s="12" t="str">
        <f t="shared" si="7"/>
        <v>Morning</v>
      </c>
      <c r="I471" s="12" t="str">
        <f t="shared" si="8"/>
        <v>Tue</v>
      </c>
      <c r="J471" s="12" t="str">
        <f t="shared" si="9"/>
        <v>May</v>
      </c>
      <c r="K471" s="12">
        <f t="shared" si="10"/>
        <v>2</v>
      </c>
      <c r="L471" s="12">
        <f t="shared" si="11"/>
        <v>5</v>
      </c>
    </row>
    <row r="472" spans="1:12" x14ac:dyDescent="0.3">
      <c r="A472" s="6">
        <v>45426</v>
      </c>
      <c r="B472" s="7">
        <v>45426.482093182873</v>
      </c>
      <c r="C472" s="8">
        <f t="shared" si="6"/>
        <v>11</v>
      </c>
      <c r="D472" s="8" t="s">
        <v>4</v>
      </c>
      <c r="E472" s="8" t="s">
        <v>185</v>
      </c>
      <c r="F472" s="9">
        <v>37.72</v>
      </c>
      <c r="G472" s="8" t="s">
        <v>49</v>
      </c>
      <c r="H472" s="8" t="str">
        <f t="shared" si="7"/>
        <v>Morning</v>
      </c>
      <c r="I472" s="8" t="str">
        <f t="shared" si="8"/>
        <v>Tue</v>
      </c>
      <c r="J472" s="8" t="str">
        <f t="shared" si="9"/>
        <v>May</v>
      </c>
      <c r="K472" s="8">
        <f t="shared" si="10"/>
        <v>2</v>
      </c>
      <c r="L472" s="8">
        <f t="shared" si="11"/>
        <v>5</v>
      </c>
    </row>
    <row r="473" spans="1:12" x14ac:dyDescent="0.3">
      <c r="A473" s="10">
        <v>45426</v>
      </c>
      <c r="B473" s="11">
        <v>45426.586742824074</v>
      </c>
      <c r="C473" s="12">
        <f t="shared" si="6"/>
        <v>14</v>
      </c>
      <c r="D473" s="12" t="s">
        <v>4</v>
      </c>
      <c r="E473" s="12" t="s">
        <v>44</v>
      </c>
      <c r="F473" s="13">
        <v>37.72</v>
      </c>
      <c r="G473" s="12" t="s">
        <v>49</v>
      </c>
      <c r="H473" s="12" t="str">
        <f t="shared" si="7"/>
        <v>Afternoon</v>
      </c>
      <c r="I473" s="12" t="str">
        <f t="shared" si="8"/>
        <v>Tue</v>
      </c>
      <c r="J473" s="12" t="str">
        <f t="shared" si="9"/>
        <v>May</v>
      </c>
      <c r="K473" s="12">
        <f t="shared" si="10"/>
        <v>2</v>
      </c>
      <c r="L473" s="12">
        <f t="shared" si="11"/>
        <v>5</v>
      </c>
    </row>
    <row r="474" spans="1:12" x14ac:dyDescent="0.3">
      <c r="A474" s="6">
        <v>45426</v>
      </c>
      <c r="B474" s="7">
        <v>45426.587504374998</v>
      </c>
      <c r="C474" s="8">
        <f t="shared" si="6"/>
        <v>14</v>
      </c>
      <c r="D474" s="8" t="s">
        <v>4</v>
      </c>
      <c r="E474" s="8" t="s">
        <v>25</v>
      </c>
      <c r="F474" s="9">
        <v>32.82</v>
      </c>
      <c r="G474" s="8" t="s">
        <v>20</v>
      </c>
      <c r="H474" s="8" t="str">
        <f t="shared" si="7"/>
        <v>Afternoon</v>
      </c>
      <c r="I474" s="8" t="str">
        <f t="shared" si="8"/>
        <v>Tue</v>
      </c>
      <c r="J474" s="8" t="str">
        <f t="shared" si="9"/>
        <v>May</v>
      </c>
      <c r="K474" s="8">
        <f t="shared" si="10"/>
        <v>2</v>
      </c>
      <c r="L474" s="8">
        <f t="shared" si="11"/>
        <v>5</v>
      </c>
    </row>
    <row r="475" spans="1:12" x14ac:dyDescent="0.3">
      <c r="A475" s="10">
        <v>45426</v>
      </c>
      <c r="B475" s="11">
        <v>45426.626328530096</v>
      </c>
      <c r="C475" s="12">
        <f t="shared" si="6"/>
        <v>15</v>
      </c>
      <c r="D475" s="12" t="s">
        <v>4</v>
      </c>
      <c r="E475" s="12" t="s">
        <v>60</v>
      </c>
      <c r="F475" s="13">
        <v>27.92</v>
      </c>
      <c r="G475" s="12" t="s">
        <v>17</v>
      </c>
      <c r="H475" s="12" t="str">
        <f t="shared" si="7"/>
        <v>Afternoon</v>
      </c>
      <c r="I475" s="12" t="str">
        <f t="shared" si="8"/>
        <v>Tue</v>
      </c>
      <c r="J475" s="12" t="str">
        <f t="shared" si="9"/>
        <v>May</v>
      </c>
      <c r="K475" s="12">
        <f t="shared" si="10"/>
        <v>2</v>
      </c>
      <c r="L475" s="12">
        <f t="shared" si="11"/>
        <v>5</v>
      </c>
    </row>
    <row r="476" spans="1:12" x14ac:dyDescent="0.3">
      <c r="A476" s="6">
        <v>45426</v>
      </c>
      <c r="B476" s="7">
        <v>45426.706912314818</v>
      </c>
      <c r="C476" s="8">
        <f t="shared" si="6"/>
        <v>16</v>
      </c>
      <c r="D476" s="8" t="s">
        <v>4</v>
      </c>
      <c r="E476" s="8" t="s">
        <v>186</v>
      </c>
      <c r="F476" s="9">
        <v>32.82</v>
      </c>
      <c r="G476" s="8" t="s">
        <v>20</v>
      </c>
      <c r="H476" s="8" t="str">
        <f t="shared" si="7"/>
        <v>Afternoon</v>
      </c>
      <c r="I476" s="8" t="str">
        <f t="shared" si="8"/>
        <v>Tue</v>
      </c>
      <c r="J476" s="8" t="str">
        <f t="shared" si="9"/>
        <v>May</v>
      </c>
      <c r="K476" s="8">
        <f t="shared" si="10"/>
        <v>2</v>
      </c>
      <c r="L476" s="8">
        <f t="shared" si="11"/>
        <v>5</v>
      </c>
    </row>
    <row r="477" spans="1:12" x14ac:dyDescent="0.3">
      <c r="A477" s="10">
        <v>45426</v>
      </c>
      <c r="B477" s="11">
        <v>45426.707756875003</v>
      </c>
      <c r="C477" s="12">
        <f t="shared" si="6"/>
        <v>16</v>
      </c>
      <c r="D477" s="12" t="s">
        <v>4</v>
      </c>
      <c r="E477" s="12" t="s">
        <v>186</v>
      </c>
      <c r="F477" s="13">
        <v>37.72</v>
      </c>
      <c r="G477" s="12" t="s">
        <v>49</v>
      </c>
      <c r="H477" s="12" t="str">
        <f t="shared" si="7"/>
        <v>Afternoon</v>
      </c>
      <c r="I477" s="12" t="str">
        <f t="shared" si="8"/>
        <v>Tue</v>
      </c>
      <c r="J477" s="12" t="str">
        <f t="shared" si="9"/>
        <v>May</v>
      </c>
      <c r="K477" s="12">
        <f t="shared" si="10"/>
        <v>2</v>
      </c>
      <c r="L477" s="12">
        <f t="shared" si="11"/>
        <v>5</v>
      </c>
    </row>
    <row r="478" spans="1:12" x14ac:dyDescent="0.3">
      <c r="A478" s="6">
        <v>45426</v>
      </c>
      <c r="B478" s="7">
        <v>45426.952375312503</v>
      </c>
      <c r="C478" s="8">
        <f t="shared" si="6"/>
        <v>22</v>
      </c>
      <c r="D478" s="8" t="s">
        <v>4</v>
      </c>
      <c r="E478" s="8" t="s">
        <v>187</v>
      </c>
      <c r="F478" s="9">
        <v>37.72</v>
      </c>
      <c r="G478" s="8" t="s">
        <v>15</v>
      </c>
      <c r="H478" s="8" t="str">
        <f t="shared" si="7"/>
        <v>Night</v>
      </c>
      <c r="I478" s="8" t="str">
        <f t="shared" si="8"/>
        <v>Tue</v>
      </c>
      <c r="J478" s="8" t="str">
        <f t="shared" si="9"/>
        <v>May</v>
      </c>
      <c r="K478" s="8">
        <f t="shared" si="10"/>
        <v>2</v>
      </c>
      <c r="L478" s="8">
        <f t="shared" si="11"/>
        <v>5</v>
      </c>
    </row>
    <row r="479" spans="1:12" x14ac:dyDescent="0.3">
      <c r="A479" s="10">
        <v>45427</v>
      </c>
      <c r="B479" s="11">
        <v>45427.361176631945</v>
      </c>
      <c r="C479" s="12">
        <f t="shared" si="6"/>
        <v>8</v>
      </c>
      <c r="D479" s="12" t="s">
        <v>4</v>
      </c>
      <c r="E479" s="12" t="s">
        <v>188</v>
      </c>
      <c r="F479" s="13">
        <v>37.72</v>
      </c>
      <c r="G479" s="12" t="s">
        <v>13</v>
      </c>
      <c r="H479" s="12" t="str">
        <f t="shared" si="7"/>
        <v>Morning</v>
      </c>
      <c r="I479" s="12" t="str">
        <f t="shared" si="8"/>
        <v>Wed</v>
      </c>
      <c r="J479" s="12" t="str">
        <f t="shared" si="9"/>
        <v>May</v>
      </c>
      <c r="K479" s="12">
        <f t="shared" si="10"/>
        <v>3</v>
      </c>
      <c r="L479" s="12">
        <f t="shared" si="11"/>
        <v>5</v>
      </c>
    </row>
    <row r="480" spans="1:12" x14ac:dyDescent="0.3">
      <c r="A480" s="6">
        <v>45427</v>
      </c>
      <c r="B480" s="7">
        <v>45427.468279548608</v>
      </c>
      <c r="C480" s="8">
        <f t="shared" si="6"/>
        <v>11</v>
      </c>
      <c r="D480" s="8" t="s">
        <v>4</v>
      </c>
      <c r="E480" s="8" t="s">
        <v>29</v>
      </c>
      <c r="F480" s="9">
        <v>23.02</v>
      </c>
      <c r="G480" s="8" t="s">
        <v>41</v>
      </c>
      <c r="H480" s="8" t="str">
        <f t="shared" si="7"/>
        <v>Morning</v>
      </c>
      <c r="I480" s="8" t="str">
        <f t="shared" si="8"/>
        <v>Wed</v>
      </c>
      <c r="J480" s="8" t="str">
        <f t="shared" si="9"/>
        <v>May</v>
      </c>
      <c r="K480" s="8">
        <f t="shared" si="10"/>
        <v>3</v>
      </c>
      <c r="L480" s="8">
        <f t="shared" si="11"/>
        <v>5</v>
      </c>
    </row>
    <row r="481" spans="1:12" x14ac:dyDescent="0.3">
      <c r="A481" s="10">
        <v>45427</v>
      </c>
      <c r="B481" s="11">
        <v>45427.47164408565</v>
      </c>
      <c r="C481" s="12">
        <f t="shared" si="6"/>
        <v>11</v>
      </c>
      <c r="D481" s="12" t="s">
        <v>4</v>
      </c>
      <c r="E481" s="12" t="s">
        <v>29</v>
      </c>
      <c r="F481" s="13">
        <v>27.92</v>
      </c>
      <c r="G481" s="12" t="s">
        <v>17</v>
      </c>
      <c r="H481" s="12" t="str">
        <f t="shared" si="7"/>
        <v>Morning</v>
      </c>
      <c r="I481" s="12" t="str">
        <f t="shared" si="8"/>
        <v>Wed</v>
      </c>
      <c r="J481" s="12" t="str">
        <f t="shared" si="9"/>
        <v>May</v>
      </c>
      <c r="K481" s="12">
        <f t="shared" si="10"/>
        <v>3</v>
      </c>
      <c r="L481" s="12">
        <f t="shared" si="11"/>
        <v>5</v>
      </c>
    </row>
    <row r="482" spans="1:12" x14ac:dyDescent="0.3">
      <c r="A482" s="6">
        <v>45427</v>
      </c>
      <c r="B482" s="7">
        <v>45427.565684050925</v>
      </c>
      <c r="C482" s="8">
        <f t="shared" si="6"/>
        <v>13</v>
      </c>
      <c r="D482" s="8" t="s">
        <v>4</v>
      </c>
      <c r="E482" s="8" t="s">
        <v>16</v>
      </c>
      <c r="F482" s="9">
        <v>27.92</v>
      </c>
      <c r="G482" s="8" t="s">
        <v>17</v>
      </c>
      <c r="H482" s="8" t="str">
        <f t="shared" si="7"/>
        <v>Afternoon</v>
      </c>
      <c r="I482" s="8" t="str">
        <f t="shared" si="8"/>
        <v>Wed</v>
      </c>
      <c r="J482" s="8" t="str">
        <f t="shared" si="9"/>
        <v>May</v>
      </c>
      <c r="K482" s="8">
        <f t="shared" si="10"/>
        <v>3</v>
      </c>
      <c r="L482" s="8">
        <f t="shared" si="11"/>
        <v>5</v>
      </c>
    </row>
    <row r="483" spans="1:12" x14ac:dyDescent="0.3">
      <c r="A483" s="10">
        <v>45427</v>
      </c>
      <c r="B483" s="11">
        <v>45427.566309849535</v>
      </c>
      <c r="C483" s="12">
        <f t="shared" si="6"/>
        <v>13</v>
      </c>
      <c r="D483" s="12" t="s">
        <v>4</v>
      </c>
      <c r="E483" s="12" t="s">
        <v>16</v>
      </c>
      <c r="F483" s="13">
        <v>27.92</v>
      </c>
      <c r="G483" s="12" t="s">
        <v>17</v>
      </c>
      <c r="H483" s="12" t="str">
        <f t="shared" si="7"/>
        <v>Afternoon</v>
      </c>
      <c r="I483" s="12" t="str">
        <f t="shared" si="8"/>
        <v>Wed</v>
      </c>
      <c r="J483" s="12" t="str">
        <f t="shared" si="9"/>
        <v>May</v>
      </c>
      <c r="K483" s="12">
        <f t="shared" si="10"/>
        <v>3</v>
      </c>
      <c r="L483" s="12">
        <f t="shared" si="11"/>
        <v>5</v>
      </c>
    </row>
    <row r="484" spans="1:12" x14ac:dyDescent="0.3">
      <c r="A484" s="6">
        <v>45427</v>
      </c>
      <c r="B484" s="7">
        <v>45427.566983090277</v>
      </c>
      <c r="C484" s="8">
        <f t="shared" si="6"/>
        <v>13</v>
      </c>
      <c r="D484" s="8" t="s">
        <v>4</v>
      </c>
      <c r="E484" s="8" t="s">
        <v>16</v>
      </c>
      <c r="F484" s="9">
        <v>27.92</v>
      </c>
      <c r="G484" s="8" t="s">
        <v>17</v>
      </c>
      <c r="H484" s="8" t="str">
        <f t="shared" si="7"/>
        <v>Afternoon</v>
      </c>
      <c r="I484" s="8" t="str">
        <f t="shared" si="8"/>
        <v>Wed</v>
      </c>
      <c r="J484" s="8" t="str">
        <f t="shared" si="9"/>
        <v>May</v>
      </c>
      <c r="K484" s="8">
        <f t="shared" si="10"/>
        <v>3</v>
      </c>
      <c r="L484" s="8">
        <f t="shared" si="11"/>
        <v>5</v>
      </c>
    </row>
    <row r="485" spans="1:12" x14ac:dyDescent="0.3">
      <c r="A485" s="10">
        <v>45427</v>
      </c>
      <c r="B485" s="11">
        <v>45427.580196747687</v>
      </c>
      <c r="C485" s="12">
        <f t="shared" si="6"/>
        <v>13</v>
      </c>
      <c r="D485" s="12" t="s">
        <v>4</v>
      </c>
      <c r="E485" s="12" t="s">
        <v>184</v>
      </c>
      <c r="F485" s="13">
        <v>32.82</v>
      </c>
      <c r="G485" s="12" t="s">
        <v>20</v>
      </c>
      <c r="H485" s="12" t="str">
        <f t="shared" si="7"/>
        <v>Afternoon</v>
      </c>
      <c r="I485" s="12" t="str">
        <f t="shared" si="8"/>
        <v>Wed</v>
      </c>
      <c r="J485" s="12" t="str">
        <f t="shared" si="9"/>
        <v>May</v>
      </c>
      <c r="K485" s="12">
        <f t="shared" si="10"/>
        <v>3</v>
      </c>
      <c r="L485" s="12">
        <f t="shared" si="11"/>
        <v>5</v>
      </c>
    </row>
    <row r="486" spans="1:12" x14ac:dyDescent="0.3">
      <c r="A486" s="6">
        <v>45427</v>
      </c>
      <c r="B486" s="7">
        <v>45427.609847766202</v>
      </c>
      <c r="C486" s="8">
        <f t="shared" si="6"/>
        <v>14</v>
      </c>
      <c r="D486" s="8" t="s">
        <v>27</v>
      </c>
      <c r="E486" s="8"/>
      <c r="F486" s="9">
        <v>29</v>
      </c>
      <c r="G486" s="8" t="s">
        <v>17</v>
      </c>
      <c r="H486" s="8" t="str">
        <f t="shared" si="7"/>
        <v>Afternoon</v>
      </c>
      <c r="I486" s="8" t="str">
        <f t="shared" si="8"/>
        <v>Wed</v>
      </c>
      <c r="J486" s="8" t="str">
        <f t="shared" si="9"/>
        <v>May</v>
      </c>
      <c r="K486" s="8">
        <f t="shared" si="10"/>
        <v>3</v>
      </c>
      <c r="L486" s="8">
        <f t="shared" si="11"/>
        <v>5</v>
      </c>
    </row>
    <row r="487" spans="1:12" x14ac:dyDescent="0.3">
      <c r="A487" s="10">
        <v>45427</v>
      </c>
      <c r="B487" s="11">
        <v>45427.610328090275</v>
      </c>
      <c r="C487" s="12">
        <f t="shared" si="6"/>
        <v>14</v>
      </c>
      <c r="D487" s="12" t="s">
        <v>4</v>
      </c>
      <c r="E487" s="12" t="s">
        <v>189</v>
      </c>
      <c r="F487" s="13">
        <v>27.92</v>
      </c>
      <c r="G487" s="12" t="s">
        <v>34</v>
      </c>
      <c r="H487" s="12" t="str">
        <f t="shared" si="7"/>
        <v>Afternoon</v>
      </c>
      <c r="I487" s="12" t="str">
        <f t="shared" si="8"/>
        <v>Wed</v>
      </c>
      <c r="J487" s="12" t="str">
        <f t="shared" si="9"/>
        <v>May</v>
      </c>
      <c r="K487" s="12">
        <f t="shared" si="10"/>
        <v>3</v>
      </c>
      <c r="L487" s="12">
        <f t="shared" si="11"/>
        <v>5</v>
      </c>
    </row>
    <row r="488" spans="1:12" x14ac:dyDescent="0.3">
      <c r="A488" s="6">
        <v>45427</v>
      </c>
      <c r="B488" s="7">
        <v>45427.610930173614</v>
      </c>
      <c r="C488" s="8">
        <f t="shared" si="6"/>
        <v>14</v>
      </c>
      <c r="D488" s="8" t="s">
        <v>4</v>
      </c>
      <c r="E488" s="8" t="s">
        <v>29</v>
      </c>
      <c r="F488" s="9">
        <v>27.92</v>
      </c>
      <c r="G488" s="8" t="s">
        <v>34</v>
      </c>
      <c r="H488" s="8" t="str">
        <f t="shared" si="7"/>
        <v>Afternoon</v>
      </c>
      <c r="I488" s="8" t="str">
        <f t="shared" si="8"/>
        <v>Wed</v>
      </c>
      <c r="J488" s="8" t="str">
        <f t="shared" si="9"/>
        <v>May</v>
      </c>
      <c r="K488" s="8">
        <f t="shared" si="10"/>
        <v>3</v>
      </c>
      <c r="L488" s="8">
        <f t="shared" si="11"/>
        <v>5</v>
      </c>
    </row>
    <row r="489" spans="1:12" x14ac:dyDescent="0.3">
      <c r="A489" s="10">
        <v>45427</v>
      </c>
      <c r="B489" s="11">
        <v>45427.728456249999</v>
      </c>
      <c r="C489" s="12">
        <f t="shared" si="6"/>
        <v>17</v>
      </c>
      <c r="D489" s="12" t="s">
        <v>4</v>
      </c>
      <c r="E489" s="12" t="s">
        <v>190</v>
      </c>
      <c r="F489" s="13">
        <v>23.02</v>
      </c>
      <c r="G489" s="12" t="s">
        <v>41</v>
      </c>
      <c r="H489" s="12" t="str">
        <f t="shared" si="7"/>
        <v>Night</v>
      </c>
      <c r="I489" s="12" t="str">
        <f t="shared" si="8"/>
        <v>Wed</v>
      </c>
      <c r="J489" s="12" t="str">
        <f t="shared" si="9"/>
        <v>May</v>
      </c>
      <c r="K489" s="12">
        <f t="shared" si="10"/>
        <v>3</v>
      </c>
      <c r="L489" s="12">
        <f t="shared" si="11"/>
        <v>5</v>
      </c>
    </row>
    <row r="490" spans="1:12" x14ac:dyDescent="0.3">
      <c r="A490" s="6">
        <v>45427</v>
      </c>
      <c r="B490" s="7">
        <v>45427.847624641203</v>
      </c>
      <c r="C490" s="8">
        <f t="shared" si="6"/>
        <v>20</v>
      </c>
      <c r="D490" s="8" t="s">
        <v>4</v>
      </c>
      <c r="E490" s="8" t="s">
        <v>191</v>
      </c>
      <c r="F490" s="9">
        <v>37.72</v>
      </c>
      <c r="G490" s="8" t="s">
        <v>49</v>
      </c>
      <c r="H490" s="8" t="str">
        <f t="shared" si="7"/>
        <v>Night</v>
      </c>
      <c r="I490" s="8" t="str">
        <f t="shared" si="8"/>
        <v>Wed</v>
      </c>
      <c r="J490" s="8" t="str">
        <f t="shared" si="9"/>
        <v>May</v>
      </c>
      <c r="K490" s="8">
        <f t="shared" si="10"/>
        <v>3</v>
      </c>
      <c r="L490" s="8">
        <f t="shared" si="11"/>
        <v>5</v>
      </c>
    </row>
    <row r="491" spans="1:12" x14ac:dyDescent="0.3">
      <c r="A491" s="10">
        <v>45428</v>
      </c>
      <c r="B491" s="11">
        <v>45428.443546967595</v>
      </c>
      <c r="C491" s="12">
        <f t="shared" si="6"/>
        <v>10</v>
      </c>
      <c r="D491" s="12" t="s">
        <v>4</v>
      </c>
      <c r="E491" s="12" t="s">
        <v>117</v>
      </c>
      <c r="F491" s="13">
        <v>32.82</v>
      </c>
      <c r="G491" s="12" t="s">
        <v>20</v>
      </c>
      <c r="H491" s="12" t="str">
        <f t="shared" si="7"/>
        <v>Morning</v>
      </c>
      <c r="I491" s="12" t="str">
        <f t="shared" si="8"/>
        <v>Thu</v>
      </c>
      <c r="J491" s="12" t="str">
        <f t="shared" si="9"/>
        <v>May</v>
      </c>
      <c r="K491" s="12">
        <f t="shared" si="10"/>
        <v>4</v>
      </c>
      <c r="L491" s="12">
        <f t="shared" si="11"/>
        <v>5</v>
      </c>
    </row>
    <row r="492" spans="1:12" x14ac:dyDescent="0.3">
      <c r="A492" s="6">
        <v>45428</v>
      </c>
      <c r="B492" s="7">
        <v>45428.444322118055</v>
      </c>
      <c r="C492" s="8">
        <f t="shared" si="6"/>
        <v>10</v>
      </c>
      <c r="D492" s="8" t="s">
        <v>4</v>
      </c>
      <c r="E492" s="8" t="s">
        <v>192</v>
      </c>
      <c r="F492" s="9">
        <v>32.82</v>
      </c>
      <c r="G492" s="8" t="s">
        <v>20</v>
      </c>
      <c r="H492" s="8" t="str">
        <f t="shared" si="7"/>
        <v>Morning</v>
      </c>
      <c r="I492" s="8" t="str">
        <f t="shared" si="8"/>
        <v>Thu</v>
      </c>
      <c r="J492" s="8" t="str">
        <f t="shared" si="9"/>
        <v>May</v>
      </c>
      <c r="K492" s="8">
        <f t="shared" si="10"/>
        <v>4</v>
      </c>
      <c r="L492" s="8">
        <f t="shared" si="11"/>
        <v>5</v>
      </c>
    </row>
    <row r="493" spans="1:12" x14ac:dyDescent="0.3">
      <c r="A493" s="10">
        <v>45428</v>
      </c>
      <c r="B493" s="11">
        <v>45428.488082002317</v>
      </c>
      <c r="C493" s="12">
        <f t="shared" si="6"/>
        <v>11</v>
      </c>
      <c r="D493" s="12" t="s">
        <v>27</v>
      </c>
      <c r="E493" s="12"/>
      <c r="F493" s="13">
        <v>39</v>
      </c>
      <c r="G493" s="12" t="s">
        <v>13</v>
      </c>
      <c r="H493" s="12" t="str">
        <f t="shared" si="7"/>
        <v>Morning</v>
      </c>
      <c r="I493" s="12" t="str">
        <f t="shared" si="8"/>
        <v>Thu</v>
      </c>
      <c r="J493" s="12" t="str">
        <f t="shared" si="9"/>
        <v>May</v>
      </c>
      <c r="K493" s="12">
        <f t="shared" si="10"/>
        <v>4</v>
      </c>
      <c r="L493" s="12">
        <f t="shared" si="11"/>
        <v>5</v>
      </c>
    </row>
    <row r="494" spans="1:12" x14ac:dyDescent="0.3">
      <c r="A494" s="6">
        <v>45428</v>
      </c>
      <c r="B494" s="7">
        <v>45428.489129756941</v>
      </c>
      <c r="C494" s="8">
        <f t="shared" si="6"/>
        <v>11</v>
      </c>
      <c r="D494" s="8" t="s">
        <v>27</v>
      </c>
      <c r="E494" s="8"/>
      <c r="F494" s="9">
        <v>39</v>
      </c>
      <c r="G494" s="8" t="s">
        <v>49</v>
      </c>
      <c r="H494" s="8" t="str">
        <f t="shared" si="7"/>
        <v>Morning</v>
      </c>
      <c r="I494" s="8" t="str">
        <f t="shared" si="8"/>
        <v>Thu</v>
      </c>
      <c r="J494" s="8" t="str">
        <f t="shared" si="9"/>
        <v>May</v>
      </c>
      <c r="K494" s="8">
        <f t="shared" si="10"/>
        <v>4</v>
      </c>
      <c r="L494" s="8">
        <f t="shared" si="11"/>
        <v>5</v>
      </c>
    </row>
    <row r="495" spans="1:12" x14ac:dyDescent="0.3">
      <c r="A495" s="10">
        <v>45428</v>
      </c>
      <c r="B495" s="11">
        <v>45428.509723344905</v>
      </c>
      <c r="C495" s="12">
        <f t="shared" si="6"/>
        <v>12</v>
      </c>
      <c r="D495" s="12" t="s">
        <v>4</v>
      </c>
      <c r="E495" s="12" t="s">
        <v>193</v>
      </c>
      <c r="F495" s="13">
        <v>32.82</v>
      </c>
      <c r="G495" s="12" t="s">
        <v>20</v>
      </c>
      <c r="H495" s="12" t="str">
        <f t="shared" si="7"/>
        <v>Afternoon</v>
      </c>
      <c r="I495" s="12" t="str">
        <f t="shared" si="8"/>
        <v>Thu</v>
      </c>
      <c r="J495" s="12" t="str">
        <f t="shared" si="9"/>
        <v>May</v>
      </c>
      <c r="K495" s="12">
        <f t="shared" si="10"/>
        <v>4</v>
      </c>
      <c r="L495" s="12">
        <f t="shared" si="11"/>
        <v>5</v>
      </c>
    </row>
    <row r="496" spans="1:12" x14ac:dyDescent="0.3">
      <c r="A496" s="6">
        <v>45428</v>
      </c>
      <c r="B496" s="7">
        <v>45428.635605497686</v>
      </c>
      <c r="C496" s="8">
        <f t="shared" si="6"/>
        <v>15</v>
      </c>
      <c r="D496" s="8" t="s">
        <v>4</v>
      </c>
      <c r="E496" s="8" t="s">
        <v>194</v>
      </c>
      <c r="F496" s="9">
        <v>37.72</v>
      </c>
      <c r="G496" s="8" t="s">
        <v>15</v>
      </c>
      <c r="H496" s="8" t="str">
        <f t="shared" si="7"/>
        <v>Afternoon</v>
      </c>
      <c r="I496" s="8" t="str">
        <f t="shared" si="8"/>
        <v>Thu</v>
      </c>
      <c r="J496" s="8" t="str">
        <f t="shared" si="9"/>
        <v>May</v>
      </c>
      <c r="K496" s="8">
        <f t="shared" si="10"/>
        <v>4</v>
      </c>
      <c r="L496" s="8">
        <f t="shared" si="11"/>
        <v>5</v>
      </c>
    </row>
    <row r="497" spans="1:12" x14ac:dyDescent="0.3">
      <c r="A497" s="10">
        <v>45428</v>
      </c>
      <c r="B497" s="11">
        <v>45428.73925402778</v>
      </c>
      <c r="C497" s="12">
        <f t="shared" si="6"/>
        <v>17</v>
      </c>
      <c r="D497" s="12" t="s">
        <v>4</v>
      </c>
      <c r="E497" s="12" t="s">
        <v>89</v>
      </c>
      <c r="F497" s="13">
        <v>37.72</v>
      </c>
      <c r="G497" s="12" t="s">
        <v>13</v>
      </c>
      <c r="H497" s="12" t="str">
        <f t="shared" si="7"/>
        <v>Night</v>
      </c>
      <c r="I497" s="12" t="str">
        <f t="shared" si="8"/>
        <v>Thu</v>
      </c>
      <c r="J497" s="12" t="str">
        <f t="shared" si="9"/>
        <v>May</v>
      </c>
      <c r="K497" s="12">
        <f t="shared" si="10"/>
        <v>4</v>
      </c>
      <c r="L497" s="12">
        <f t="shared" si="11"/>
        <v>5</v>
      </c>
    </row>
    <row r="498" spans="1:12" x14ac:dyDescent="0.3">
      <c r="A498" s="6">
        <v>45428</v>
      </c>
      <c r="B498" s="7">
        <v>45428.758992291667</v>
      </c>
      <c r="C498" s="8">
        <f t="shared" si="6"/>
        <v>18</v>
      </c>
      <c r="D498" s="8" t="s">
        <v>4</v>
      </c>
      <c r="E498" s="8" t="s">
        <v>195</v>
      </c>
      <c r="F498" s="9">
        <v>37.72</v>
      </c>
      <c r="G498" s="8" t="s">
        <v>15</v>
      </c>
      <c r="H498" s="8" t="str">
        <f t="shared" si="7"/>
        <v>Night</v>
      </c>
      <c r="I498" s="8" t="str">
        <f t="shared" si="8"/>
        <v>Thu</v>
      </c>
      <c r="J498" s="8" t="str">
        <f t="shared" si="9"/>
        <v>May</v>
      </c>
      <c r="K498" s="8">
        <f t="shared" si="10"/>
        <v>4</v>
      </c>
      <c r="L498" s="8">
        <f t="shared" si="11"/>
        <v>5</v>
      </c>
    </row>
    <row r="499" spans="1:12" x14ac:dyDescent="0.3">
      <c r="A499" s="10">
        <v>45428</v>
      </c>
      <c r="B499" s="11">
        <v>45428.759701284725</v>
      </c>
      <c r="C499" s="12">
        <f t="shared" si="6"/>
        <v>18</v>
      </c>
      <c r="D499" s="12" t="s">
        <v>4</v>
      </c>
      <c r="E499" s="12" t="s">
        <v>195</v>
      </c>
      <c r="F499" s="13">
        <v>37.72</v>
      </c>
      <c r="G499" s="12" t="s">
        <v>13</v>
      </c>
      <c r="H499" s="12" t="str">
        <f t="shared" si="7"/>
        <v>Night</v>
      </c>
      <c r="I499" s="12" t="str">
        <f t="shared" si="8"/>
        <v>Thu</v>
      </c>
      <c r="J499" s="12" t="str">
        <f t="shared" si="9"/>
        <v>May</v>
      </c>
      <c r="K499" s="12">
        <f t="shared" si="10"/>
        <v>4</v>
      </c>
      <c r="L499" s="12">
        <f t="shared" si="11"/>
        <v>5</v>
      </c>
    </row>
    <row r="500" spans="1:12" x14ac:dyDescent="0.3">
      <c r="A500" s="6">
        <v>45429</v>
      </c>
      <c r="B500" s="7">
        <v>45429.37556083333</v>
      </c>
      <c r="C500" s="8">
        <f t="shared" si="6"/>
        <v>9</v>
      </c>
      <c r="D500" s="8" t="s">
        <v>4</v>
      </c>
      <c r="E500" s="8" t="s">
        <v>53</v>
      </c>
      <c r="F500" s="9">
        <v>27.92</v>
      </c>
      <c r="G500" s="8" t="s">
        <v>17</v>
      </c>
      <c r="H500" s="8" t="str">
        <f t="shared" si="7"/>
        <v>Morning</v>
      </c>
      <c r="I500" s="8" t="str">
        <f t="shared" si="8"/>
        <v>Fri</v>
      </c>
      <c r="J500" s="8" t="str">
        <f t="shared" si="9"/>
        <v>May</v>
      </c>
      <c r="K500" s="8">
        <f t="shared" si="10"/>
        <v>5</v>
      </c>
      <c r="L500" s="8">
        <f t="shared" si="11"/>
        <v>5</v>
      </c>
    </row>
    <row r="501" spans="1:12" x14ac:dyDescent="0.3">
      <c r="A501" s="10">
        <v>45429</v>
      </c>
      <c r="B501" s="11">
        <v>45429.479485567128</v>
      </c>
      <c r="C501" s="12">
        <f t="shared" si="6"/>
        <v>11</v>
      </c>
      <c r="D501" s="12" t="s">
        <v>4</v>
      </c>
      <c r="E501" s="12" t="s">
        <v>184</v>
      </c>
      <c r="F501" s="13">
        <v>32.82</v>
      </c>
      <c r="G501" s="12" t="s">
        <v>20</v>
      </c>
      <c r="H501" s="12" t="str">
        <f t="shared" si="7"/>
        <v>Morning</v>
      </c>
      <c r="I501" s="12" t="str">
        <f t="shared" si="8"/>
        <v>Fri</v>
      </c>
      <c r="J501" s="12" t="str">
        <f t="shared" si="9"/>
        <v>May</v>
      </c>
      <c r="K501" s="12">
        <f t="shared" si="10"/>
        <v>5</v>
      </c>
      <c r="L501" s="12">
        <f t="shared" si="11"/>
        <v>5</v>
      </c>
    </row>
    <row r="502" spans="1:12" x14ac:dyDescent="0.3">
      <c r="A502" s="6">
        <v>45429</v>
      </c>
      <c r="B502" s="7">
        <v>45429.623646527776</v>
      </c>
      <c r="C502" s="8">
        <f t="shared" si="6"/>
        <v>14</v>
      </c>
      <c r="D502" s="8" t="s">
        <v>27</v>
      </c>
      <c r="E502" s="8"/>
      <c r="F502" s="9">
        <v>34</v>
      </c>
      <c r="G502" s="8" t="s">
        <v>20</v>
      </c>
      <c r="H502" s="8" t="str">
        <f t="shared" si="7"/>
        <v>Afternoon</v>
      </c>
      <c r="I502" s="8" t="str">
        <f t="shared" si="8"/>
        <v>Fri</v>
      </c>
      <c r="J502" s="8" t="str">
        <f t="shared" si="9"/>
        <v>May</v>
      </c>
      <c r="K502" s="8">
        <f t="shared" si="10"/>
        <v>5</v>
      </c>
      <c r="L502" s="8">
        <f t="shared" si="11"/>
        <v>5</v>
      </c>
    </row>
    <row r="503" spans="1:12" x14ac:dyDescent="0.3">
      <c r="A503" s="10">
        <v>45429</v>
      </c>
      <c r="B503" s="11">
        <v>45429.830075625003</v>
      </c>
      <c r="C503" s="12">
        <f t="shared" si="6"/>
        <v>19</v>
      </c>
      <c r="D503" s="12" t="s">
        <v>4</v>
      </c>
      <c r="E503" s="12" t="s">
        <v>29</v>
      </c>
      <c r="F503" s="13">
        <v>32.82</v>
      </c>
      <c r="G503" s="12" t="s">
        <v>20</v>
      </c>
      <c r="H503" s="12" t="str">
        <f t="shared" si="7"/>
        <v>Night</v>
      </c>
      <c r="I503" s="12" t="str">
        <f t="shared" si="8"/>
        <v>Fri</v>
      </c>
      <c r="J503" s="12" t="str">
        <f t="shared" si="9"/>
        <v>May</v>
      </c>
      <c r="K503" s="12">
        <f t="shared" si="10"/>
        <v>5</v>
      </c>
      <c r="L503" s="12">
        <f t="shared" si="11"/>
        <v>5</v>
      </c>
    </row>
    <row r="504" spans="1:12" x14ac:dyDescent="0.3">
      <c r="A504" s="6">
        <v>45429</v>
      </c>
      <c r="B504" s="7">
        <v>45429.831096655093</v>
      </c>
      <c r="C504" s="8">
        <f t="shared" si="6"/>
        <v>19</v>
      </c>
      <c r="D504" s="8" t="s">
        <v>4</v>
      </c>
      <c r="E504" s="8" t="s">
        <v>25</v>
      </c>
      <c r="F504" s="9">
        <v>37.72</v>
      </c>
      <c r="G504" s="8" t="s">
        <v>49</v>
      </c>
      <c r="H504" s="8" t="str">
        <f t="shared" si="7"/>
        <v>Night</v>
      </c>
      <c r="I504" s="8" t="str">
        <f t="shared" si="8"/>
        <v>Fri</v>
      </c>
      <c r="J504" s="8" t="str">
        <f t="shared" si="9"/>
        <v>May</v>
      </c>
      <c r="K504" s="8">
        <f t="shared" si="10"/>
        <v>5</v>
      </c>
      <c r="L504" s="8">
        <f t="shared" si="11"/>
        <v>5</v>
      </c>
    </row>
    <row r="505" spans="1:12" x14ac:dyDescent="0.3">
      <c r="A505" s="10">
        <v>45429</v>
      </c>
      <c r="B505" s="11">
        <v>45429.859640393515</v>
      </c>
      <c r="C505" s="12">
        <f t="shared" si="6"/>
        <v>20</v>
      </c>
      <c r="D505" s="12" t="s">
        <v>4</v>
      </c>
      <c r="E505" s="12" t="s">
        <v>196</v>
      </c>
      <c r="F505" s="13">
        <v>37.72</v>
      </c>
      <c r="G505" s="12" t="s">
        <v>49</v>
      </c>
      <c r="H505" s="12" t="str">
        <f t="shared" si="7"/>
        <v>Night</v>
      </c>
      <c r="I505" s="12" t="str">
        <f t="shared" si="8"/>
        <v>Fri</v>
      </c>
      <c r="J505" s="12" t="str">
        <f t="shared" si="9"/>
        <v>May</v>
      </c>
      <c r="K505" s="12">
        <f t="shared" si="10"/>
        <v>5</v>
      </c>
      <c r="L505" s="12">
        <f t="shared" si="11"/>
        <v>5</v>
      </c>
    </row>
    <row r="506" spans="1:12" x14ac:dyDescent="0.3">
      <c r="A506" s="6">
        <v>45429</v>
      </c>
      <c r="B506" s="7">
        <v>45429.940865706019</v>
      </c>
      <c r="C506" s="8">
        <f t="shared" si="6"/>
        <v>22</v>
      </c>
      <c r="D506" s="8" t="s">
        <v>4</v>
      </c>
      <c r="E506" s="8" t="s">
        <v>197</v>
      </c>
      <c r="F506" s="9">
        <v>27.92</v>
      </c>
      <c r="G506" s="8" t="s">
        <v>17</v>
      </c>
      <c r="H506" s="8" t="str">
        <f t="shared" si="7"/>
        <v>Night</v>
      </c>
      <c r="I506" s="8" t="str">
        <f t="shared" si="8"/>
        <v>Fri</v>
      </c>
      <c r="J506" s="8" t="str">
        <f t="shared" si="9"/>
        <v>May</v>
      </c>
      <c r="K506" s="8">
        <f t="shared" si="10"/>
        <v>5</v>
      </c>
      <c r="L506" s="8">
        <f t="shared" si="11"/>
        <v>5</v>
      </c>
    </row>
    <row r="507" spans="1:12" x14ac:dyDescent="0.3">
      <c r="A507" s="10">
        <v>45429</v>
      </c>
      <c r="B507" s="11">
        <v>45429.942052743056</v>
      </c>
      <c r="C507" s="12">
        <f t="shared" si="6"/>
        <v>22</v>
      </c>
      <c r="D507" s="12" t="s">
        <v>4</v>
      </c>
      <c r="E507" s="12" t="s">
        <v>198</v>
      </c>
      <c r="F507" s="13">
        <v>37.72</v>
      </c>
      <c r="G507" s="12" t="s">
        <v>13</v>
      </c>
      <c r="H507" s="12" t="str">
        <f t="shared" si="7"/>
        <v>Night</v>
      </c>
      <c r="I507" s="12" t="str">
        <f t="shared" si="8"/>
        <v>Fri</v>
      </c>
      <c r="J507" s="12" t="str">
        <f t="shared" si="9"/>
        <v>May</v>
      </c>
      <c r="K507" s="12">
        <f t="shared" si="10"/>
        <v>5</v>
      </c>
      <c r="L507" s="12">
        <f t="shared" si="11"/>
        <v>5</v>
      </c>
    </row>
    <row r="508" spans="1:12" x14ac:dyDescent="0.3">
      <c r="A508" s="6">
        <v>45429</v>
      </c>
      <c r="B508" s="7">
        <v>45429.942856724534</v>
      </c>
      <c r="C508" s="8">
        <f t="shared" si="6"/>
        <v>22</v>
      </c>
      <c r="D508" s="8" t="s">
        <v>4</v>
      </c>
      <c r="E508" s="8" t="s">
        <v>199</v>
      </c>
      <c r="F508" s="9">
        <v>37.72</v>
      </c>
      <c r="G508" s="8" t="s">
        <v>13</v>
      </c>
      <c r="H508" s="8" t="str">
        <f t="shared" si="7"/>
        <v>Night</v>
      </c>
      <c r="I508" s="8" t="str">
        <f t="shared" si="8"/>
        <v>Fri</v>
      </c>
      <c r="J508" s="8" t="str">
        <f t="shared" si="9"/>
        <v>May</v>
      </c>
      <c r="K508" s="8">
        <f t="shared" si="10"/>
        <v>5</v>
      </c>
      <c r="L508" s="8">
        <f t="shared" si="11"/>
        <v>5</v>
      </c>
    </row>
    <row r="509" spans="1:12" x14ac:dyDescent="0.3">
      <c r="A509" s="10">
        <v>45430</v>
      </c>
      <c r="B509" s="11">
        <v>45430.334466412038</v>
      </c>
      <c r="C509" s="12">
        <f t="shared" si="6"/>
        <v>8</v>
      </c>
      <c r="D509" s="12" t="s">
        <v>4</v>
      </c>
      <c r="E509" s="12" t="s">
        <v>200</v>
      </c>
      <c r="F509" s="13">
        <v>37.72</v>
      </c>
      <c r="G509" s="12" t="s">
        <v>49</v>
      </c>
      <c r="H509" s="12" t="str">
        <f t="shared" si="7"/>
        <v>Morning</v>
      </c>
      <c r="I509" s="12" t="str">
        <f t="shared" si="8"/>
        <v>Sat</v>
      </c>
      <c r="J509" s="12" t="str">
        <f t="shared" si="9"/>
        <v>May</v>
      </c>
      <c r="K509" s="12">
        <f t="shared" si="10"/>
        <v>6</v>
      </c>
      <c r="L509" s="12">
        <f t="shared" si="11"/>
        <v>5</v>
      </c>
    </row>
    <row r="510" spans="1:12" x14ac:dyDescent="0.3">
      <c r="A510" s="6">
        <v>45430</v>
      </c>
      <c r="B510" s="7">
        <v>45430.335184710646</v>
      </c>
      <c r="C510" s="8">
        <f t="shared" si="6"/>
        <v>8</v>
      </c>
      <c r="D510" s="8" t="s">
        <v>4</v>
      </c>
      <c r="E510" s="8" t="s">
        <v>200</v>
      </c>
      <c r="F510" s="9">
        <v>37.72</v>
      </c>
      <c r="G510" s="8" t="s">
        <v>49</v>
      </c>
      <c r="H510" s="8" t="str">
        <f t="shared" si="7"/>
        <v>Morning</v>
      </c>
      <c r="I510" s="8" t="str">
        <f t="shared" si="8"/>
        <v>Sat</v>
      </c>
      <c r="J510" s="8" t="str">
        <f t="shared" si="9"/>
        <v>May</v>
      </c>
      <c r="K510" s="8">
        <f t="shared" si="10"/>
        <v>6</v>
      </c>
      <c r="L510" s="8">
        <f t="shared" si="11"/>
        <v>5</v>
      </c>
    </row>
    <row r="511" spans="1:12" x14ac:dyDescent="0.3">
      <c r="A511" s="10">
        <v>45430</v>
      </c>
      <c r="B511" s="11">
        <v>45430.469399178241</v>
      </c>
      <c r="C511" s="12">
        <f t="shared" si="6"/>
        <v>11</v>
      </c>
      <c r="D511" s="12" t="s">
        <v>4</v>
      </c>
      <c r="E511" s="12" t="s">
        <v>201</v>
      </c>
      <c r="F511" s="13">
        <v>32.82</v>
      </c>
      <c r="G511" s="12" t="s">
        <v>20</v>
      </c>
      <c r="H511" s="12" t="str">
        <f t="shared" si="7"/>
        <v>Morning</v>
      </c>
      <c r="I511" s="12" t="str">
        <f t="shared" si="8"/>
        <v>Sat</v>
      </c>
      <c r="J511" s="12" t="str">
        <f t="shared" si="9"/>
        <v>May</v>
      </c>
      <c r="K511" s="12">
        <f t="shared" si="10"/>
        <v>6</v>
      </c>
      <c r="L511" s="12">
        <f t="shared" si="11"/>
        <v>5</v>
      </c>
    </row>
    <row r="512" spans="1:12" x14ac:dyDescent="0.3">
      <c r="A512" s="6">
        <v>45430</v>
      </c>
      <c r="B512" s="7">
        <v>45430.700339976851</v>
      </c>
      <c r="C512" s="8">
        <f t="shared" ref="C512:C766" si="12">HOUR(B512)</f>
        <v>16</v>
      </c>
      <c r="D512" s="8" t="s">
        <v>4</v>
      </c>
      <c r="E512" s="8" t="s">
        <v>192</v>
      </c>
      <c r="F512" s="9">
        <v>32.82</v>
      </c>
      <c r="G512" s="8" t="s">
        <v>20</v>
      </c>
      <c r="H512" s="8" t="str">
        <f t="shared" ref="H512:H766" si="13">IF(AND(C512&gt;=5,C512&lt;12),"Morning",
 IF(AND(C512&gt;=12,C512&lt;17),"Afternoon","Night"))</f>
        <v>Afternoon</v>
      </c>
      <c r="I512" s="8" t="str">
        <f t="shared" ref="I512:I766" si="14">TEXT(A512, "ddd")</f>
        <v>Sat</v>
      </c>
      <c r="J512" s="8" t="str">
        <f t="shared" ref="J512:J766" si="15">TEXT(A512, "mmm")</f>
        <v>May</v>
      </c>
      <c r="K512" s="8">
        <f t="shared" ref="K512:K766" si="16">WEEKDAY(A512, 2)</f>
        <v>6</v>
      </c>
      <c r="L512" s="8">
        <f t="shared" ref="L512:L766" si="17">MONTH(A512)</f>
        <v>5</v>
      </c>
    </row>
    <row r="513" spans="1:12" x14ac:dyDescent="0.3">
      <c r="A513" s="10">
        <v>45430</v>
      </c>
      <c r="B513" s="11">
        <v>45430.701008460645</v>
      </c>
      <c r="C513" s="12">
        <f t="shared" si="12"/>
        <v>16</v>
      </c>
      <c r="D513" s="12" t="s">
        <v>4</v>
      </c>
      <c r="E513" s="12" t="s">
        <v>117</v>
      </c>
      <c r="F513" s="13">
        <v>32.82</v>
      </c>
      <c r="G513" s="12" t="s">
        <v>20</v>
      </c>
      <c r="H513" s="12" t="str">
        <f t="shared" si="13"/>
        <v>Afternoon</v>
      </c>
      <c r="I513" s="12" t="str">
        <f t="shared" si="14"/>
        <v>Sat</v>
      </c>
      <c r="J513" s="12" t="str">
        <f t="shared" si="15"/>
        <v>May</v>
      </c>
      <c r="K513" s="12">
        <f t="shared" si="16"/>
        <v>6</v>
      </c>
      <c r="L513" s="12">
        <f t="shared" si="17"/>
        <v>5</v>
      </c>
    </row>
    <row r="514" spans="1:12" x14ac:dyDescent="0.3">
      <c r="A514" s="6">
        <v>45430</v>
      </c>
      <c r="B514" s="7">
        <v>45430.83245613426</v>
      </c>
      <c r="C514" s="8">
        <f t="shared" si="12"/>
        <v>19</v>
      </c>
      <c r="D514" s="8" t="s">
        <v>4</v>
      </c>
      <c r="E514" s="8" t="s">
        <v>60</v>
      </c>
      <c r="F514" s="9">
        <v>32.82</v>
      </c>
      <c r="G514" s="8" t="s">
        <v>20</v>
      </c>
      <c r="H514" s="8" t="str">
        <f t="shared" si="13"/>
        <v>Night</v>
      </c>
      <c r="I514" s="8" t="str">
        <f t="shared" si="14"/>
        <v>Sat</v>
      </c>
      <c r="J514" s="8" t="str">
        <f t="shared" si="15"/>
        <v>May</v>
      </c>
      <c r="K514" s="8">
        <f t="shared" si="16"/>
        <v>6</v>
      </c>
      <c r="L514" s="8">
        <f t="shared" si="17"/>
        <v>5</v>
      </c>
    </row>
    <row r="515" spans="1:12" x14ac:dyDescent="0.3">
      <c r="A515" s="10">
        <v>45430</v>
      </c>
      <c r="B515" s="11">
        <v>45430.849225821759</v>
      </c>
      <c r="C515" s="12">
        <f t="shared" si="12"/>
        <v>20</v>
      </c>
      <c r="D515" s="12" t="s">
        <v>4</v>
      </c>
      <c r="E515" s="12" t="s">
        <v>25</v>
      </c>
      <c r="F515" s="13">
        <v>37.72</v>
      </c>
      <c r="G515" s="12" t="s">
        <v>13</v>
      </c>
      <c r="H515" s="12" t="str">
        <f t="shared" si="13"/>
        <v>Night</v>
      </c>
      <c r="I515" s="12" t="str">
        <f t="shared" si="14"/>
        <v>Sat</v>
      </c>
      <c r="J515" s="12" t="str">
        <f t="shared" si="15"/>
        <v>May</v>
      </c>
      <c r="K515" s="12">
        <f t="shared" si="16"/>
        <v>6</v>
      </c>
      <c r="L515" s="12">
        <f t="shared" si="17"/>
        <v>5</v>
      </c>
    </row>
    <row r="516" spans="1:12" x14ac:dyDescent="0.3">
      <c r="A516" s="6">
        <v>45430</v>
      </c>
      <c r="B516" s="7">
        <v>45430.920456863423</v>
      </c>
      <c r="C516" s="8">
        <f t="shared" si="12"/>
        <v>22</v>
      </c>
      <c r="D516" s="8" t="s">
        <v>27</v>
      </c>
      <c r="E516" s="8"/>
      <c r="F516" s="9">
        <v>39</v>
      </c>
      <c r="G516" s="8" t="s">
        <v>49</v>
      </c>
      <c r="H516" s="8" t="str">
        <f t="shared" si="13"/>
        <v>Night</v>
      </c>
      <c r="I516" s="8" t="str">
        <f t="shared" si="14"/>
        <v>Sat</v>
      </c>
      <c r="J516" s="8" t="str">
        <f t="shared" si="15"/>
        <v>May</v>
      </c>
      <c r="K516" s="8">
        <f t="shared" si="16"/>
        <v>6</v>
      </c>
      <c r="L516" s="8">
        <f t="shared" si="17"/>
        <v>5</v>
      </c>
    </row>
    <row r="517" spans="1:12" x14ac:dyDescent="0.3">
      <c r="A517" s="10">
        <v>45431</v>
      </c>
      <c r="B517" s="11">
        <v>45431.332387870367</v>
      </c>
      <c r="C517" s="12">
        <f t="shared" si="12"/>
        <v>7</v>
      </c>
      <c r="D517" s="12" t="s">
        <v>4</v>
      </c>
      <c r="E517" s="12" t="s">
        <v>202</v>
      </c>
      <c r="F517" s="13">
        <v>27.92</v>
      </c>
      <c r="G517" s="12" t="s">
        <v>17</v>
      </c>
      <c r="H517" s="12" t="str">
        <f t="shared" si="13"/>
        <v>Morning</v>
      </c>
      <c r="I517" s="12" t="str">
        <f t="shared" si="14"/>
        <v>Sun</v>
      </c>
      <c r="J517" s="12" t="str">
        <f t="shared" si="15"/>
        <v>May</v>
      </c>
      <c r="K517" s="12">
        <f t="shared" si="16"/>
        <v>7</v>
      </c>
      <c r="L517" s="12">
        <f t="shared" si="17"/>
        <v>5</v>
      </c>
    </row>
    <row r="518" spans="1:12" x14ac:dyDescent="0.3">
      <c r="A518" s="6">
        <v>45431</v>
      </c>
      <c r="B518" s="7">
        <v>45431.333027187502</v>
      </c>
      <c r="C518" s="8">
        <f t="shared" si="12"/>
        <v>7</v>
      </c>
      <c r="D518" s="8" t="s">
        <v>4</v>
      </c>
      <c r="E518" s="8" t="s">
        <v>202</v>
      </c>
      <c r="F518" s="9">
        <v>27.92</v>
      </c>
      <c r="G518" s="8" t="s">
        <v>17</v>
      </c>
      <c r="H518" s="8" t="str">
        <f t="shared" si="13"/>
        <v>Morning</v>
      </c>
      <c r="I518" s="8" t="str">
        <f t="shared" si="14"/>
        <v>Sun</v>
      </c>
      <c r="J518" s="8" t="str">
        <f t="shared" si="15"/>
        <v>May</v>
      </c>
      <c r="K518" s="8">
        <f t="shared" si="16"/>
        <v>7</v>
      </c>
      <c r="L518" s="8">
        <f t="shared" si="17"/>
        <v>5</v>
      </c>
    </row>
    <row r="519" spans="1:12" x14ac:dyDescent="0.3">
      <c r="A519" s="10">
        <v>45431</v>
      </c>
      <c r="B519" s="11">
        <v>45431.333739131944</v>
      </c>
      <c r="C519" s="12">
        <f t="shared" si="12"/>
        <v>8</v>
      </c>
      <c r="D519" s="12" t="s">
        <v>4</v>
      </c>
      <c r="E519" s="12" t="s">
        <v>203</v>
      </c>
      <c r="F519" s="13">
        <v>37.72</v>
      </c>
      <c r="G519" s="12" t="s">
        <v>49</v>
      </c>
      <c r="H519" s="12" t="str">
        <f t="shared" si="13"/>
        <v>Morning</v>
      </c>
      <c r="I519" s="12" t="str">
        <f t="shared" si="14"/>
        <v>Sun</v>
      </c>
      <c r="J519" s="12" t="str">
        <f t="shared" si="15"/>
        <v>May</v>
      </c>
      <c r="K519" s="12">
        <f t="shared" si="16"/>
        <v>7</v>
      </c>
      <c r="L519" s="12">
        <f t="shared" si="17"/>
        <v>5</v>
      </c>
    </row>
    <row r="520" spans="1:12" x14ac:dyDescent="0.3">
      <c r="A520" s="6">
        <v>45431</v>
      </c>
      <c r="B520" s="7">
        <v>45431.395019942131</v>
      </c>
      <c r="C520" s="8">
        <f t="shared" si="12"/>
        <v>9</v>
      </c>
      <c r="D520" s="8" t="s">
        <v>27</v>
      </c>
      <c r="E520" s="8"/>
      <c r="F520" s="9">
        <v>24</v>
      </c>
      <c r="G520" s="8" t="s">
        <v>41</v>
      </c>
      <c r="H520" s="8" t="str">
        <f t="shared" si="13"/>
        <v>Morning</v>
      </c>
      <c r="I520" s="8" t="str">
        <f t="shared" si="14"/>
        <v>Sun</v>
      </c>
      <c r="J520" s="8" t="str">
        <f t="shared" si="15"/>
        <v>May</v>
      </c>
      <c r="K520" s="8">
        <f t="shared" si="16"/>
        <v>7</v>
      </c>
      <c r="L520" s="8">
        <f t="shared" si="17"/>
        <v>5</v>
      </c>
    </row>
    <row r="521" spans="1:12" x14ac:dyDescent="0.3">
      <c r="A521" s="10">
        <v>45431</v>
      </c>
      <c r="B521" s="11">
        <v>45431.510030972226</v>
      </c>
      <c r="C521" s="12">
        <f t="shared" si="12"/>
        <v>12</v>
      </c>
      <c r="D521" s="12" t="s">
        <v>4</v>
      </c>
      <c r="E521" s="12" t="s">
        <v>204</v>
      </c>
      <c r="F521" s="13">
        <v>32.82</v>
      </c>
      <c r="G521" s="12" t="s">
        <v>20</v>
      </c>
      <c r="H521" s="12" t="str">
        <f t="shared" si="13"/>
        <v>Afternoon</v>
      </c>
      <c r="I521" s="12" t="str">
        <f t="shared" si="14"/>
        <v>Sun</v>
      </c>
      <c r="J521" s="12" t="str">
        <f t="shared" si="15"/>
        <v>May</v>
      </c>
      <c r="K521" s="12">
        <f t="shared" si="16"/>
        <v>7</v>
      </c>
      <c r="L521" s="12">
        <f t="shared" si="17"/>
        <v>5</v>
      </c>
    </row>
    <row r="522" spans="1:12" x14ac:dyDescent="0.3">
      <c r="A522" s="6">
        <v>45431</v>
      </c>
      <c r="B522" s="7">
        <v>45431.613657974536</v>
      </c>
      <c r="C522" s="8">
        <f t="shared" si="12"/>
        <v>14</v>
      </c>
      <c r="D522" s="8" t="s">
        <v>4</v>
      </c>
      <c r="E522" s="8" t="s">
        <v>29</v>
      </c>
      <c r="F522" s="9">
        <v>27.92</v>
      </c>
      <c r="G522" s="8" t="s">
        <v>17</v>
      </c>
      <c r="H522" s="8" t="str">
        <f t="shared" si="13"/>
        <v>Afternoon</v>
      </c>
      <c r="I522" s="8" t="str">
        <f t="shared" si="14"/>
        <v>Sun</v>
      </c>
      <c r="J522" s="8" t="str">
        <f t="shared" si="15"/>
        <v>May</v>
      </c>
      <c r="K522" s="8">
        <f t="shared" si="16"/>
        <v>7</v>
      </c>
      <c r="L522" s="8">
        <f t="shared" si="17"/>
        <v>5</v>
      </c>
    </row>
    <row r="523" spans="1:12" x14ac:dyDescent="0.3">
      <c r="A523" s="10">
        <v>45431</v>
      </c>
      <c r="B523" s="11">
        <v>45431.665951296294</v>
      </c>
      <c r="C523" s="12">
        <f t="shared" si="12"/>
        <v>15</v>
      </c>
      <c r="D523" s="12" t="s">
        <v>4</v>
      </c>
      <c r="E523" s="12" t="s">
        <v>205</v>
      </c>
      <c r="F523" s="13">
        <v>32.82</v>
      </c>
      <c r="G523" s="12" t="s">
        <v>20</v>
      </c>
      <c r="H523" s="12" t="str">
        <f t="shared" si="13"/>
        <v>Afternoon</v>
      </c>
      <c r="I523" s="12" t="str">
        <f t="shared" si="14"/>
        <v>Sun</v>
      </c>
      <c r="J523" s="12" t="str">
        <f t="shared" si="15"/>
        <v>May</v>
      </c>
      <c r="K523" s="12">
        <f t="shared" si="16"/>
        <v>7</v>
      </c>
      <c r="L523" s="12">
        <f t="shared" si="17"/>
        <v>5</v>
      </c>
    </row>
    <row r="524" spans="1:12" x14ac:dyDescent="0.3">
      <c r="A524" s="6">
        <v>45431</v>
      </c>
      <c r="B524" s="7">
        <v>45431.758753518516</v>
      </c>
      <c r="C524" s="8">
        <f t="shared" si="12"/>
        <v>18</v>
      </c>
      <c r="D524" s="8" t="s">
        <v>4</v>
      </c>
      <c r="E524" s="8" t="s">
        <v>206</v>
      </c>
      <c r="F524" s="9">
        <v>32.82</v>
      </c>
      <c r="G524" s="8" t="s">
        <v>20</v>
      </c>
      <c r="H524" s="8" t="str">
        <f t="shared" si="13"/>
        <v>Night</v>
      </c>
      <c r="I524" s="8" t="str">
        <f t="shared" si="14"/>
        <v>Sun</v>
      </c>
      <c r="J524" s="8" t="str">
        <f t="shared" si="15"/>
        <v>May</v>
      </c>
      <c r="K524" s="8">
        <f t="shared" si="16"/>
        <v>7</v>
      </c>
      <c r="L524" s="8">
        <f t="shared" si="17"/>
        <v>5</v>
      </c>
    </row>
    <row r="525" spans="1:12" x14ac:dyDescent="0.3">
      <c r="A525" s="10">
        <v>45431</v>
      </c>
      <c r="B525" s="11">
        <v>45431.759580578706</v>
      </c>
      <c r="C525" s="12">
        <f t="shared" si="12"/>
        <v>18</v>
      </c>
      <c r="D525" s="12" t="s">
        <v>4</v>
      </c>
      <c r="E525" s="12" t="s">
        <v>206</v>
      </c>
      <c r="F525" s="13">
        <v>23.02</v>
      </c>
      <c r="G525" s="12" t="s">
        <v>41</v>
      </c>
      <c r="H525" s="12" t="str">
        <f t="shared" si="13"/>
        <v>Night</v>
      </c>
      <c r="I525" s="12" t="str">
        <f t="shared" si="14"/>
        <v>Sun</v>
      </c>
      <c r="J525" s="12" t="str">
        <f t="shared" si="15"/>
        <v>May</v>
      </c>
      <c r="K525" s="12">
        <f t="shared" si="16"/>
        <v>7</v>
      </c>
      <c r="L525" s="12">
        <f t="shared" si="17"/>
        <v>5</v>
      </c>
    </row>
    <row r="526" spans="1:12" x14ac:dyDescent="0.3">
      <c r="A526" s="6">
        <v>45431</v>
      </c>
      <c r="B526" s="7">
        <v>45431.761458587964</v>
      </c>
      <c r="C526" s="8">
        <f t="shared" si="12"/>
        <v>18</v>
      </c>
      <c r="D526" s="8" t="s">
        <v>4</v>
      </c>
      <c r="E526" s="8" t="s">
        <v>206</v>
      </c>
      <c r="F526" s="9">
        <v>37.72</v>
      </c>
      <c r="G526" s="8" t="s">
        <v>15</v>
      </c>
      <c r="H526" s="8" t="str">
        <f t="shared" si="13"/>
        <v>Night</v>
      </c>
      <c r="I526" s="8" t="str">
        <f t="shared" si="14"/>
        <v>Sun</v>
      </c>
      <c r="J526" s="8" t="str">
        <f t="shared" si="15"/>
        <v>May</v>
      </c>
      <c r="K526" s="8">
        <f t="shared" si="16"/>
        <v>7</v>
      </c>
      <c r="L526" s="8">
        <f t="shared" si="17"/>
        <v>5</v>
      </c>
    </row>
    <row r="527" spans="1:12" x14ac:dyDescent="0.3">
      <c r="A527" s="10">
        <v>45431</v>
      </c>
      <c r="B527" s="11">
        <v>45431.827164108799</v>
      </c>
      <c r="C527" s="12">
        <f t="shared" si="12"/>
        <v>19</v>
      </c>
      <c r="D527" s="12" t="s">
        <v>4</v>
      </c>
      <c r="E527" s="12" t="s">
        <v>207</v>
      </c>
      <c r="F527" s="13">
        <v>37.72</v>
      </c>
      <c r="G527" s="12" t="s">
        <v>49</v>
      </c>
      <c r="H527" s="12" t="str">
        <f t="shared" si="13"/>
        <v>Night</v>
      </c>
      <c r="I527" s="12" t="str">
        <f t="shared" si="14"/>
        <v>Sun</v>
      </c>
      <c r="J527" s="12" t="str">
        <f t="shared" si="15"/>
        <v>May</v>
      </c>
      <c r="K527" s="12">
        <f t="shared" si="16"/>
        <v>7</v>
      </c>
      <c r="L527" s="12">
        <f t="shared" si="17"/>
        <v>5</v>
      </c>
    </row>
    <row r="528" spans="1:12" x14ac:dyDescent="0.3">
      <c r="A528" s="6">
        <v>45431</v>
      </c>
      <c r="B528" s="7">
        <v>45431.885900011577</v>
      </c>
      <c r="C528" s="8">
        <f t="shared" si="12"/>
        <v>21</v>
      </c>
      <c r="D528" s="8" t="s">
        <v>4</v>
      </c>
      <c r="E528" s="8" t="s">
        <v>208</v>
      </c>
      <c r="F528" s="9">
        <v>37.72</v>
      </c>
      <c r="G528" s="8" t="s">
        <v>49</v>
      </c>
      <c r="H528" s="8" t="str">
        <f t="shared" si="13"/>
        <v>Night</v>
      </c>
      <c r="I528" s="8" t="str">
        <f t="shared" si="14"/>
        <v>Sun</v>
      </c>
      <c r="J528" s="8" t="str">
        <f t="shared" si="15"/>
        <v>May</v>
      </c>
      <c r="K528" s="8">
        <f t="shared" si="16"/>
        <v>7</v>
      </c>
      <c r="L528" s="8">
        <f t="shared" si="17"/>
        <v>5</v>
      </c>
    </row>
    <row r="529" spans="1:12" x14ac:dyDescent="0.3">
      <c r="A529" s="10">
        <v>45431</v>
      </c>
      <c r="B529" s="11">
        <v>45431.887917835651</v>
      </c>
      <c r="C529" s="12">
        <f t="shared" si="12"/>
        <v>21</v>
      </c>
      <c r="D529" s="12" t="s">
        <v>4</v>
      </c>
      <c r="E529" s="12" t="s">
        <v>209</v>
      </c>
      <c r="F529" s="13">
        <v>37.72</v>
      </c>
      <c r="G529" s="12" t="s">
        <v>49</v>
      </c>
      <c r="H529" s="12" t="str">
        <f t="shared" si="13"/>
        <v>Night</v>
      </c>
      <c r="I529" s="12" t="str">
        <f t="shared" si="14"/>
        <v>Sun</v>
      </c>
      <c r="J529" s="12" t="str">
        <f t="shared" si="15"/>
        <v>May</v>
      </c>
      <c r="K529" s="12">
        <f t="shared" si="16"/>
        <v>7</v>
      </c>
      <c r="L529" s="12">
        <f t="shared" si="17"/>
        <v>5</v>
      </c>
    </row>
    <row r="530" spans="1:12" x14ac:dyDescent="0.3">
      <c r="A530" s="6">
        <v>45432</v>
      </c>
      <c r="B530" s="7">
        <v>45432.420823645836</v>
      </c>
      <c r="C530" s="8">
        <f t="shared" si="12"/>
        <v>10</v>
      </c>
      <c r="D530" s="8" t="s">
        <v>4</v>
      </c>
      <c r="E530" s="8" t="s">
        <v>210</v>
      </c>
      <c r="F530" s="9">
        <v>32.82</v>
      </c>
      <c r="G530" s="8" t="s">
        <v>20</v>
      </c>
      <c r="H530" s="8" t="str">
        <f t="shared" si="13"/>
        <v>Morning</v>
      </c>
      <c r="I530" s="8" t="str">
        <f t="shared" si="14"/>
        <v>Mon</v>
      </c>
      <c r="J530" s="8" t="str">
        <f t="shared" si="15"/>
        <v>May</v>
      </c>
      <c r="K530" s="8">
        <f t="shared" si="16"/>
        <v>1</v>
      </c>
      <c r="L530" s="8">
        <f t="shared" si="17"/>
        <v>5</v>
      </c>
    </row>
    <row r="531" spans="1:12" x14ac:dyDescent="0.3">
      <c r="A531" s="10">
        <v>45432</v>
      </c>
      <c r="B531" s="11">
        <v>45432.429072534724</v>
      </c>
      <c r="C531" s="12">
        <f t="shared" si="12"/>
        <v>10</v>
      </c>
      <c r="D531" s="12" t="s">
        <v>4</v>
      </c>
      <c r="E531" s="12" t="s">
        <v>211</v>
      </c>
      <c r="F531" s="13">
        <v>37.72</v>
      </c>
      <c r="G531" s="12" t="s">
        <v>13</v>
      </c>
      <c r="H531" s="12" t="str">
        <f t="shared" si="13"/>
        <v>Morning</v>
      </c>
      <c r="I531" s="12" t="str">
        <f t="shared" si="14"/>
        <v>Mon</v>
      </c>
      <c r="J531" s="12" t="str">
        <f t="shared" si="15"/>
        <v>May</v>
      </c>
      <c r="K531" s="12">
        <f t="shared" si="16"/>
        <v>1</v>
      </c>
      <c r="L531" s="12">
        <f t="shared" si="17"/>
        <v>5</v>
      </c>
    </row>
    <row r="532" spans="1:12" x14ac:dyDescent="0.3">
      <c r="A532" s="6">
        <v>45432</v>
      </c>
      <c r="B532" s="7">
        <v>45432.457504386577</v>
      </c>
      <c r="C532" s="8">
        <f t="shared" si="12"/>
        <v>10</v>
      </c>
      <c r="D532" s="8" t="s">
        <v>4</v>
      </c>
      <c r="E532" s="8" t="s">
        <v>12</v>
      </c>
      <c r="F532" s="9">
        <v>37.72</v>
      </c>
      <c r="G532" s="8" t="s">
        <v>13</v>
      </c>
      <c r="H532" s="8" t="str">
        <f t="shared" si="13"/>
        <v>Morning</v>
      </c>
      <c r="I532" s="8" t="str">
        <f t="shared" si="14"/>
        <v>Mon</v>
      </c>
      <c r="J532" s="8" t="str">
        <f t="shared" si="15"/>
        <v>May</v>
      </c>
      <c r="K532" s="8">
        <f t="shared" si="16"/>
        <v>1</v>
      </c>
      <c r="L532" s="8">
        <f t="shared" si="17"/>
        <v>5</v>
      </c>
    </row>
    <row r="533" spans="1:12" x14ac:dyDescent="0.3">
      <c r="A533" s="10">
        <v>45432</v>
      </c>
      <c r="B533" s="11">
        <v>45432.468939386577</v>
      </c>
      <c r="C533" s="12">
        <f t="shared" si="12"/>
        <v>11</v>
      </c>
      <c r="D533" s="12" t="s">
        <v>4</v>
      </c>
      <c r="E533" s="12" t="s">
        <v>163</v>
      </c>
      <c r="F533" s="13">
        <v>27.92</v>
      </c>
      <c r="G533" s="12" t="s">
        <v>17</v>
      </c>
      <c r="H533" s="12" t="str">
        <f t="shared" si="13"/>
        <v>Morning</v>
      </c>
      <c r="I533" s="12" t="str">
        <f t="shared" si="14"/>
        <v>Mon</v>
      </c>
      <c r="J533" s="12" t="str">
        <f t="shared" si="15"/>
        <v>May</v>
      </c>
      <c r="K533" s="12">
        <f t="shared" si="16"/>
        <v>1</v>
      </c>
      <c r="L533" s="12">
        <f t="shared" si="17"/>
        <v>5</v>
      </c>
    </row>
    <row r="534" spans="1:12" x14ac:dyDescent="0.3">
      <c r="A534" s="6">
        <v>45432</v>
      </c>
      <c r="B534" s="7">
        <v>45432.469671724539</v>
      </c>
      <c r="C534" s="8">
        <f t="shared" si="12"/>
        <v>11</v>
      </c>
      <c r="D534" s="8" t="s">
        <v>4</v>
      </c>
      <c r="E534" s="8" t="s">
        <v>163</v>
      </c>
      <c r="F534" s="9">
        <v>27.92</v>
      </c>
      <c r="G534" s="8" t="s">
        <v>17</v>
      </c>
      <c r="H534" s="8" t="str">
        <f t="shared" si="13"/>
        <v>Morning</v>
      </c>
      <c r="I534" s="8" t="str">
        <f t="shared" si="14"/>
        <v>Mon</v>
      </c>
      <c r="J534" s="8" t="str">
        <f t="shared" si="15"/>
        <v>May</v>
      </c>
      <c r="K534" s="8">
        <f t="shared" si="16"/>
        <v>1</v>
      </c>
      <c r="L534" s="8">
        <f t="shared" si="17"/>
        <v>5</v>
      </c>
    </row>
    <row r="535" spans="1:12" x14ac:dyDescent="0.3">
      <c r="A535" s="10">
        <v>45432</v>
      </c>
      <c r="B535" s="11">
        <v>45432.56057199074</v>
      </c>
      <c r="C535" s="12">
        <f t="shared" si="12"/>
        <v>13</v>
      </c>
      <c r="D535" s="12" t="s">
        <v>4</v>
      </c>
      <c r="E535" s="12" t="s">
        <v>16</v>
      </c>
      <c r="F535" s="13">
        <v>27.92</v>
      </c>
      <c r="G535" s="12" t="s">
        <v>17</v>
      </c>
      <c r="H535" s="12" t="str">
        <f t="shared" si="13"/>
        <v>Afternoon</v>
      </c>
      <c r="I535" s="12" t="str">
        <f t="shared" si="14"/>
        <v>Mon</v>
      </c>
      <c r="J535" s="12" t="str">
        <f t="shared" si="15"/>
        <v>May</v>
      </c>
      <c r="K535" s="12">
        <f t="shared" si="16"/>
        <v>1</v>
      </c>
      <c r="L535" s="12">
        <f t="shared" si="17"/>
        <v>5</v>
      </c>
    </row>
    <row r="536" spans="1:12" x14ac:dyDescent="0.3">
      <c r="A536" s="6">
        <v>45432</v>
      </c>
      <c r="B536" s="7">
        <v>45432.561231944448</v>
      </c>
      <c r="C536" s="8">
        <f t="shared" si="12"/>
        <v>13</v>
      </c>
      <c r="D536" s="8" t="s">
        <v>4</v>
      </c>
      <c r="E536" s="8" t="s">
        <v>16</v>
      </c>
      <c r="F536" s="9">
        <v>27.92</v>
      </c>
      <c r="G536" s="8" t="s">
        <v>17</v>
      </c>
      <c r="H536" s="8" t="str">
        <f t="shared" si="13"/>
        <v>Afternoon</v>
      </c>
      <c r="I536" s="8" t="str">
        <f t="shared" si="14"/>
        <v>Mon</v>
      </c>
      <c r="J536" s="8" t="str">
        <f t="shared" si="15"/>
        <v>May</v>
      </c>
      <c r="K536" s="8">
        <f t="shared" si="16"/>
        <v>1</v>
      </c>
      <c r="L536" s="8">
        <f t="shared" si="17"/>
        <v>5</v>
      </c>
    </row>
    <row r="537" spans="1:12" x14ac:dyDescent="0.3">
      <c r="A537" s="10">
        <v>45432</v>
      </c>
      <c r="B537" s="11">
        <v>45432.592581215278</v>
      </c>
      <c r="C537" s="12">
        <f t="shared" si="12"/>
        <v>14</v>
      </c>
      <c r="D537" s="12" t="s">
        <v>4</v>
      </c>
      <c r="E537" s="12" t="s">
        <v>212</v>
      </c>
      <c r="F537" s="13">
        <v>32.82</v>
      </c>
      <c r="G537" s="12" t="s">
        <v>20</v>
      </c>
      <c r="H537" s="12" t="str">
        <f t="shared" si="13"/>
        <v>Afternoon</v>
      </c>
      <c r="I537" s="12" t="str">
        <f t="shared" si="14"/>
        <v>Mon</v>
      </c>
      <c r="J537" s="12" t="str">
        <f t="shared" si="15"/>
        <v>May</v>
      </c>
      <c r="K537" s="12">
        <f t="shared" si="16"/>
        <v>1</v>
      </c>
      <c r="L537" s="12">
        <f t="shared" si="17"/>
        <v>5</v>
      </c>
    </row>
    <row r="538" spans="1:12" x14ac:dyDescent="0.3">
      <c r="A538" s="6">
        <v>45432</v>
      </c>
      <c r="B538" s="7">
        <v>45432.593418449076</v>
      </c>
      <c r="C538" s="8">
        <f t="shared" si="12"/>
        <v>14</v>
      </c>
      <c r="D538" s="8" t="s">
        <v>4</v>
      </c>
      <c r="E538" s="8" t="s">
        <v>212</v>
      </c>
      <c r="F538" s="9">
        <v>37.72</v>
      </c>
      <c r="G538" s="8" t="s">
        <v>49</v>
      </c>
      <c r="H538" s="8" t="str">
        <f t="shared" si="13"/>
        <v>Afternoon</v>
      </c>
      <c r="I538" s="8" t="str">
        <f t="shared" si="14"/>
        <v>Mon</v>
      </c>
      <c r="J538" s="8" t="str">
        <f t="shared" si="15"/>
        <v>May</v>
      </c>
      <c r="K538" s="8">
        <f t="shared" si="16"/>
        <v>1</v>
      </c>
      <c r="L538" s="8">
        <f t="shared" si="17"/>
        <v>5</v>
      </c>
    </row>
    <row r="539" spans="1:12" x14ac:dyDescent="0.3">
      <c r="A539" s="10">
        <v>45432</v>
      </c>
      <c r="B539" s="11">
        <v>45432.605801527781</v>
      </c>
      <c r="C539" s="12">
        <f t="shared" si="12"/>
        <v>14</v>
      </c>
      <c r="D539" s="12" t="s">
        <v>27</v>
      </c>
      <c r="E539" s="12"/>
      <c r="F539" s="13">
        <v>29</v>
      </c>
      <c r="G539" s="12" t="s">
        <v>17</v>
      </c>
      <c r="H539" s="12" t="str">
        <f t="shared" si="13"/>
        <v>Afternoon</v>
      </c>
      <c r="I539" s="12" t="str">
        <f t="shared" si="14"/>
        <v>Mon</v>
      </c>
      <c r="J539" s="12" t="str">
        <f t="shared" si="15"/>
        <v>May</v>
      </c>
      <c r="K539" s="12">
        <f t="shared" si="16"/>
        <v>1</v>
      </c>
      <c r="L539" s="12">
        <f t="shared" si="17"/>
        <v>5</v>
      </c>
    </row>
    <row r="540" spans="1:12" x14ac:dyDescent="0.3">
      <c r="A540" s="6">
        <v>45432</v>
      </c>
      <c r="B540" s="7">
        <v>45432.717258344906</v>
      </c>
      <c r="C540" s="8">
        <f t="shared" si="12"/>
        <v>17</v>
      </c>
      <c r="D540" s="8" t="s">
        <v>4</v>
      </c>
      <c r="E540" s="8" t="s">
        <v>140</v>
      </c>
      <c r="F540" s="9">
        <v>37.72</v>
      </c>
      <c r="G540" s="8" t="s">
        <v>13</v>
      </c>
      <c r="H540" s="8" t="str">
        <f t="shared" si="13"/>
        <v>Night</v>
      </c>
      <c r="I540" s="8" t="str">
        <f t="shared" si="14"/>
        <v>Mon</v>
      </c>
      <c r="J540" s="8" t="str">
        <f t="shared" si="15"/>
        <v>May</v>
      </c>
      <c r="K540" s="8">
        <f t="shared" si="16"/>
        <v>1</v>
      </c>
      <c r="L540" s="8">
        <f t="shared" si="17"/>
        <v>5</v>
      </c>
    </row>
    <row r="541" spans="1:12" x14ac:dyDescent="0.3">
      <c r="A541" s="10">
        <v>45432</v>
      </c>
      <c r="B541" s="11">
        <v>45432.718019641201</v>
      </c>
      <c r="C541" s="12">
        <f t="shared" si="12"/>
        <v>17</v>
      </c>
      <c r="D541" s="12" t="s">
        <v>4</v>
      </c>
      <c r="E541" s="12" t="s">
        <v>213</v>
      </c>
      <c r="F541" s="13">
        <v>37.72</v>
      </c>
      <c r="G541" s="12" t="s">
        <v>13</v>
      </c>
      <c r="H541" s="12" t="str">
        <f t="shared" si="13"/>
        <v>Night</v>
      </c>
      <c r="I541" s="12" t="str">
        <f t="shared" si="14"/>
        <v>Mon</v>
      </c>
      <c r="J541" s="12" t="str">
        <f t="shared" si="15"/>
        <v>May</v>
      </c>
      <c r="K541" s="12">
        <f t="shared" si="16"/>
        <v>1</v>
      </c>
      <c r="L541" s="12">
        <f t="shared" si="17"/>
        <v>5</v>
      </c>
    </row>
    <row r="542" spans="1:12" x14ac:dyDescent="0.3">
      <c r="A542" s="6">
        <v>45432</v>
      </c>
      <c r="B542" s="7">
        <v>45432.858892592594</v>
      </c>
      <c r="C542" s="8">
        <f t="shared" si="12"/>
        <v>20</v>
      </c>
      <c r="D542" s="8" t="s">
        <v>4</v>
      </c>
      <c r="E542" s="8" t="s">
        <v>214</v>
      </c>
      <c r="F542" s="9">
        <v>32.82</v>
      </c>
      <c r="G542" s="8" t="s">
        <v>20</v>
      </c>
      <c r="H542" s="8" t="str">
        <f t="shared" si="13"/>
        <v>Night</v>
      </c>
      <c r="I542" s="8" t="str">
        <f t="shared" si="14"/>
        <v>Mon</v>
      </c>
      <c r="J542" s="8" t="str">
        <f t="shared" si="15"/>
        <v>May</v>
      </c>
      <c r="K542" s="8">
        <f t="shared" si="16"/>
        <v>1</v>
      </c>
      <c r="L542" s="8">
        <f t="shared" si="17"/>
        <v>5</v>
      </c>
    </row>
    <row r="543" spans="1:12" x14ac:dyDescent="0.3">
      <c r="A543" s="10">
        <v>45432</v>
      </c>
      <c r="B543" s="11">
        <v>45432.859691157406</v>
      </c>
      <c r="C543" s="12">
        <f t="shared" si="12"/>
        <v>20</v>
      </c>
      <c r="D543" s="12" t="s">
        <v>4</v>
      </c>
      <c r="E543" s="12" t="s">
        <v>214</v>
      </c>
      <c r="F543" s="13">
        <v>37.72</v>
      </c>
      <c r="G543" s="12" t="s">
        <v>24</v>
      </c>
      <c r="H543" s="12" t="str">
        <f t="shared" si="13"/>
        <v>Night</v>
      </c>
      <c r="I543" s="12" t="str">
        <f t="shared" si="14"/>
        <v>Mon</v>
      </c>
      <c r="J543" s="12" t="str">
        <f t="shared" si="15"/>
        <v>May</v>
      </c>
      <c r="K543" s="12">
        <f t="shared" si="16"/>
        <v>1</v>
      </c>
      <c r="L543" s="12">
        <f t="shared" si="17"/>
        <v>5</v>
      </c>
    </row>
    <row r="544" spans="1:12" x14ac:dyDescent="0.3">
      <c r="A544" s="6">
        <v>45432</v>
      </c>
      <c r="B544" s="7">
        <v>45432.865880613426</v>
      </c>
      <c r="C544" s="8">
        <f t="shared" si="12"/>
        <v>20</v>
      </c>
      <c r="D544" s="8" t="s">
        <v>4</v>
      </c>
      <c r="E544" s="8" t="s">
        <v>215</v>
      </c>
      <c r="F544" s="9">
        <v>27.92</v>
      </c>
      <c r="G544" s="8" t="s">
        <v>34</v>
      </c>
      <c r="H544" s="8" t="str">
        <f t="shared" si="13"/>
        <v>Night</v>
      </c>
      <c r="I544" s="8" t="str">
        <f t="shared" si="14"/>
        <v>Mon</v>
      </c>
      <c r="J544" s="8" t="str">
        <f t="shared" si="15"/>
        <v>May</v>
      </c>
      <c r="K544" s="8">
        <f t="shared" si="16"/>
        <v>1</v>
      </c>
      <c r="L544" s="8">
        <f t="shared" si="17"/>
        <v>5</v>
      </c>
    </row>
    <row r="545" spans="1:12" x14ac:dyDescent="0.3">
      <c r="A545" s="10">
        <v>45432</v>
      </c>
      <c r="B545" s="11">
        <v>45432.900624837966</v>
      </c>
      <c r="C545" s="12">
        <f t="shared" si="12"/>
        <v>21</v>
      </c>
      <c r="D545" s="12" t="s">
        <v>4</v>
      </c>
      <c r="E545" s="12" t="s">
        <v>29</v>
      </c>
      <c r="F545" s="13">
        <v>32.82</v>
      </c>
      <c r="G545" s="12" t="s">
        <v>20</v>
      </c>
      <c r="H545" s="12" t="str">
        <f t="shared" si="13"/>
        <v>Night</v>
      </c>
      <c r="I545" s="12" t="str">
        <f t="shared" si="14"/>
        <v>Mon</v>
      </c>
      <c r="J545" s="12" t="str">
        <f t="shared" si="15"/>
        <v>May</v>
      </c>
      <c r="K545" s="12">
        <f t="shared" si="16"/>
        <v>1</v>
      </c>
      <c r="L545" s="12">
        <f t="shared" si="17"/>
        <v>5</v>
      </c>
    </row>
    <row r="546" spans="1:12" x14ac:dyDescent="0.3">
      <c r="A546" s="6">
        <v>45432</v>
      </c>
      <c r="B546" s="7">
        <v>45432.901363159719</v>
      </c>
      <c r="C546" s="8">
        <f t="shared" si="12"/>
        <v>21</v>
      </c>
      <c r="D546" s="8" t="s">
        <v>4</v>
      </c>
      <c r="E546" s="8" t="s">
        <v>29</v>
      </c>
      <c r="F546" s="9">
        <v>32.82</v>
      </c>
      <c r="G546" s="8" t="s">
        <v>20</v>
      </c>
      <c r="H546" s="8" t="str">
        <f t="shared" si="13"/>
        <v>Night</v>
      </c>
      <c r="I546" s="8" t="str">
        <f t="shared" si="14"/>
        <v>Mon</v>
      </c>
      <c r="J546" s="8" t="str">
        <f t="shared" si="15"/>
        <v>May</v>
      </c>
      <c r="K546" s="8">
        <f t="shared" si="16"/>
        <v>1</v>
      </c>
      <c r="L546" s="8">
        <f t="shared" si="17"/>
        <v>5</v>
      </c>
    </row>
    <row r="547" spans="1:12" x14ac:dyDescent="0.3">
      <c r="A547" s="10">
        <v>45433</v>
      </c>
      <c r="B547" s="11">
        <v>45433.352525810187</v>
      </c>
      <c r="C547" s="12">
        <f t="shared" si="12"/>
        <v>8</v>
      </c>
      <c r="D547" s="12" t="s">
        <v>4</v>
      </c>
      <c r="E547" s="12" t="s">
        <v>216</v>
      </c>
      <c r="F547" s="13">
        <v>37.72</v>
      </c>
      <c r="G547" s="12" t="s">
        <v>13</v>
      </c>
      <c r="H547" s="12" t="str">
        <f t="shared" si="13"/>
        <v>Morning</v>
      </c>
      <c r="I547" s="12" t="str">
        <f t="shared" si="14"/>
        <v>Tue</v>
      </c>
      <c r="J547" s="12" t="str">
        <f t="shared" si="15"/>
        <v>May</v>
      </c>
      <c r="K547" s="12">
        <f t="shared" si="16"/>
        <v>2</v>
      </c>
      <c r="L547" s="12">
        <f t="shared" si="17"/>
        <v>5</v>
      </c>
    </row>
    <row r="548" spans="1:12" x14ac:dyDescent="0.3">
      <c r="A548" s="6">
        <v>45433</v>
      </c>
      <c r="B548" s="7">
        <v>45433.405447800928</v>
      </c>
      <c r="C548" s="8">
        <f t="shared" si="12"/>
        <v>9</v>
      </c>
      <c r="D548" s="8" t="s">
        <v>27</v>
      </c>
      <c r="E548" s="8"/>
      <c r="F548" s="9">
        <v>29</v>
      </c>
      <c r="G548" s="8" t="s">
        <v>17</v>
      </c>
      <c r="H548" s="8" t="str">
        <f t="shared" si="13"/>
        <v>Morning</v>
      </c>
      <c r="I548" s="8" t="str">
        <f t="shared" si="14"/>
        <v>Tue</v>
      </c>
      <c r="J548" s="8" t="str">
        <f t="shared" si="15"/>
        <v>May</v>
      </c>
      <c r="K548" s="8">
        <f t="shared" si="16"/>
        <v>2</v>
      </c>
      <c r="L548" s="8">
        <f t="shared" si="17"/>
        <v>5</v>
      </c>
    </row>
    <row r="549" spans="1:12" x14ac:dyDescent="0.3">
      <c r="A549" s="10">
        <v>45433</v>
      </c>
      <c r="B549" s="11">
        <v>45433.40602209491</v>
      </c>
      <c r="C549" s="12">
        <f t="shared" si="12"/>
        <v>9</v>
      </c>
      <c r="D549" s="12" t="s">
        <v>27</v>
      </c>
      <c r="E549" s="12"/>
      <c r="F549" s="13">
        <v>34</v>
      </c>
      <c r="G549" s="12" t="s">
        <v>20</v>
      </c>
      <c r="H549" s="12" t="str">
        <f t="shared" si="13"/>
        <v>Morning</v>
      </c>
      <c r="I549" s="12" t="str">
        <f t="shared" si="14"/>
        <v>Tue</v>
      </c>
      <c r="J549" s="12" t="str">
        <f t="shared" si="15"/>
        <v>May</v>
      </c>
      <c r="K549" s="12">
        <f t="shared" si="16"/>
        <v>2</v>
      </c>
      <c r="L549" s="12">
        <f t="shared" si="17"/>
        <v>5</v>
      </c>
    </row>
    <row r="550" spans="1:12" x14ac:dyDescent="0.3">
      <c r="A550" s="6">
        <v>45433</v>
      </c>
      <c r="B550" s="7">
        <v>45433.407053587965</v>
      </c>
      <c r="C550" s="8">
        <f t="shared" si="12"/>
        <v>9</v>
      </c>
      <c r="D550" s="8" t="s">
        <v>27</v>
      </c>
      <c r="E550" s="8"/>
      <c r="F550" s="9">
        <v>39</v>
      </c>
      <c r="G550" s="8" t="s">
        <v>24</v>
      </c>
      <c r="H550" s="8" t="str">
        <f t="shared" si="13"/>
        <v>Morning</v>
      </c>
      <c r="I550" s="8" t="str">
        <f t="shared" si="14"/>
        <v>Tue</v>
      </c>
      <c r="J550" s="8" t="str">
        <f t="shared" si="15"/>
        <v>May</v>
      </c>
      <c r="K550" s="8">
        <f t="shared" si="16"/>
        <v>2</v>
      </c>
      <c r="L550" s="8">
        <f t="shared" si="17"/>
        <v>5</v>
      </c>
    </row>
    <row r="551" spans="1:12" x14ac:dyDescent="0.3">
      <c r="A551" s="10">
        <v>45433</v>
      </c>
      <c r="B551" s="11">
        <v>45433.420231863427</v>
      </c>
      <c r="C551" s="12">
        <f t="shared" si="12"/>
        <v>10</v>
      </c>
      <c r="D551" s="12" t="s">
        <v>27</v>
      </c>
      <c r="E551" s="12"/>
      <c r="F551" s="13">
        <v>39</v>
      </c>
      <c r="G551" s="12" t="s">
        <v>13</v>
      </c>
      <c r="H551" s="12" t="str">
        <f t="shared" si="13"/>
        <v>Morning</v>
      </c>
      <c r="I551" s="12" t="str">
        <f t="shared" si="14"/>
        <v>Tue</v>
      </c>
      <c r="J551" s="12" t="str">
        <f t="shared" si="15"/>
        <v>May</v>
      </c>
      <c r="K551" s="12">
        <f t="shared" si="16"/>
        <v>2</v>
      </c>
      <c r="L551" s="12">
        <f t="shared" si="17"/>
        <v>5</v>
      </c>
    </row>
    <row r="552" spans="1:12" x14ac:dyDescent="0.3">
      <c r="A552" s="6">
        <v>45433</v>
      </c>
      <c r="B552" s="7">
        <v>45433.673842083335</v>
      </c>
      <c r="C552" s="8">
        <f t="shared" si="12"/>
        <v>16</v>
      </c>
      <c r="D552" s="8" t="s">
        <v>4</v>
      </c>
      <c r="E552" s="8" t="s">
        <v>217</v>
      </c>
      <c r="F552" s="9">
        <v>37.72</v>
      </c>
      <c r="G552" s="8" t="s">
        <v>13</v>
      </c>
      <c r="H552" s="8" t="str">
        <f t="shared" si="13"/>
        <v>Afternoon</v>
      </c>
      <c r="I552" s="8" t="str">
        <f t="shared" si="14"/>
        <v>Tue</v>
      </c>
      <c r="J552" s="8" t="str">
        <f t="shared" si="15"/>
        <v>May</v>
      </c>
      <c r="K552" s="8">
        <f t="shared" si="16"/>
        <v>2</v>
      </c>
      <c r="L552" s="8">
        <f t="shared" si="17"/>
        <v>5</v>
      </c>
    </row>
    <row r="553" spans="1:12" x14ac:dyDescent="0.3">
      <c r="A553" s="10">
        <v>45433</v>
      </c>
      <c r="B553" s="11">
        <v>45433.759305532411</v>
      </c>
      <c r="C553" s="12">
        <f t="shared" si="12"/>
        <v>18</v>
      </c>
      <c r="D553" s="12" t="s">
        <v>4</v>
      </c>
      <c r="E553" s="12" t="s">
        <v>29</v>
      </c>
      <c r="F553" s="13">
        <v>23.02</v>
      </c>
      <c r="G553" s="12" t="s">
        <v>41</v>
      </c>
      <c r="H553" s="12" t="str">
        <f t="shared" si="13"/>
        <v>Night</v>
      </c>
      <c r="I553" s="12" t="str">
        <f t="shared" si="14"/>
        <v>Tue</v>
      </c>
      <c r="J553" s="12" t="str">
        <f t="shared" si="15"/>
        <v>May</v>
      </c>
      <c r="K553" s="12">
        <f t="shared" si="16"/>
        <v>2</v>
      </c>
      <c r="L553" s="12">
        <f t="shared" si="17"/>
        <v>5</v>
      </c>
    </row>
    <row r="554" spans="1:12" x14ac:dyDescent="0.3">
      <c r="A554" s="6">
        <v>45433</v>
      </c>
      <c r="B554" s="7">
        <v>45433.799412175926</v>
      </c>
      <c r="C554" s="8">
        <f t="shared" si="12"/>
        <v>19</v>
      </c>
      <c r="D554" s="8" t="s">
        <v>4</v>
      </c>
      <c r="E554" s="8" t="s">
        <v>218</v>
      </c>
      <c r="F554" s="9">
        <v>37.72</v>
      </c>
      <c r="G554" s="8" t="s">
        <v>49</v>
      </c>
      <c r="H554" s="8" t="str">
        <f t="shared" si="13"/>
        <v>Night</v>
      </c>
      <c r="I554" s="8" t="str">
        <f t="shared" si="14"/>
        <v>Tue</v>
      </c>
      <c r="J554" s="8" t="str">
        <f t="shared" si="15"/>
        <v>May</v>
      </c>
      <c r="K554" s="8">
        <f t="shared" si="16"/>
        <v>2</v>
      </c>
      <c r="L554" s="8">
        <f t="shared" si="17"/>
        <v>5</v>
      </c>
    </row>
    <row r="555" spans="1:12" x14ac:dyDescent="0.3">
      <c r="A555" s="10">
        <v>45433</v>
      </c>
      <c r="B555" s="11">
        <v>45433.842920810188</v>
      </c>
      <c r="C555" s="12">
        <f t="shared" si="12"/>
        <v>20</v>
      </c>
      <c r="D555" s="12" t="s">
        <v>4</v>
      </c>
      <c r="E555" s="12" t="s">
        <v>219</v>
      </c>
      <c r="F555" s="13">
        <v>37.72</v>
      </c>
      <c r="G555" s="12" t="s">
        <v>49</v>
      </c>
      <c r="H555" s="12" t="str">
        <f t="shared" si="13"/>
        <v>Night</v>
      </c>
      <c r="I555" s="12" t="str">
        <f t="shared" si="14"/>
        <v>Tue</v>
      </c>
      <c r="J555" s="12" t="str">
        <f t="shared" si="15"/>
        <v>May</v>
      </c>
      <c r="K555" s="12">
        <f t="shared" si="16"/>
        <v>2</v>
      </c>
      <c r="L555" s="12">
        <f t="shared" si="17"/>
        <v>5</v>
      </c>
    </row>
    <row r="556" spans="1:12" x14ac:dyDescent="0.3">
      <c r="A556" s="6">
        <v>45434</v>
      </c>
      <c r="B556" s="7">
        <v>45434.399095115739</v>
      </c>
      <c r="C556" s="8">
        <f t="shared" si="12"/>
        <v>9</v>
      </c>
      <c r="D556" s="8" t="s">
        <v>4</v>
      </c>
      <c r="E556" s="8" t="s">
        <v>220</v>
      </c>
      <c r="F556" s="9">
        <v>37.72</v>
      </c>
      <c r="G556" s="8" t="s">
        <v>49</v>
      </c>
      <c r="H556" s="8" t="str">
        <f t="shared" si="13"/>
        <v>Morning</v>
      </c>
      <c r="I556" s="8" t="str">
        <f t="shared" si="14"/>
        <v>Wed</v>
      </c>
      <c r="J556" s="8" t="str">
        <f t="shared" si="15"/>
        <v>May</v>
      </c>
      <c r="K556" s="8">
        <f t="shared" si="16"/>
        <v>3</v>
      </c>
      <c r="L556" s="8">
        <f t="shared" si="17"/>
        <v>5</v>
      </c>
    </row>
    <row r="557" spans="1:12" x14ac:dyDescent="0.3">
      <c r="A557" s="10">
        <v>45434</v>
      </c>
      <c r="B557" s="11">
        <v>45434.451238935188</v>
      </c>
      <c r="C557" s="12">
        <f t="shared" si="12"/>
        <v>10</v>
      </c>
      <c r="D557" s="12" t="s">
        <v>4</v>
      </c>
      <c r="E557" s="12" t="s">
        <v>211</v>
      </c>
      <c r="F557" s="13">
        <v>32.82</v>
      </c>
      <c r="G557" s="12" t="s">
        <v>20</v>
      </c>
      <c r="H557" s="12" t="str">
        <f t="shared" si="13"/>
        <v>Morning</v>
      </c>
      <c r="I557" s="12" t="str">
        <f t="shared" si="14"/>
        <v>Wed</v>
      </c>
      <c r="J557" s="12" t="str">
        <f t="shared" si="15"/>
        <v>May</v>
      </c>
      <c r="K557" s="12">
        <f t="shared" si="16"/>
        <v>3</v>
      </c>
      <c r="L557" s="12">
        <f t="shared" si="17"/>
        <v>5</v>
      </c>
    </row>
    <row r="558" spans="1:12" x14ac:dyDescent="0.3">
      <c r="A558" s="6">
        <v>45434</v>
      </c>
      <c r="B558" s="7">
        <v>45434.4709984375</v>
      </c>
      <c r="C558" s="8">
        <f t="shared" si="12"/>
        <v>11</v>
      </c>
      <c r="D558" s="8" t="s">
        <v>4</v>
      </c>
      <c r="E558" s="8" t="s">
        <v>161</v>
      </c>
      <c r="F558" s="9">
        <v>27.92</v>
      </c>
      <c r="G558" s="8" t="s">
        <v>34</v>
      </c>
      <c r="H558" s="8" t="str">
        <f t="shared" si="13"/>
        <v>Morning</v>
      </c>
      <c r="I558" s="8" t="str">
        <f t="shared" si="14"/>
        <v>Wed</v>
      </c>
      <c r="J558" s="8" t="str">
        <f t="shared" si="15"/>
        <v>May</v>
      </c>
      <c r="K558" s="8">
        <f t="shared" si="16"/>
        <v>3</v>
      </c>
      <c r="L558" s="8">
        <f t="shared" si="17"/>
        <v>5</v>
      </c>
    </row>
    <row r="559" spans="1:12" x14ac:dyDescent="0.3">
      <c r="A559" s="10">
        <v>45434</v>
      </c>
      <c r="B559" s="11">
        <v>45434.482580648146</v>
      </c>
      <c r="C559" s="12">
        <f t="shared" si="12"/>
        <v>11</v>
      </c>
      <c r="D559" s="12" t="s">
        <v>4</v>
      </c>
      <c r="E559" s="12" t="s">
        <v>117</v>
      </c>
      <c r="F559" s="13">
        <v>32.82</v>
      </c>
      <c r="G559" s="12" t="s">
        <v>20</v>
      </c>
      <c r="H559" s="12" t="str">
        <f t="shared" si="13"/>
        <v>Morning</v>
      </c>
      <c r="I559" s="12" t="str">
        <f t="shared" si="14"/>
        <v>Wed</v>
      </c>
      <c r="J559" s="12" t="str">
        <f t="shared" si="15"/>
        <v>May</v>
      </c>
      <c r="K559" s="12">
        <f t="shared" si="16"/>
        <v>3</v>
      </c>
      <c r="L559" s="12">
        <f t="shared" si="17"/>
        <v>5</v>
      </c>
    </row>
    <row r="560" spans="1:12" x14ac:dyDescent="0.3">
      <c r="A560" s="6">
        <v>45434</v>
      </c>
      <c r="B560" s="7">
        <v>45434.520727326388</v>
      </c>
      <c r="C560" s="8">
        <f t="shared" si="12"/>
        <v>12</v>
      </c>
      <c r="D560" s="8" t="s">
        <v>4</v>
      </c>
      <c r="E560" s="8" t="s">
        <v>29</v>
      </c>
      <c r="F560" s="9">
        <v>27.92</v>
      </c>
      <c r="G560" s="8" t="s">
        <v>17</v>
      </c>
      <c r="H560" s="8" t="str">
        <f t="shared" si="13"/>
        <v>Afternoon</v>
      </c>
      <c r="I560" s="8" t="str">
        <f t="shared" si="14"/>
        <v>Wed</v>
      </c>
      <c r="J560" s="8" t="str">
        <f t="shared" si="15"/>
        <v>May</v>
      </c>
      <c r="K560" s="8">
        <f t="shared" si="16"/>
        <v>3</v>
      </c>
      <c r="L560" s="8">
        <f t="shared" si="17"/>
        <v>5</v>
      </c>
    </row>
    <row r="561" spans="1:12" x14ac:dyDescent="0.3">
      <c r="A561" s="10">
        <v>45434</v>
      </c>
      <c r="B561" s="11">
        <v>45434.521335034726</v>
      </c>
      <c r="C561" s="12">
        <f t="shared" si="12"/>
        <v>12</v>
      </c>
      <c r="D561" s="12" t="s">
        <v>4</v>
      </c>
      <c r="E561" s="12" t="s">
        <v>29</v>
      </c>
      <c r="F561" s="13">
        <v>27.92</v>
      </c>
      <c r="G561" s="12" t="s">
        <v>17</v>
      </c>
      <c r="H561" s="12" t="str">
        <f t="shared" si="13"/>
        <v>Afternoon</v>
      </c>
      <c r="I561" s="12" t="str">
        <f t="shared" si="14"/>
        <v>Wed</v>
      </c>
      <c r="J561" s="12" t="str">
        <f t="shared" si="15"/>
        <v>May</v>
      </c>
      <c r="K561" s="12">
        <f t="shared" si="16"/>
        <v>3</v>
      </c>
      <c r="L561" s="12">
        <f t="shared" si="17"/>
        <v>5</v>
      </c>
    </row>
    <row r="562" spans="1:12" x14ac:dyDescent="0.3">
      <c r="A562" s="6">
        <v>45434</v>
      </c>
      <c r="B562" s="7">
        <v>45434.583570590279</v>
      </c>
      <c r="C562" s="8">
        <f t="shared" si="12"/>
        <v>14</v>
      </c>
      <c r="D562" s="8" t="s">
        <v>4</v>
      </c>
      <c r="E562" s="8" t="s">
        <v>25</v>
      </c>
      <c r="F562" s="9">
        <v>32.82</v>
      </c>
      <c r="G562" s="8" t="s">
        <v>20</v>
      </c>
      <c r="H562" s="8" t="str">
        <f t="shared" si="13"/>
        <v>Afternoon</v>
      </c>
      <c r="I562" s="8" t="str">
        <f t="shared" si="14"/>
        <v>Wed</v>
      </c>
      <c r="J562" s="8" t="str">
        <f t="shared" si="15"/>
        <v>May</v>
      </c>
      <c r="K562" s="8">
        <f t="shared" si="16"/>
        <v>3</v>
      </c>
      <c r="L562" s="8">
        <f t="shared" si="17"/>
        <v>5</v>
      </c>
    </row>
    <row r="563" spans="1:12" x14ac:dyDescent="0.3">
      <c r="A563" s="10">
        <v>45434</v>
      </c>
      <c r="B563" s="11">
        <v>45434.809005763891</v>
      </c>
      <c r="C563" s="12">
        <f t="shared" si="12"/>
        <v>19</v>
      </c>
      <c r="D563" s="12" t="s">
        <v>4</v>
      </c>
      <c r="E563" s="12" t="s">
        <v>154</v>
      </c>
      <c r="F563" s="13">
        <v>37.72</v>
      </c>
      <c r="G563" s="12" t="s">
        <v>49</v>
      </c>
      <c r="H563" s="12" t="str">
        <f t="shared" si="13"/>
        <v>Night</v>
      </c>
      <c r="I563" s="12" t="str">
        <f t="shared" si="14"/>
        <v>Wed</v>
      </c>
      <c r="J563" s="12" t="str">
        <f t="shared" si="15"/>
        <v>May</v>
      </c>
      <c r="K563" s="12">
        <f t="shared" si="16"/>
        <v>3</v>
      </c>
      <c r="L563" s="12">
        <f t="shared" si="17"/>
        <v>5</v>
      </c>
    </row>
    <row r="564" spans="1:12" x14ac:dyDescent="0.3">
      <c r="A564" s="6">
        <v>45434</v>
      </c>
      <c r="B564" s="7">
        <v>45434.809705717591</v>
      </c>
      <c r="C564" s="8">
        <f t="shared" si="12"/>
        <v>19</v>
      </c>
      <c r="D564" s="8" t="s">
        <v>4</v>
      </c>
      <c r="E564" s="8" t="s">
        <v>154</v>
      </c>
      <c r="F564" s="9">
        <v>37.72</v>
      </c>
      <c r="G564" s="8" t="s">
        <v>49</v>
      </c>
      <c r="H564" s="8" t="str">
        <f t="shared" si="13"/>
        <v>Night</v>
      </c>
      <c r="I564" s="8" t="str">
        <f t="shared" si="14"/>
        <v>Wed</v>
      </c>
      <c r="J564" s="8" t="str">
        <f t="shared" si="15"/>
        <v>May</v>
      </c>
      <c r="K564" s="8">
        <f t="shared" si="16"/>
        <v>3</v>
      </c>
      <c r="L564" s="8">
        <f t="shared" si="17"/>
        <v>5</v>
      </c>
    </row>
    <row r="565" spans="1:12" x14ac:dyDescent="0.3">
      <c r="A565" s="10">
        <v>45434</v>
      </c>
      <c r="B565" s="11">
        <v>45434.891585648147</v>
      </c>
      <c r="C565" s="12">
        <f t="shared" si="12"/>
        <v>21</v>
      </c>
      <c r="D565" s="12" t="s">
        <v>4</v>
      </c>
      <c r="E565" s="12" t="s">
        <v>200</v>
      </c>
      <c r="F565" s="13">
        <v>37.72</v>
      </c>
      <c r="G565" s="12" t="s">
        <v>15</v>
      </c>
      <c r="H565" s="12" t="str">
        <f t="shared" si="13"/>
        <v>Night</v>
      </c>
      <c r="I565" s="12" t="str">
        <f t="shared" si="14"/>
        <v>Wed</v>
      </c>
      <c r="J565" s="12" t="str">
        <f t="shared" si="15"/>
        <v>May</v>
      </c>
      <c r="K565" s="12">
        <f t="shared" si="16"/>
        <v>3</v>
      </c>
      <c r="L565" s="12">
        <f t="shared" si="17"/>
        <v>5</v>
      </c>
    </row>
    <row r="566" spans="1:12" x14ac:dyDescent="0.3">
      <c r="A566" s="6">
        <v>45434</v>
      </c>
      <c r="B566" s="7">
        <v>45434.892240555557</v>
      </c>
      <c r="C566" s="8">
        <f t="shared" si="12"/>
        <v>21</v>
      </c>
      <c r="D566" s="8" t="s">
        <v>4</v>
      </c>
      <c r="E566" s="8" t="s">
        <v>200</v>
      </c>
      <c r="F566" s="9">
        <v>37.72</v>
      </c>
      <c r="G566" s="8" t="s">
        <v>49</v>
      </c>
      <c r="H566" s="8" t="str">
        <f t="shared" si="13"/>
        <v>Night</v>
      </c>
      <c r="I566" s="8" t="str">
        <f t="shared" si="14"/>
        <v>Wed</v>
      </c>
      <c r="J566" s="8" t="str">
        <f t="shared" si="15"/>
        <v>May</v>
      </c>
      <c r="K566" s="8">
        <f t="shared" si="16"/>
        <v>3</v>
      </c>
      <c r="L566" s="8">
        <f t="shared" si="17"/>
        <v>5</v>
      </c>
    </row>
    <row r="567" spans="1:12" x14ac:dyDescent="0.3">
      <c r="A567" s="10">
        <v>45435</v>
      </c>
      <c r="B567" s="11">
        <v>45435.423838425922</v>
      </c>
      <c r="C567" s="12">
        <f t="shared" si="12"/>
        <v>10</v>
      </c>
      <c r="D567" s="12" t="s">
        <v>4</v>
      </c>
      <c r="E567" s="12" t="s">
        <v>221</v>
      </c>
      <c r="F567" s="13">
        <v>37.72</v>
      </c>
      <c r="G567" s="12" t="s">
        <v>49</v>
      </c>
      <c r="H567" s="12" t="str">
        <f t="shared" si="13"/>
        <v>Morning</v>
      </c>
      <c r="I567" s="12" t="str">
        <f t="shared" si="14"/>
        <v>Thu</v>
      </c>
      <c r="J567" s="12" t="str">
        <f t="shared" si="15"/>
        <v>May</v>
      </c>
      <c r="K567" s="12">
        <f t="shared" si="16"/>
        <v>4</v>
      </c>
      <c r="L567" s="12">
        <f t="shared" si="17"/>
        <v>5</v>
      </c>
    </row>
    <row r="568" spans="1:12" x14ac:dyDescent="0.3">
      <c r="A568" s="6">
        <v>45435</v>
      </c>
      <c r="B568" s="7">
        <v>45435.515354224539</v>
      </c>
      <c r="C568" s="8">
        <f t="shared" si="12"/>
        <v>12</v>
      </c>
      <c r="D568" s="8" t="s">
        <v>4</v>
      </c>
      <c r="E568" s="8" t="s">
        <v>222</v>
      </c>
      <c r="F568" s="9">
        <v>23.02</v>
      </c>
      <c r="G568" s="8" t="s">
        <v>41</v>
      </c>
      <c r="H568" s="8" t="str">
        <f t="shared" si="13"/>
        <v>Afternoon</v>
      </c>
      <c r="I568" s="8" t="str">
        <f t="shared" si="14"/>
        <v>Thu</v>
      </c>
      <c r="J568" s="8" t="str">
        <f t="shared" si="15"/>
        <v>May</v>
      </c>
      <c r="K568" s="8">
        <f t="shared" si="16"/>
        <v>4</v>
      </c>
      <c r="L568" s="8">
        <f t="shared" si="17"/>
        <v>5</v>
      </c>
    </row>
    <row r="569" spans="1:12" x14ac:dyDescent="0.3">
      <c r="A569" s="10">
        <v>45435</v>
      </c>
      <c r="B569" s="11">
        <v>45435.663386898152</v>
      </c>
      <c r="C569" s="12">
        <f t="shared" si="12"/>
        <v>15</v>
      </c>
      <c r="D569" s="12" t="s">
        <v>4</v>
      </c>
      <c r="E569" s="12" t="s">
        <v>200</v>
      </c>
      <c r="F569" s="13">
        <v>37.72</v>
      </c>
      <c r="G569" s="12" t="s">
        <v>49</v>
      </c>
      <c r="H569" s="12" t="str">
        <f t="shared" si="13"/>
        <v>Afternoon</v>
      </c>
      <c r="I569" s="12" t="str">
        <f t="shared" si="14"/>
        <v>Thu</v>
      </c>
      <c r="J569" s="12" t="str">
        <f t="shared" si="15"/>
        <v>May</v>
      </c>
      <c r="K569" s="12">
        <f t="shared" si="16"/>
        <v>4</v>
      </c>
      <c r="L569" s="12">
        <f t="shared" si="17"/>
        <v>5</v>
      </c>
    </row>
    <row r="570" spans="1:12" x14ac:dyDescent="0.3">
      <c r="A570" s="6">
        <v>45435</v>
      </c>
      <c r="B570" s="7">
        <v>45435.664204131943</v>
      </c>
      <c r="C570" s="8">
        <f t="shared" si="12"/>
        <v>15</v>
      </c>
      <c r="D570" s="8" t="s">
        <v>4</v>
      </c>
      <c r="E570" s="8" t="s">
        <v>223</v>
      </c>
      <c r="F570" s="9">
        <v>37.72</v>
      </c>
      <c r="G570" s="8" t="s">
        <v>49</v>
      </c>
      <c r="H570" s="8" t="str">
        <f t="shared" si="13"/>
        <v>Afternoon</v>
      </c>
      <c r="I570" s="8" t="str">
        <f t="shared" si="14"/>
        <v>Thu</v>
      </c>
      <c r="J570" s="8" t="str">
        <f t="shared" si="15"/>
        <v>May</v>
      </c>
      <c r="K570" s="8">
        <f t="shared" si="16"/>
        <v>4</v>
      </c>
      <c r="L570" s="8">
        <f t="shared" si="17"/>
        <v>5</v>
      </c>
    </row>
    <row r="571" spans="1:12" x14ac:dyDescent="0.3">
      <c r="A571" s="10">
        <v>45435</v>
      </c>
      <c r="B571" s="11">
        <v>45435.679329317129</v>
      </c>
      <c r="C571" s="12">
        <f t="shared" si="12"/>
        <v>16</v>
      </c>
      <c r="D571" s="12" t="s">
        <v>4</v>
      </c>
      <c r="E571" s="12" t="s">
        <v>200</v>
      </c>
      <c r="F571" s="13">
        <v>37.72</v>
      </c>
      <c r="G571" s="12" t="s">
        <v>49</v>
      </c>
      <c r="H571" s="12" t="str">
        <f t="shared" si="13"/>
        <v>Afternoon</v>
      </c>
      <c r="I571" s="12" t="str">
        <f t="shared" si="14"/>
        <v>Thu</v>
      </c>
      <c r="J571" s="12" t="str">
        <f t="shared" si="15"/>
        <v>May</v>
      </c>
      <c r="K571" s="12">
        <f t="shared" si="16"/>
        <v>4</v>
      </c>
      <c r="L571" s="12">
        <f t="shared" si="17"/>
        <v>5</v>
      </c>
    </row>
    <row r="572" spans="1:12" x14ac:dyDescent="0.3">
      <c r="A572" s="6">
        <v>45435</v>
      </c>
      <c r="B572" s="7">
        <v>45435.695139386575</v>
      </c>
      <c r="C572" s="8">
        <f t="shared" si="12"/>
        <v>16</v>
      </c>
      <c r="D572" s="8" t="s">
        <v>4</v>
      </c>
      <c r="E572" s="8" t="s">
        <v>97</v>
      </c>
      <c r="F572" s="9">
        <v>37.72</v>
      </c>
      <c r="G572" s="8" t="s">
        <v>13</v>
      </c>
      <c r="H572" s="8" t="str">
        <f t="shared" si="13"/>
        <v>Afternoon</v>
      </c>
      <c r="I572" s="8" t="str">
        <f t="shared" si="14"/>
        <v>Thu</v>
      </c>
      <c r="J572" s="8" t="str">
        <f t="shared" si="15"/>
        <v>May</v>
      </c>
      <c r="K572" s="8">
        <f t="shared" si="16"/>
        <v>4</v>
      </c>
      <c r="L572" s="8">
        <f t="shared" si="17"/>
        <v>5</v>
      </c>
    </row>
    <row r="573" spans="1:12" x14ac:dyDescent="0.3">
      <c r="A573" s="10">
        <v>45435</v>
      </c>
      <c r="B573" s="11">
        <v>45435.718440243058</v>
      </c>
      <c r="C573" s="12">
        <f t="shared" si="12"/>
        <v>17</v>
      </c>
      <c r="D573" s="12" t="s">
        <v>4</v>
      </c>
      <c r="E573" s="12" t="s">
        <v>173</v>
      </c>
      <c r="F573" s="13">
        <v>37.72</v>
      </c>
      <c r="G573" s="12" t="s">
        <v>49</v>
      </c>
      <c r="H573" s="12" t="str">
        <f t="shared" si="13"/>
        <v>Night</v>
      </c>
      <c r="I573" s="12" t="str">
        <f t="shared" si="14"/>
        <v>Thu</v>
      </c>
      <c r="J573" s="12" t="str">
        <f t="shared" si="15"/>
        <v>May</v>
      </c>
      <c r="K573" s="12">
        <f t="shared" si="16"/>
        <v>4</v>
      </c>
      <c r="L573" s="12">
        <f t="shared" si="17"/>
        <v>5</v>
      </c>
    </row>
    <row r="574" spans="1:12" x14ac:dyDescent="0.3">
      <c r="A574" s="6">
        <v>45435</v>
      </c>
      <c r="B574" s="7">
        <v>45435.719269224537</v>
      </c>
      <c r="C574" s="8">
        <f t="shared" si="12"/>
        <v>17</v>
      </c>
      <c r="D574" s="8" t="s">
        <v>4</v>
      </c>
      <c r="E574" s="8" t="s">
        <v>173</v>
      </c>
      <c r="F574" s="9">
        <v>37.72</v>
      </c>
      <c r="G574" s="8" t="s">
        <v>13</v>
      </c>
      <c r="H574" s="8" t="str">
        <f t="shared" si="13"/>
        <v>Night</v>
      </c>
      <c r="I574" s="8" t="str">
        <f t="shared" si="14"/>
        <v>Thu</v>
      </c>
      <c r="J574" s="8" t="str">
        <f t="shared" si="15"/>
        <v>May</v>
      </c>
      <c r="K574" s="8">
        <f t="shared" si="16"/>
        <v>4</v>
      </c>
      <c r="L574" s="8">
        <f t="shared" si="17"/>
        <v>5</v>
      </c>
    </row>
    <row r="575" spans="1:12" x14ac:dyDescent="0.3">
      <c r="A575" s="10">
        <v>45435</v>
      </c>
      <c r="B575" s="11">
        <v>45435.79437333333</v>
      </c>
      <c r="C575" s="12">
        <f t="shared" si="12"/>
        <v>19</v>
      </c>
      <c r="D575" s="12" t="s">
        <v>4</v>
      </c>
      <c r="E575" s="12" t="s">
        <v>224</v>
      </c>
      <c r="F575" s="13">
        <v>27.92</v>
      </c>
      <c r="G575" s="12" t="s">
        <v>34</v>
      </c>
      <c r="H575" s="12" t="str">
        <f t="shared" si="13"/>
        <v>Night</v>
      </c>
      <c r="I575" s="12" t="str">
        <f t="shared" si="14"/>
        <v>Thu</v>
      </c>
      <c r="J575" s="12" t="str">
        <f t="shared" si="15"/>
        <v>May</v>
      </c>
      <c r="K575" s="12">
        <f t="shared" si="16"/>
        <v>4</v>
      </c>
      <c r="L575" s="12">
        <f t="shared" si="17"/>
        <v>5</v>
      </c>
    </row>
    <row r="576" spans="1:12" x14ac:dyDescent="0.3">
      <c r="A576" s="6">
        <v>45435</v>
      </c>
      <c r="B576" s="7">
        <v>45435.803801284725</v>
      </c>
      <c r="C576" s="8">
        <f t="shared" si="12"/>
        <v>19</v>
      </c>
      <c r="D576" s="8" t="s">
        <v>4</v>
      </c>
      <c r="E576" s="8" t="s">
        <v>154</v>
      </c>
      <c r="F576" s="9">
        <v>37.72</v>
      </c>
      <c r="G576" s="8" t="s">
        <v>49</v>
      </c>
      <c r="H576" s="8" t="str">
        <f t="shared" si="13"/>
        <v>Night</v>
      </c>
      <c r="I576" s="8" t="str">
        <f t="shared" si="14"/>
        <v>Thu</v>
      </c>
      <c r="J576" s="8" t="str">
        <f t="shared" si="15"/>
        <v>May</v>
      </c>
      <c r="K576" s="8">
        <f t="shared" si="16"/>
        <v>4</v>
      </c>
      <c r="L576" s="8">
        <f t="shared" si="17"/>
        <v>5</v>
      </c>
    </row>
    <row r="577" spans="1:12" x14ac:dyDescent="0.3">
      <c r="A577" s="10">
        <v>45435</v>
      </c>
      <c r="B577" s="11">
        <v>45435.804472430558</v>
      </c>
      <c r="C577" s="12">
        <f t="shared" si="12"/>
        <v>19</v>
      </c>
      <c r="D577" s="12" t="s">
        <v>4</v>
      </c>
      <c r="E577" s="12" t="s">
        <v>225</v>
      </c>
      <c r="F577" s="13">
        <v>37.72</v>
      </c>
      <c r="G577" s="12" t="s">
        <v>49</v>
      </c>
      <c r="H577" s="12" t="str">
        <f t="shared" si="13"/>
        <v>Night</v>
      </c>
      <c r="I577" s="12" t="str">
        <f t="shared" si="14"/>
        <v>Thu</v>
      </c>
      <c r="J577" s="12" t="str">
        <f t="shared" si="15"/>
        <v>May</v>
      </c>
      <c r="K577" s="12">
        <f t="shared" si="16"/>
        <v>4</v>
      </c>
      <c r="L577" s="12">
        <f t="shared" si="17"/>
        <v>5</v>
      </c>
    </row>
    <row r="578" spans="1:12" x14ac:dyDescent="0.3">
      <c r="A578" s="6">
        <v>45435</v>
      </c>
      <c r="B578" s="7">
        <v>45435.821198449077</v>
      </c>
      <c r="C578" s="8">
        <f t="shared" si="12"/>
        <v>19</v>
      </c>
      <c r="D578" s="8" t="s">
        <v>4</v>
      </c>
      <c r="E578" s="8" t="s">
        <v>226</v>
      </c>
      <c r="F578" s="9">
        <v>37.72</v>
      </c>
      <c r="G578" s="8" t="s">
        <v>49</v>
      </c>
      <c r="H578" s="8" t="str">
        <f t="shared" si="13"/>
        <v>Night</v>
      </c>
      <c r="I578" s="8" t="str">
        <f t="shared" si="14"/>
        <v>Thu</v>
      </c>
      <c r="J578" s="8" t="str">
        <f t="shared" si="15"/>
        <v>May</v>
      </c>
      <c r="K578" s="8">
        <f t="shared" si="16"/>
        <v>4</v>
      </c>
      <c r="L578" s="8">
        <f t="shared" si="17"/>
        <v>5</v>
      </c>
    </row>
    <row r="579" spans="1:12" x14ac:dyDescent="0.3">
      <c r="A579" s="10">
        <v>45435</v>
      </c>
      <c r="B579" s="11">
        <v>45435.84376653935</v>
      </c>
      <c r="C579" s="12">
        <f t="shared" si="12"/>
        <v>20</v>
      </c>
      <c r="D579" s="12" t="s">
        <v>4</v>
      </c>
      <c r="E579" s="12" t="s">
        <v>227</v>
      </c>
      <c r="F579" s="13">
        <v>37.72</v>
      </c>
      <c r="G579" s="12" t="s">
        <v>49</v>
      </c>
      <c r="H579" s="12" t="str">
        <f t="shared" si="13"/>
        <v>Night</v>
      </c>
      <c r="I579" s="12" t="str">
        <f t="shared" si="14"/>
        <v>Thu</v>
      </c>
      <c r="J579" s="12" t="str">
        <f t="shared" si="15"/>
        <v>May</v>
      </c>
      <c r="K579" s="12">
        <f t="shared" si="16"/>
        <v>4</v>
      </c>
      <c r="L579" s="12">
        <f t="shared" si="17"/>
        <v>5</v>
      </c>
    </row>
    <row r="580" spans="1:12" x14ac:dyDescent="0.3">
      <c r="A580" s="6">
        <v>45435</v>
      </c>
      <c r="B580" s="7">
        <v>45435.844724594906</v>
      </c>
      <c r="C580" s="8">
        <f t="shared" si="12"/>
        <v>20</v>
      </c>
      <c r="D580" s="8" t="s">
        <v>4</v>
      </c>
      <c r="E580" s="8" t="s">
        <v>227</v>
      </c>
      <c r="F580" s="9">
        <v>37.72</v>
      </c>
      <c r="G580" s="8" t="s">
        <v>13</v>
      </c>
      <c r="H580" s="8" t="str">
        <f t="shared" si="13"/>
        <v>Night</v>
      </c>
      <c r="I580" s="8" t="str">
        <f t="shared" si="14"/>
        <v>Thu</v>
      </c>
      <c r="J580" s="8" t="str">
        <f t="shared" si="15"/>
        <v>May</v>
      </c>
      <c r="K580" s="8">
        <f t="shared" si="16"/>
        <v>4</v>
      </c>
      <c r="L580" s="8">
        <f t="shared" si="17"/>
        <v>5</v>
      </c>
    </row>
    <row r="581" spans="1:12" x14ac:dyDescent="0.3">
      <c r="A581" s="10">
        <v>45435</v>
      </c>
      <c r="B581" s="11">
        <v>45435.950125150463</v>
      </c>
      <c r="C581" s="12">
        <f t="shared" si="12"/>
        <v>22</v>
      </c>
      <c r="D581" s="12" t="s">
        <v>4</v>
      </c>
      <c r="E581" s="12" t="s">
        <v>228</v>
      </c>
      <c r="F581" s="13">
        <v>32.82</v>
      </c>
      <c r="G581" s="12" t="s">
        <v>20</v>
      </c>
      <c r="H581" s="12" t="str">
        <f t="shared" si="13"/>
        <v>Night</v>
      </c>
      <c r="I581" s="12" t="str">
        <f t="shared" si="14"/>
        <v>Thu</v>
      </c>
      <c r="J581" s="12" t="str">
        <f t="shared" si="15"/>
        <v>May</v>
      </c>
      <c r="K581" s="12">
        <f t="shared" si="16"/>
        <v>4</v>
      </c>
      <c r="L581" s="12">
        <f t="shared" si="17"/>
        <v>5</v>
      </c>
    </row>
    <row r="582" spans="1:12" x14ac:dyDescent="0.3">
      <c r="A582" s="6">
        <v>45435</v>
      </c>
      <c r="B582" s="7">
        <v>45435.955288495374</v>
      </c>
      <c r="C582" s="8">
        <f t="shared" si="12"/>
        <v>22</v>
      </c>
      <c r="D582" s="8" t="s">
        <v>27</v>
      </c>
      <c r="E582" s="8"/>
      <c r="F582" s="9">
        <v>39</v>
      </c>
      <c r="G582" s="8" t="s">
        <v>15</v>
      </c>
      <c r="H582" s="8" t="str">
        <f t="shared" si="13"/>
        <v>Night</v>
      </c>
      <c r="I582" s="8" t="str">
        <f t="shared" si="14"/>
        <v>Thu</v>
      </c>
      <c r="J582" s="8" t="str">
        <f t="shared" si="15"/>
        <v>May</v>
      </c>
      <c r="K582" s="8">
        <f t="shared" si="16"/>
        <v>4</v>
      </c>
      <c r="L582" s="8">
        <f t="shared" si="17"/>
        <v>5</v>
      </c>
    </row>
    <row r="583" spans="1:12" x14ac:dyDescent="0.3">
      <c r="A583" s="10">
        <v>45436</v>
      </c>
      <c r="B583" s="11">
        <v>45436.466657199075</v>
      </c>
      <c r="C583" s="12">
        <f t="shared" si="12"/>
        <v>11</v>
      </c>
      <c r="D583" s="12" t="s">
        <v>4</v>
      </c>
      <c r="E583" s="12" t="s">
        <v>161</v>
      </c>
      <c r="F583" s="13">
        <v>27.92</v>
      </c>
      <c r="G583" s="12" t="s">
        <v>34</v>
      </c>
      <c r="H583" s="12" t="str">
        <f t="shared" si="13"/>
        <v>Morning</v>
      </c>
      <c r="I583" s="12" t="str">
        <f t="shared" si="14"/>
        <v>Fri</v>
      </c>
      <c r="J583" s="12" t="str">
        <f t="shared" si="15"/>
        <v>May</v>
      </c>
      <c r="K583" s="12">
        <f t="shared" si="16"/>
        <v>5</v>
      </c>
      <c r="L583" s="12">
        <f t="shared" si="17"/>
        <v>5</v>
      </c>
    </row>
    <row r="584" spans="1:12" x14ac:dyDescent="0.3">
      <c r="A584" s="6">
        <v>45436</v>
      </c>
      <c r="B584" s="7">
        <v>45436.468846539348</v>
      </c>
      <c r="C584" s="8">
        <f t="shared" si="12"/>
        <v>11</v>
      </c>
      <c r="D584" s="8" t="s">
        <v>4</v>
      </c>
      <c r="E584" s="8" t="s">
        <v>29</v>
      </c>
      <c r="F584" s="9">
        <v>27.92</v>
      </c>
      <c r="G584" s="8" t="s">
        <v>17</v>
      </c>
      <c r="H584" s="8" t="str">
        <f t="shared" si="13"/>
        <v>Morning</v>
      </c>
      <c r="I584" s="8" t="str">
        <f t="shared" si="14"/>
        <v>Fri</v>
      </c>
      <c r="J584" s="8" t="str">
        <f t="shared" si="15"/>
        <v>May</v>
      </c>
      <c r="K584" s="8">
        <f t="shared" si="16"/>
        <v>5</v>
      </c>
      <c r="L584" s="8">
        <f t="shared" si="17"/>
        <v>5</v>
      </c>
    </row>
    <row r="585" spans="1:12" x14ac:dyDescent="0.3">
      <c r="A585" s="10">
        <v>45436</v>
      </c>
      <c r="B585" s="11">
        <v>45436.469595092596</v>
      </c>
      <c r="C585" s="12">
        <f t="shared" si="12"/>
        <v>11</v>
      </c>
      <c r="D585" s="12" t="s">
        <v>4</v>
      </c>
      <c r="E585" s="12" t="s">
        <v>29</v>
      </c>
      <c r="F585" s="13">
        <v>27.92</v>
      </c>
      <c r="G585" s="12" t="s">
        <v>17</v>
      </c>
      <c r="H585" s="12" t="str">
        <f t="shared" si="13"/>
        <v>Morning</v>
      </c>
      <c r="I585" s="12" t="str">
        <f t="shared" si="14"/>
        <v>Fri</v>
      </c>
      <c r="J585" s="12" t="str">
        <f t="shared" si="15"/>
        <v>May</v>
      </c>
      <c r="K585" s="12">
        <f t="shared" si="16"/>
        <v>5</v>
      </c>
      <c r="L585" s="12">
        <f t="shared" si="17"/>
        <v>5</v>
      </c>
    </row>
    <row r="586" spans="1:12" x14ac:dyDescent="0.3">
      <c r="A586" s="6">
        <v>45436</v>
      </c>
      <c r="B586" s="7">
        <v>45436.671757129632</v>
      </c>
      <c r="C586" s="8">
        <f t="shared" si="12"/>
        <v>16</v>
      </c>
      <c r="D586" s="8" t="s">
        <v>4</v>
      </c>
      <c r="E586" s="8" t="s">
        <v>101</v>
      </c>
      <c r="F586" s="9">
        <v>37.72</v>
      </c>
      <c r="G586" s="8" t="s">
        <v>15</v>
      </c>
      <c r="H586" s="8" t="str">
        <f t="shared" si="13"/>
        <v>Afternoon</v>
      </c>
      <c r="I586" s="8" t="str">
        <f t="shared" si="14"/>
        <v>Fri</v>
      </c>
      <c r="J586" s="8" t="str">
        <f t="shared" si="15"/>
        <v>May</v>
      </c>
      <c r="K586" s="8">
        <f t="shared" si="16"/>
        <v>5</v>
      </c>
      <c r="L586" s="8">
        <f t="shared" si="17"/>
        <v>5</v>
      </c>
    </row>
    <row r="587" spans="1:12" x14ac:dyDescent="0.3">
      <c r="A587" s="10">
        <v>45436</v>
      </c>
      <c r="B587" s="11">
        <v>45436.762272337961</v>
      </c>
      <c r="C587" s="12">
        <f t="shared" si="12"/>
        <v>18</v>
      </c>
      <c r="D587" s="12" t="s">
        <v>4</v>
      </c>
      <c r="E587" s="12" t="s">
        <v>229</v>
      </c>
      <c r="F587" s="13">
        <v>27.92</v>
      </c>
      <c r="G587" s="12" t="s">
        <v>34</v>
      </c>
      <c r="H587" s="12" t="str">
        <f t="shared" si="13"/>
        <v>Night</v>
      </c>
      <c r="I587" s="12" t="str">
        <f t="shared" si="14"/>
        <v>Fri</v>
      </c>
      <c r="J587" s="12" t="str">
        <f t="shared" si="15"/>
        <v>May</v>
      </c>
      <c r="K587" s="12">
        <f t="shared" si="16"/>
        <v>5</v>
      </c>
      <c r="L587" s="12">
        <f t="shared" si="17"/>
        <v>5</v>
      </c>
    </row>
    <row r="588" spans="1:12" x14ac:dyDescent="0.3">
      <c r="A588" s="6">
        <v>45436</v>
      </c>
      <c r="B588" s="7">
        <v>45436.762924745373</v>
      </c>
      <c r="C588" s="8">
        <f t="shared" si="12"/>
        <v>18</v>
      </c>
      <c r="D588" s="8" t="s">
        <v>4</v>
      </c>
      <c r="E588" s="8" t="s">
        <v>229</v>
      </c>
      <c r="F588" s="9">
        <v>27.92</v>
      </c>
      <c r="G588" s="8" t="s">
        <v>34</v>
      </c>
      <c r="H588" s="8" t="str">
        <f t="shared" si="13"/>
        <v>Night</v>
      </c>
      <c r="I588" s="8" t="str">
        <f t="shared" si="14"/>
        <v>Fri</v>
      </c>
      <c r="J588" s="8" t="str">
        <f t="shared" si="15"/>
        <v>May</v>
      </c>
      <c r="K588" s="8">
        <f t="shared" si="16"/>
        <v>5</v>
      </c>
      <c r="L588" s="8">
        <f t="shared" si="17"/>
        <v>5</v>
      </c>
    </row>
    <row r="589" spans="1:12" x14ac:dyDescent="0.3">
      <c r="A589" s="10">
        <v>45436</v>
      </c>
      <c r="B589" s="11">
        <v>45436.937965254627</v>
      </c>
      <c r="C589" s="12">
        <f t="shared" si="12"/>
        <v>22</v>
      </c>
      <c r="D589" s="12" t="s">
        <v>4</v>
      </c>
      <c r="E589" s="12" t="s">
        <v>230</v>
      </c>
      <c r="F589" s="13">
        <v>32.82</v>
      </c>
      <c r="G589" s="12" t="s">
        <v>20</v>
      </c>
      <c r="H589" s="12" t="str">
        <f t="shared" si="13"/>
        <v>Night</v>
      </c>
      <c r="I589" s="12" t="str">
        <f t="shared" si="14"/>
        <v>Fri</v>
      </c>
      <c r="J589" s="12" t="str">
        <f t="shared" si="15"/>
        <v>May</v>
      </c>
      <c r="K589" s="12">
        <f t="shared" si="16"/>
        <v>5</v>
      </c>
      <c r="L589" s="12">
        <f t="shared" si="17"/>
        <v>5</v>
      </c>
    </row>
    <row r="590" spans="1:12" x14ac:dyDescent="0.3">
      <c r="A590" s="6">
        <v>45437</v>
      </c>
      <c r="B590" s="7">
        <v>45437.320125208331</v>
      </c>
      <c r="C590" s="8">
        <f t="shared" si="12"/>
        <v>7</v>
      </c>
      <c r="D590" s="8" t="s">
        <v>27</v>
      </c>
      <c r="E590" s="8"/>
      <c r="F590" s="9">
        <v>29</v>
      </c>
      <c r="G590" s="8" t="s">
        <v>17</v>
      </c>
      <c r="H590" s="8" t="str">
        <f t="shared" si="13"/>
        <v>Morning</v>
      </c>
      <c r="I590" s="8" t="str">
        <f t="shared" si="14"/>
        <v>Sat</v>
      </c>
      <c r="J590" s="8" t="str">
        <f t="shared" si="15"/>
        <v>May</v>
      </c>
      <c r="K590" s="8">
        <f t="shared" si="16"/>
        <v>6</v>
      </c>
      <c r="L590" s="8">
        <f t="shared" si="17"/>
        <v>5</v>
      </c>
    </row>
    <row r="591" spans="1:12" x14ac:dyDescent="0.3">
      <c r="A591" s="10">
        <v>45437</v>
      </c>
      <c r="B591" s="11">
        <v>45437.509645694445</v>
      </c>
      <c r="C591" s="12">
        <f t="shared" si="12"/>
        <v>12</v>
      </c>
      <c r="D591" s="12" t="s">
        <v>4</v>
      </c>
      <c r="E591" s="12" t="s">
        <v>231</v>
      </c>
      <c r="F591" s="13">
        <v>37.72</v>
      </c>
      <c r="G591" s="12" t="s">
        <v>13</v>
      </c>
      <c r="H591" s="12" t="str">
        <f t="shared" si="13"/>
        <v>Afternoon</v>
      </c>
      <c r="I591" s="12" t="str">
        <f t="shared" si="14"/>
        <v>Sat</v>
      </c>
      <c r="J591" s="12" t="str">
        <f t="shared" si="15"/>
        <v>May</v>
      </c>
      <c r="K591" s="12">
        <f t="shared" si="16"/>
        <v>6</v>
      </c>
      <c r="L591" s="12">
        <f t="shared" si="17"/>
        <v>5</v>
      </c>
    </row>
    <row r="592" spans="1:12" x14ac:dyDescent="0.3">
      <c r="A592" s="6">
        <v>45437</v>
      </c>
      <c r="B592" s="7">
        <v>45437.528050775465</v>
      </c>
      <c r="C592" s="8">
        <f t="shared" si="12"/>
        <v>12</v>
      </c>
      <c r="D592" s="8" t="s">
        <v>27</v>
      </c>
      <c r="E592" s="8"/>
      <c r="F592" s="9">
        <v>29</v>
      </c>
      <c r="G592" s="8" t="s">
        <v>17</v>
      </c>
      <c r="H592" s="8" t="str">
        <f t="shared" si="13"/>
        <v>Afternoon</v>
      </c>
      <c r="I592" s="8" t="str">
        <f t="shared" si="14"/>
        <v>Sat</v>
      </c>
      <c r="J592" s="8" t="str">
        <f t="shared" si="15"/>
        <v>May</v>
      </c>
      <c r="K592" s="8">
        <f t="shared" si="16"/>
        <v>6</v>
      </c>
      <c r="L592" s="8">
        <f t="shared" si="17"/>
        <v>5</v>
      </c>
    </row>
    <row r="593" spans="1:12" x14ac:dyDescent="0.3">
      <c r="A593" s="10">
        <v>45437</v>
      </c>
      <c r="B593" s="11">
        <v>45437.529285393517</v>
      </c>
      <c r="C593" s="12">
        <f t="shared" si="12"/>
        <v>12</v>
      </c>
      <c r="D593" s="12" t="s">
        <v>4</v>
      </c>
      <c r="E593" s="12" t="s">
        <v>232</v>
      </c>
      <c r="F593" s="13">
        <v>32.82</v>
      </c>
      <c r="G593" s="12" t="s">
        <v>20</v>
      </c>
      <c r="H593" s="12" t="str">
        <f t="shared" si="13"/>
        <v>Afternoon</v>
      </c>
      <c r="I593" s="12" t="str">
        <f t="shared" si="14"/>
        <v>Sat</v>
      </c>
      <c r="J593" s="12" t="str">
        <f t="shared" si="15"/>
        <v>May</v>
      </c>
      <c r="K593" s="12">
        <f t="shared" si="16"/>
        <v>6</v>
      </c>
      <c r="L593" s="12">
        <f t="shared" si="17"/>
        <v>5</v>
      </c>
    </row>
    <row r="594" spans="1:12" x14ac:dyDescent="0.3">
      <c r="A594" s="6">
        <v>45437</v>
      </c>
      <c r="B594" s="7">
        <v>45437.530014756943</v>
      </c>
      <c r="C594" s="8">
        <f t="shared" si="12"/>
        <v>12</v>
      </c>
      <c r="D594" s="8" t="s">
        <v>4</v>
      </c>
      <c r="E594" s="8" t="s">
        <v>232</v>
      </c>
      <c r="F594" s="9">
        <v>32.82</v>
      </c>
      <c r="G594" s="8" t="s">
        <v>20</v>
      </c>
      <c r="H594" s="8" t="str">
        <f t="shared" si="13"/>
        <v>Afternoon</v>
      </c>
      <c r="I594" s="8" t="str">
        <f t="shared" si="14"/>
        <v>Sat</v>
      </c>
      <c r="J594" s="8" t="str">
        <f t="shared" si="15"/>
        <v>May</v>
      </c>
      <c r="K594" s="8">
        <f t="shared" si="16"/>
        <v>6</v>
      </c>
      <c r="L594" s="8">
        <f t="shared" si="17"/>
        <v>5</v>
      </c>
    </row>
    <row r="595" spans="1:12" x14ac:dyDescent="0.3">
      <c r="A595" s="10">
        <v>45437</v>
      </c>
      <c r="B595" s="11">
        <v>45437.540417233795</v>
      </c>
      <c r="C595" s="12">
        <f t="shared" si="12"/>
        <v>12</v>
      </c>
      <c r="D595" s="12" t="s">
        <v>4</v>
      </c>
      <c r="E595" s="12" t="s">
        <v>233</v>
      </c>
      <c r="F595" s="13">
        <v>32.82</v>
      </c>
      <c r="G595" s="12" t="s">
        <v>20</v>
      </c>
      <c r="H595" s="12" t="str">
        <f t="shared" si="13"/>
        <v>Afternoon</v>
      </c>
      <c r="I595" s="12" t="str">
        <f t="shared" si="14"/>
        <v>Sat</v>
      </c>
      <c r="J595" s="12" t="str">
        <f t="shared" si="15"/>
        <v>May</v>
      </c>
      <c r="K595" s="12">
        <f t="shared" si="16"/>
        <v>6</v>
      </c>
      <c r="L595" s="12">
        <f t="shared" si="17"/>
        <v>5</v>
      </c>
    </row>
    <row r="596" spans="1:12" x14ac:dyDescent="0.3">
      <c r="A596" s="6">
        <v>45437</v>
      </c>
      <c r="B596" s="7">
        <v>45437.69941616898</v>
      </c>
      <c r="C596" s="8">
        <f t="shared" si="12"/>
        <v>16</v>
      </c>
      <c r="D596" s="8" t="s">
        <v>4</v>
      </c>
      <c r="E596" s="8" t="s">
        <v>60</v>
      </c>
      <c r="F596" s="9">
        <v>32.82</v>
      </c>
      <c r="G596" s="8" t="s">
        <v>20</v>
      </c>
      <c r="H596" s="8" t="str">
        <f t="shared" si="13"/>
        <v>Afternoon</v>
      </c>
      <c r="I596" s="8" t="str">
        <f t="shared" si="14"/>
        <v>Sat</v>
      </c>
      <c r="J596" s="8" t="str">
        <f t="shared" si="15"/>
        <v>May</v>
      </c>
      <c r="K596" s="8">
        <f t="shared" si="16"/>
        <v>6</v>
      </c>
      <c r="L596" s="8">
        <f t="shared" si="17"/>
        <v>5</v>
      </c>
    </row>
    <row r="597" spans="1:12" x14ac:dyDescent="0.3">
      <c r="A597" s="10">
        <v>45437</v>
      </c>
      <c r="B597" s="11">
        <v>45437.700194837962</v>
      </c>
      <c r="C597" s="12">
        <f t="shared" si="12"/>
        <v>16</v>
      </c>
      <c r="D597" s="12" t="s">
        <v>4</v>
      </c>
      <c r="E597" s="12" t="s">
        <v>60</v>
      </c>
      <c r="F597" s="13">
        <v>27.92</v>
      </c>
      <c r="G597" s="12" t="s">
        <v>17</v>
      </c>
      <c r="H597" s="12" t="str">
        <f t="shared" si="13"/>
        <v>Afternoon</v>
      </c>
      <c r="I597" s="12" t="str">
        <f t="shared" si="14"/>
        <v>Sat</v>
      </c>
      <c r="J597" s="12" t="str">
        <f t="shared" si="15"/>
        <v>May</v>
      </c>
      <c r="K597" s="12">
        <f t="shared" si="16"/>
        <v>6</v>
      </c>
      <c r="L597" s="12">
        <f t="shared" si="17"/>
        <v>5</v>
      </c>
    </row>
    <row r="598" spans="1:12" x14ac:dyDescent="0.3">
      <c r="A598" s="6">
        <v>45438</v>
      </c>
      <c r="B598" s="7">
        <v>45438.430581400462</v>
      </c>
      <c r="C598" s="8">
        <f t="shared" si="12"/>
        <v>10</v>
      </c>
      <c r="D598" s="8" t="s">
        <v>4</v>
      </c>
      <c r="E598" s="8" t="s">
        <v>12</v>
      </c>
      <c r="F598" s="9">
        <v>37.72</v>
      </c>
      <c r="G598" s="8" t="s">
        <v>13</v>
      </c>
      <c r="H598" s="8" t="str">
        <f t="shared" si="13"/>
        <v>Morning</v>
      </c>
      <c r="I598" s="8" t="str">
        <f t="shared" si="14"/>
        <v>Sun</v>
      </c>
      <c r="J598" s="8" t="str">
        <f t="shared" si="15"/>
        <v>May</v>
      </c>
      <c r="K598" s="8">
        <f t="shared" si="16"/>
        <v>7</v>
      </c>
      <c r="L598" s="8">
        <f t="shared" si="17"/>
        <v>5</v>
      </c>
    </row>
    <row r="599" spans="1:12" x14ac:dyDescent="0.3">
      <c r="A599" s="10">
        <v>45438</v>
      </c>
      <c r="B599" s="11">
        <v>45438.600576527781</v>
      </c>
      <c r="C599" s="12">
        <f t="shared" si="12"/>
        <v>14</v>
      </c>
      <c r="D599" s="12" t="s">
        <v>4</v>
      </c>
      <c r="E599" s="12" t="s">
        <v>234</v>
      </c>
      <c r="F599" s="13">
        <v>32.82</v>
      </c>
      <c r="G599" s="12" t="s">
        <v>20</v>
      </c>
      <c r="H599" s="12" t="str">
        <f t="shared" si="13"/>
        <v>Afternoon</v>
      </c>
      <c r="I599" s="12" t="str">
        <f t="shared" si="14"/>
        <v>Sun</v>
      </c>
      <c r="J599" s="12" t="str">
        <f t="shared" si="15"/>
        <v>May</v>
      </c>
      <c r="K599" s="12">
        <f t="shared" si="16"/>
        <v>7</v>
      </c>
      <c r="L599" s="12">
        <f t="shared" si="17"/>
        <v>5</v>
      </c>
    </row>
    <row r="600" spans="1:12" x14ac:dyDescent="0.3">
      <c r="A600" s="6">
        <v>45438</v>
      </c>
      <c r="B600" s="7">
        <v>45438.601449629627</v>
      </c>
      <c r="C600" s="8">
        <f t="shared" si="12"/>
        <v>14</v>
      </c>
      <c r="D600" s="8" t="s">
        <v>4</v>
      </c>
      <c r="E600" s="8" t="s">
        <v>235</v>
      </c>
      <c r="F600" s="9">
        <v>27.92</v>
      </c>
      <c r="G600" s="8" t="s">
        <v>34</v>
      </c>
      <c r="H600" s="8" t="str">
        <f t="shared" si="13"/>
        <v>Afternoon</v>
      </c>
      <c r="I600" s="8" t="str">
        <f t="shared" si="14"/>
        <v>Sun</v>
      </c>
      <c r="J600" s="8" t="str">
        <f t="shared" si="15"/>
        <v>May</v>
      </c>
      <c r="K600" s="8">
        <f t="shared" si="16"/>
        <v>7</v>
      </c>
      <c r="L600" s="8">
        <f t="shared" si="17"/>
        <v>5</v>
      </c>
    </row>
    <row r="601" spans="1:12" x14ac:dyDescent="0.3">
      <c r="A601" s="10">
        <v>45438</v>
      </c>
      <c r="B601" s="11">
        <v>45438.611792615739</v>
      </c>
      <c r="C601" s="12">
        <f t="shared" si="12"/>
        <v>14</v>
      </c>
      <c r="D601" s="12" t="s">
        <v>4</v>
      </c>
      <c r="E601" s="12" t="s">
        <v>236</v>
      </c>
      <c r="F601" s="13">
        <v>32.82</v>
      </c>
      <c r="G601" s="12" t="s">
        <v>20</v>
      </c>
      <c r="H601" s="12" t="str">
        <f t="shared" si="13"/>
        <v>Afternoon</v>
      </c>
      <c r="I601" s="12" t="str">
        <f t="shared" si="14"/>
        <v>Sun</v>
      </c>
      <c r="J601" s="12" t="str">
        <f t="shared" si="15"/>
        <v>May</v>
      </c>
      <c r="K601" s="12">
        <f t="shared" si="16"/>
        <v>7</v>
      </c>
      <c r="L601" s="12">
        <f t="shared" si="17"/>
        <v>5</v>
      </c>
    </row>
    <row r="602" spans="1:12" x14ac:dyDescent="0.3">
      <c r="A602" s="6">
        <v>45438</v>
      </c>
      <c r="B602" s="7">
        <v>45438.721707418983</v>
      </c>
      <c r="C602" s="8">
        <f t="shared" si="12"/>
        <v>17</v>
      </c>
      <c r="D602" s="8" t="s">
        <v>4</v>
      </c>
      <c r="E602" s="8" t="s">
        <v>237</v>
      </c>
      <c r="F602" s="9">
        <v>37.72</v>
      </c>
      <c r="G602" s="8" t="s">
        <v>49</v>
      </c>
      <c r="H602" s="8" t="str">
        <f t="shared" si="13"/>
        <v>Night</v>
      </c>
      <c r="I602" s="8" t="str">
        <f t="shared" si="14"/>
        <v>Sun</v>
      </c>
      <c r="J602" s="8" t="str">
        <f t="shared" si="15"/>
        <v>May</v>
      </c>
      <c r="K602" s="8">
        <f t="shared" si="16"/>
        <v>7</v>
      </c>
      <c r="L602" s="8">
        <f t="shared" si="17"/>
        <v>5</v>
      </c>
    </row>
    <row r="603" spans="1:12" x14ac:dyDescent="0.3">
      <c r="A603" s="10">
        <v>45438</v>
      </c>
      <c r="B603" s="11">
        <v>45438.756861608796</v>
      </c>
      <c r="C603" s="12">
        <f t="shared" si="12"/>
        <v>18</v>
      </c>
      <c r="D603" s="12" t="s">
        <v>4</v>
      </c>
      <c r="E603" s="12" t="s">
        <v>238</v>
      </c>
      <c r="F603" s="13">
        <v>37.72</v>
      </c>
      <c r="G603" s="12" t="s">
        <v>15</v>
      </c>
      <c r="H603" s="12" t="str">
        <f t="shared" si="13"/>
        <v>Night</v>
      </c>
      <c r="I603" s="12" t="str">
        <f t="shared" si="14"/>
        <v>Sun</v>
      </c>
      <c r="J603" s="12" t="str">
        <f t="shared" si="15"/>
        <v>May</v>
      </c>
      <c r="K603" s="12">
        <f t="shared" si="16"/>
        <v>7</v>
      </c>
      <c r="L603" s="12">
        <f t="shared" si="17"/>
        <v>5</v>
      </c>
    </row>
    <row r="604" spans="1:12" x14ac:dyDescent="0.3">
      <c r="A604" s="6">
        <v>45438</v>
      </c>
      <c r="B604" s="7">
        <v>45438.757664398145</v>
      </c>
      <c r="C604" s="8">
        <f t="shared" si="12"/>
        <v>18</v>
      </c>
      <c r="D604" s="8" t="s">
        <v>4</v>
      </c>
      <c r="E604" s="8" t="s">
        <v>238</v>
      </c>
      <c r="F604" s="9">
        <v>37.72</v>
      </c>
      <c r="G604" s="8" t="s">
        <v>15</v>
      </c>
      <c r="H604" s="8" t="str">
        <f t="shared" si="13"/>
        <v>Night</v>
      </c>
      <c r="I604" s="8" t="str">
        <f t="shared" si="14"/>
        <v>Sun</v>
      </c>
      <c r="J604" s="8" t="str">
        <f t="shared" si="15"/>
        <v>May</v>
      </c>
      <c r="K604" s="8">
        <f t="shared" si="16"/>
        <v>7</v>
      </c>
      <c r="L604" s="8">
        <f t="shared" si="17"/>
        <v>5</v>
      </c>
    </row>
    <row r="605" spans="1:12" x14ac:dyDescent="0.3">
      <c r="A605" s="10">
        <v>45438</v>
      </c>
      <c r="B605" s="11">
        <v>45438.759193275466</v>
      </c>
      <c r="C605" s="12">
        <f t="shared" si="12"/>
        <v>18</v>
      </c>
      <c r="D605" s="12" t="s">
        <v>4</v>
      </c>
      <c r="E605" s="12" t="s">
        <v>238</v>
      </c>
      <c r="F605" s="13">
        <v>27.92</v>
      </c>
      <c r="G605" s="12" t="s">
        <v>17</v>
      </c>
      <c r="H605" s="12" t="str">
        <f t="shared" si="13"/>
        <v>Night</v>
      </c>
      <c r="I605" s="12" t="str">
        <f t="shared" si="14"/>
        <v>Sun</v>
      </c>
      <c r="J605" s="12" t="str">
        <f t="shared" si="15"/>
        <v>May</v>
      </c>
      <c r="K605" s="12">
        <f t="shared" si="16"/>
        <v>7</v>
      </c>
      <c r="L605" s="12">
        <f t="shared" si="17"/>
        <v>5</v>
      </c>
    </row>
    <row r="606" spans="1:12" x14ac:dyDescent="0.3">
      <c r="A606" s="6">
        <v>45438</v>
      </c>
      <c r="B606" s="7">
        <v>45438.777300856484</v>
      </c>
      <c r="C606" s="8">
        <f t="shared" si="12"/>
        <v>18</v>
      </c>
      <c r="D606" s="8" t="s">
        <v>4</v>
      </c>
      <c r="E606" s="8" t="s">
        <v>239</v>
      </c>
      <c r="F606" s="9">
        <v>37.72</v>
      </c>
      <c r="G606" s="8" t="s">
        <v>13</v>
      </c>
      <c r="H606" s="8" t="str">
        <f t="shared" si="13"/>
        <v>Night</v>
      </c>
      <c r="I606" s="8" t="str">
        <f t="shared" si="14"/>
        <v>Sun</v>
      </c>
      <c r="J606" s="8" t="str">
        <f t="shared" si="15"/>
        <v>May</v>
      </c>
      <c r="K606" s="8">
        <f t="shared" si="16"/>
        <v>7</v>
      </c>
      <c r="L606" s="8">
        <f t="shared" si="17"/>
        <v>5</v>
      </c>
    </row>
    <row r="607" spans="1:12" x14ac:dyDescent="0.3">
      <c r="A607" s="10">
        <v>45438</v>
      </c>
      <c r="B607" s="11">
        <v>45438.874478634258</v>
      </c>
      <c r="C607" s="12">
        <f t="shared" si="12"/>
        <v>20</v>
      </c>
      <c r="D607" s="12" t="s">
        <v>4</v>
      </c>
      <c r="E607" s="12" t="s">
        <v>240</v>
      </c>
      <c r="F607" s="13">
        <v>37.72</v>
      </c>
      <c r="G607" s="12" t="s">
        <v>15</v>
      </c>
      <c r="H607" s="12" t="str">
        <f t="shared" si="13"/>
        <v>Night</v>
      </c>
      <c r="I607" s="12" t="str">
        <f t="shared" si="14"/>
        <v>Sun</v>
      </c>
      <c r="J607" s="12" t="str">
        <f t="shared" si="15"/>
        <v>May</v>
      </c>
      <c r="K607" s="12">
        <f t="shared" si="16"/>
        <v>7</v>
      </c>
      <c r="L607" s="12">
        <f t="shared" si="17"/>
        <v>5</v>
      </c>
    </row>
    <row r="608" spans="1:12" x14ac:dyDescent="0.3">
      <c r="A608" s="6">
        <v>45438</v>
      </c>
      <c r="B608" s="7">
        <v>45438.875064444444</v>
      </c>
      <c r="C608" s="8">
        <f t="shared" si="12"/>
        <v>21</v>
      </c>
      <c r="D608" s="8" t="s">
        <v>4</v>
      </c>
      <c r="E608" s="8" t="s">
        <v>240</v>
      </c>
      <c r="F608" s="9">
        <v>37.72</v>
      </c>
      <c r="G608" s="8" t="s">
        <v>49</v>
      </c>
      <c r="H608" s="8" t="str">
        <f t="shared" si="13"/>
        <v>Night</v>
      </c>
      <c r="I608" s="8" t="str">
        <f t="shared" si="14"/>
        <v>Sun</v>
      </c>
      <c r="J608" s="8" t="str">
        <f t="shared" si="15"/>
        <v>May</v>
      </c>
      <c r="K608" s="8">
        <f t="shared" si="16"/>
        <v>7</v>
      </c>
      <c r="L608" s="8">
        <f t="shared" si="17"/>
        <v>5</v>
      </c>
    </row>
    <row r="609" spans="1:12" x14ac:dyDescent="0.3">
      <c r="A609" s="10">
        <v>45438</v>
      </c>
      <c r="B609" s="11">
        <v>45438.876816377313</v>
      </c>
      <c r="C609" s="12">
        <f t="shared" si="12"/>
        <v>21</v>
      </c>
      <c r="D609" s="12" t="s">
        <v>4</v>
      </c>
      <c r="E609" s="12" t="s">
        <v>241</v>
      </c>
      <c r="F609" s="13">
        <v>27.92</v>
      </c>
      <c r="G609" s="12" t="s">
        <v>34</v>
      </c>
      <c r="H609" s="12" t="str">
        <f t="shared" si="13"/>
        <v>Night</v>
      </c>
      <c r="I609" s="12" t="str">
        <f t="shared" si="14"/>
        <v>Sun</v>
      </c>
      <c r="J609" s="12" t="str">
        <f t="shared" si="15"/>
        <v>May</v>
      </c>
      <c r="K609" s="12">
        <f t="shared" si="16"/>
        <v>7</v>
      </c>
      <c r="L609" s="12">
        <f t="shared" si="17"/>
        <v>5</v>
      </c>
    </row>
    <row r="610" spans="1:12" x14ac:dyDescent="0.3">
      <c r="A610" s="6">
        <v>45438</v>
      </c>
      <c r="B610" s="7">
        <v>45438.877682546299</v>
      </c>
      <c r="C610" s="8">
        <f t="shared" si="12"/>
        <v>21</v>
      </c>
      <c r="D610" s="8" t="s">
        <v>4</v>
      </c>
      <c r="E610" s="8" t="s">
        <v>242</v>
      </c>
      <c r="F610" s="9">
        <v>37.72</v>
      </c>
      <c r="G610" s="8" t="s">
        <v>49</v>
      </c>
      <c r="H610" s="8" t="str">
        <f t="shared" si="13"/>
        <v>Night</v>
      </c>
      <c r="I610" s="8" t="str">
        <f t="shared" si="14"/>
        <v>Sun</v>
      </c>
      <c r="J610" s="8" t="str">
        <f t="shared" si="15"/>
        <v>May</v>
      </c>
      <c r="K610" s="8">
        <f t="shared" si="16"/>
        <v>7</v>
      </c>
      <c r="L610" s="8">
        <f t="shared" si="17"/>
        <v>5</v>
      </c>
    </row>
    <row r="611" spans="1:12" x14ac:dyDescent="0.3">
      <c r="A611" s="10">
        <v>45438</v>
      </c>
      <c r="B611" s="11">
        <v>45438.878458611114</v>
      </c>
      <c r="C611" s="12">
        <f t="shared" si="12"/>
        <v>21</v>
      </c>
      <c r="D611" s="12" t="s">
        <v>4</v>
      </c>
      <c r="E611" s="12" t="s">
        <v>241</v>
      </c>
      <c r="F611" s="13">
        <v>37.72</v>
      </c>
      <c r="G611" s="12" t="s">
        <v>13</v>
      </c>
      <c r="H611" s="12" t="str">
        <f t="shared" si="13"/>
        <v>Night</v>
      </c>
      <c r="I611" s="12" t="str">
        <f t="shared" si="14"/>
        <v>Sun</v>
      </c>
      <c r="J611" s="12" t="str">
        <f t="shared" si="15"/>
        <v>May</v>
      </c>
      <c r="K611" s="12">
        <f t="shared" si="16"/>
        <v>7</v>
      </c>
      <c r="L611" s="12">
        <f t="shared" si="17"/>
        <v>5</v>
      </c>
    </row>
    <row r="612" spans="1:12" x14ac:dyDescent="0.3">
      <c r="A612" s="6">
        <v>45438</v>
      </c>
      <c r="B612" s="7">
        <v>45438.879197002316</v>
      </c>
      <c r="C612" s="8">
        <f t="shared" si="12"/>
        <v>21</v>
      </c>
      <c r="D612" s="8" t="s">
        <v>4</v>
      </c>
      <c r="E612" s="8" t="s">
        <v>243</v>
      </c>
      <c r="F612" s="9">
        <v>37.72</v>
      </c>
      <c r="G612" s="8" t="s">
        <v>49</v>
      </c>
      <c r="H612" s="8" t="str">
        <f t="shared" si="13"/>
        <v>Night</v>
      </c>
      <c r="I612" s="8" t="str">
        <f t="shared" si="14"/>
        <v>Sun</v>
      </c>
      <c r="J612" s="8" t="str">
        <f t="shared" si="15"/>
        <v>May</v>
      </c>
      <c r="K612" s="8">
        <f t="shared" si="16"/>
        <v>7</v>
      </c>
      <c r="L612" s="8">
        <f t="shared" si="17"/>
        <v>5</v>
      </c>
    </row>
    <row r="613" spans="1:12" x14ac:dyDescent="0.3">
      <c r="A613" s="10">
        <v>45439</v>
      </c>
      <c r="B613" s="11">
        <v>45439.482583935183</v>
      </c>
      <c r="C613" s="12">
        <f t="shared" si="12"/>
        <v>11</v>
      </c>
      <c r="D613" s="12" t="s">
        <v>4</v>
      </c>
      <c r="E613" s="12" t="s">
        <v>29</v>
      </c>
      <c r="F613" s="13">
        <v>27.92</v>
      </c>
      <c r="G613" s="12" t="s">
        <v>17</v>
      </c>
      <c r="H613" s="12" t="str">
        <f t="shared" si="13"/>
        <v>Morning</v>
      </c>
      <c r="I613" s="12" t="str">
        <f t="shared" si="14"/>
        <v>Mon</v>
      </c>
      <c r="J613" s="12" t="str">
        <f t="shared" si="15"/>
        <v>May</v>
      </c>
      <c r="K613" s="12">
        <f t="shared" si="16"/>
        <v>1</v>
      </c>
      <c r="L613" s="12">
        <f t="shared" si="17"/>
        <v>5</v>
      </c>
    </row>
    <row r="614" spans="1:12" x14ac:dyDescent="0.3">
      <c r="A614" s="6">
        <v>45439</v>
      </c>
      <c r="B614" s="7">
        <v>45439.587056574077</v>
      </c>
      <c r="C614" s="8">
        <f t="shared" si="12"/>
        <v>14</v>
      </c>
      <c r="D614" s="8" t="s">
        <v>4</v>
      </c>
      <c r="E614" s="8" t="s">
        <v>244</v>
      </c>
      <c r="F614" s="9">
        <v>32.82</v>
      </c>
      <c r="G614" s="8" t="s">
        <v>20</v>
      </c>
      <c r="H614" s="8" t="str">
        <f t="shared" si="13"/>
        <v>Afternoon</v>
      </c>
      <c r="I614" s="8" t="str">
        <f t="shared" si="14"/>
        <v>Mon</v>
      </c>
      <c r="J614" s="8" t="str">
        <f t="shared" si="15"/>
        <v>May</v>
      </c>
      <c r="K614" s="8">
        <f t="shared" si="16"/>
        <v>1</v>
      </c>
      <c r="L614" s="8">
        <f t="shared" si="17"/>
        <v>5</v>
      </c>
    </row>
    <row r="615" spans="1:12" x14ac:dyDescent="0.3">
      <c r="A615" s="10">
        <v>45439</v>
      </c>
      <c r="B615" s="11">
        <v>45439.588004212965</v>
      </c>
      <c r="C615" s="12">
        <f t="shared" si="12"/>
        <v>14</v>
      </c>
      <c r="D615" s="12" t="s">
        <v>4</v>
      </c>
      <c r="E615" s="12" t="s">
        <v>244</v>
      </c>
      <c r="F615" s="13">
        <v>37.72</v>
      </c>
      <c r="G615" s="12" t="s">
        <v>24</v>
      </c>
      <c r="H615" s="12" t="str">
        <f t="shared" si="13"/>
        <v>Afternoon</v>
      </c>
      <c r="I615" s="12" t="str">
        <f t="shared" si="14"/>
        <v>Mon</v>
      </c>
      <c r="J615" s="12" t="str">
        <f t="shared" si="15"/>
        <v>May</v>
      </c>
      <c r="K615" s="12">
        <f t="shared" si="16"/>
        <v>1</v>
      </c>
      <c r="L615" s="12">
        <f t="shared" si="17"/>
        <v>5</v>
      </c>
    </row>
    <row r="616" spans="1:12" x14ac:dyDescent="0.3">
      <c r="A616" s="6">
        <v>45439</v>
      </c>
      <c r="B616" s="7">
        <v>45439.633033113423</v>
      </c>
      <c r="C616" s="8">
        <f t="shared" si="12"/>
        <v>15</v>
      </c>
      <c r="D616" s="8" t="s">
        <v>4</v>
      </c>
      <c r="E616" s="8" t="s">
        <v>245</v>
      </c>
      <c r="F616" s="9">
        <v>27.92</v>
      </c>
      <c r="G616" s="8" t="s">
        <v>17</v>
      </c>
      <c r="H616" s="8" t="str">
        <f t="shared" si="13"/>
        <v>Afternoon</v>
      </c>
      <c r="I616" s="8" t="str">
        <f t="shared" si="14"/>
        <v>Mon</v>
      </c>
      <c r="J616" s="8" t="str">
        <f t="shared" si="15"/>
        <v>May</v>
      </c>
      <c r="K616" s="8">
        <f t="shared" si="16"/>
        <v>1</v>
      </c>
      <c r="L616" s="8">
        <f t="shared" si="17"/>
        <v>5</v>
      </c>
    </row>
    <row r="617" spans="1:12" x14ac:dyDescent="0.3">
      <c r="A617" s="10">
        <v>45439</v>
      </c>
      <c r="B617" s="11">
        <v>45439.634789212963</v>
      </c>
      <c r="C617" s="12">
        <f t="shared" si="12"/>
        <v>15</v>
      </c>
      <c r="D617" s="12" t="s">
        <v>4</v>
      </c>
      <c r="E617" s="12" t="s">
        <v>245</v>
      </c>
      <c r="F617" s="13">
        <v>27.92</v>
      </c>
      <c r="G617" s="12" t="s">
        <v>17</v>
      </c>
      <c r="H617" s="12" t="str">
        <f t="shared" si="13"/>
        <v>Afternoon</v>
      </c>
      <c r="I617" s="12" t="str">
        <f t="shared" si="14"/>
        <v>Mon</v>
      </c>
      <c r="J617" s="12" t="str">
        <f t="shared" si="15"/>
        <v>May</v>
      </c>
      <c r="K617" s="12">
        <f t="shared" si="16"/>
        <v>1</v>
      </c>
      <c r="L617" s="12">
        <f t="shared" si="17"/>
        <v>5</v>
      </c>
    </row>
    <row r="618" spans="1:12" x14ac:dyDescent="0.3">
      <c r="A618" s="6">
        <v>45439</v>
      </c>
      <c r="B618" s="7">
        <v>45439.743700960651</v>
      </c>
      <c r="C618" s="8">
        <f t="shared" si="12"/>
        <v>17</v>
      </c>
      <c r="D618" s="8" t="s">
        <v>4</v>
      </c>
      <c r="E618" s="8" t="s">
        <v>223</v>
      </c>
      <c r="F618" s="9">
        <v>37.72</v>
      </c>
      <c r="G618" s="8" t="s">
        <v>13</v>
      </c>
      <c r="H618" s="8" t="str">
        <f t="shared" si="13"/>
        <v>Night</v>
      </c>
      <c r="I618" s="8" t="str">
        <f t="shared" si="14"/>
        <v>Mon</v>
      </c>
      <c r="J618" s="8" t="str">
        <f t="shared" si="15"/>
        <v>May</v>
      </c>
      <c r="K618" s="8">
        <f t="shared" si="16"/>
        <v>1</v>
      </c>
      <c r="L618" s="8">
        <f t="shared" si="17"/>
        <v>5</v>
      </c>
    </row>
    <row r="619" spans="1:12" x14ac:dyDescent="0.3">
      <c r="A619" s="10">
        <v>45439</v>
      </c>
      <c r="B619" s="11">
        <v>45439.750590081021</v>
      </c>
      <c r="C619" s="12">
        <f t="shared" si="12"/>
        <v>18</v>
      </c>
      <c r="D619" s="12" t="s">
        <v>4</v>
      </c>
      <c r="E619" s="12" t="s">
        <v>246</v>
      </c>
      <c r="F619" s="13">
        <v>27.92</v>
      </c>
      <c r="G619" s="12" t="s">
        <v>17</v>
      </c>
      <c r="H619" s="12" t="str">
        <f t="shared" si="13"/>
        <v>Night</v>
      </c>
      <c r="I619" s="12" t="str">
        <f t="shared" si="14"/>
        <v>Mon</v>
      </c>
      <c r="J619" s="12" t="str">
        <f t="shared" si="15"/>
        <v>May</v>
      </c>
      <c r="K619" s="12">
        <f t="shared" si="16"/>
        <v>1</v>
      </c>
      <c r="L619" s="12">
        <f t="shared" si="17"/>
        <v>5</v>
      </c>
    </row>
    <row r="620" spans="1:12" x14ac:dyDescent="0.3">
      <c r="A620" s="6">
        <v>45439</v>
      </c>
      <c r="B620" s="7">
        <v>45439.803094953706</v>
      </c>
      <c r="C620" s="8">
        <f t="shared" si="12"/>
        <v>19</v>
      </c>
      <c r="D620" s="8" t="s">
        <v>4</v>
      </c>
      <c r="E620" s="8" t="s">
        <v>247</v>
      </c>
      <c r="F620" s="9">
        <v>37.72</v>
      </c>
      <c r="G620" s="8" t="s">
        <v>13</v>
      </c>
      <c r="H620" s="8" t="str">
        <f t="shared" si="13"/>
        <v>Night</v>
      </c>
      <c r="I620" s="8" t="str">
        <f t="shared" si="14"/>
        <v>Mon</v>
      </c>
      <c r="J620" s="8" t="str">
        <f t="shared" si="15"/>
        <v>May</v>
      </c>
      <c r="K620" s="8">
        <f t="shared" si="16"/>
        <v>1</v>
      </c>
      <c r="L620" s="8">
        <f t="shared" si="17"/>
        <v>5</v>
      </c>
    </row>
    <row r="621" spans="1:12" x14ac:dyDescent="0.3">
      <c r="A621" s="10">
        <v>45439</v>
      </c>
      <c r="B621" s="11">
        <v>45439.803920474536</v>
      </c>
      <c r="C621" s="12">
        <f t="shared" si="12"/>
        <v>19</v>
      </c>
      <c r="D621" s="12" t="s">
        <v>4</v>
      </c>
      <c r="E621" s="12" t="s">
        <v>248</v>
      </c>
      <c r="F621" s="13">
        <v>37.72</v>
      </c>
      <c r="G621" s="12" t="s">
        <v>13</v>
      </c>
      <c r="H621" s="12" t="str">
        <f t="shared" si="13"/>
        <v>Night</v>
      </c>
      <c r="I621" s="12" t="str">
        <f t="shared" si="14"/>
        <v>Mon</v>
      </c>
      <c r="J621" s="12" t="str">
        <f t="shared" si="15"/>
        <v>May</v>
      </c>
      <c r="K621" s="12">
        <f t="shared" si="16"/>
        <v>1</v>
      </c>
      <c r="L621" s="12">
        <f t="shared" si="17"/>
        <v>5</v>
      </c>
    </row>
    <row r="622" spans="1:12" x14ac:dyDescent="0.3">
      <c r="A622" s="6">
        <v>45439</v>
      </c>
      <c r="B622" s="7">
        <v>45439.895220891201</v>
      </c>
      <c r="C622" s="8">
        <f t="shared" si="12"/>
        <v>21</v>
      </c>
      <c r="D622" s="8" t="s">
        <v>4</v>
      </c>
      <c r="E622" s="8" t="s">
        <v>212</v>
      </c>
      <c r="F622" s="9">
        <v>32.82</v>
      </c>
      <c r="G622" s="8" t="s">
        <v>20</v>
      </c>
      <c r="H622" s="8" t="str">
        <f t="shared" si="13"/>
        <v>Night</v>
      </c>
      <c r="I622" s="8" t="str">
        <f t="shared" si="14"/>
        <v>Mon</v>
      </c>
      <c r="J622" s="8" t="str">
        <f t="shared" si="15"/>
        <v>May</v>
      </c>
      <c r="K622" s="8">
        <f t="shared" si="16"/>
        <v>1</v>
      </c>
      <c r="L622" s="8">
        <f t="shared" si="17"/>
        <v>5</v>
      </c>
    </row>
    <row r="623" spans="1:12" x14ac:dyDescent="0.3">
      <c r="A623" s="10">
        <v>45439</v>
      </c>
      <c r="B623" s="11">
        <v>45439.896062175925</v>
      </c>
      <c r="C623" s="12">
        <f t="shared" si="12"/>
        <v>21</v>
      </c>
      <c r="D623" s="12" t="s">
        <v>4</v>
      </c>
      <c r="E623" s="12" t="s">
        <v>226</v>
      </c>
      <c r="F623" s="13">
        <v>37.72</v>
      </c>
      <c r="G623" s="12" t="s">
        <v>49</v>
      </c>
      <c r="H623" s="12" t="str">
        <f t="shared" si="13"/>
        <v>Night</v>
      </c>
      <c r="I623" s="12" t="str">
        <f t="shared" si="14"/>
        <v>Mon</v>
      </c>
      <c r="J623" s="12" t="str">
        <f t="shared" si="15"/>
        <v>May</v>
      </c>
      <c r="K623" s="12">
        <f t="shared" si="16"/>
        <v>1</v>
      </c>
      <c r="L623" s="12">
        <f t="shared" si="17"/>
        <v>5</v>
      </c>
    </row>
    <row r="624" spans="1:12" x14ac:dyDescent="0.3">
      <c r="A624" s="6">
        <v>45440</v>
      </c>
      <c r="B624" s="7">
        <v>45440.359132268517</v>
      </c>
      <c r="C624" s="8">
        <f t="shared" si="12"/>
        <v>8</v>
      </c>
      <c r="D624" s="8" t="s">
        <v>4</v>
      </c>
      <c r="E624" s="8" t="s">
        <v>29</v>
      </c>
      <c r="F624" s="9">
        <v>32.82</v>
      </c>
      <c r="G624" s="8" t="s">
        <v>20</v>
      </c>
      <c r="H624" s="8" t="str">
        <f t="shared" si="13"/>
        <v>Morning</v>
      </c>
      <c r="I624" s="8" t="str">
        <f t="shared" si="14"/>
        <v>Tue</v>
      </c>
      <c r="J624" s="8" t="str">
        <f t="shared" si="15"/>
        <v>May</v>
      </c>
      <c r="K624" s="8">
        <f t="shared" si="16"/>
        <v>2</v>
      </c>
      <c r="L624" s="8">
        <f t="shared" si="17"/>
        <v>5</v>
      </c>
    </row>
    <row r="625" spans="1:12" x14ac:dyDescent="0.3">
      <c r="A625" s="10">
        <v>45440</v>
      </c>
      <c r="B625" s="11">
        <v>45440.389013148146</v>
      </c>
      <c r="C625" s="12">
        <f t="shared" si="12"/>
        <v>9</v>
      </c>
      <c r="D625" s="12" t="s">
        <v>4</v>
      </c>
      <c r="E625" s="12" t="s">
        <v>117</v>
      </c>
      <c r="F625" s="13">
        <v>32.82</v>
      </c>
      <c r="G625" s="12" t="s">
        <v>20</v>
      </c>
      <c r="H625" s="12" t="str">
        <f t="shared" si="13"/>
        <v>Morning</v>
      </c>
      <c r="I625" s="12" t="str">
        <f t="shared" si="14"/>
        <v>Tue</v>
      </c>
      <c r="J625" s="12" t="str">
        <f t="shared" si="15"/>
        <v>May</v>
      </c>
      <c r="K625" s="12">
        <f t="shared" si="16"/>
        <v>2</v>
      </c>
      <c r="L625" s="12">
        <f t="shared" si="17"/>
        <v>5</v>
      </c>
    </row>
    <row r="626" spans="1:12" x14ac:dyDescent="0.3">
      <c r="A626" s="6">
        <v>45440</v>
      </c>
      <c r="B626" s="7">
        <v>45440.491880717593</v>
      </c>
      <c r="C626" s="8">
        <f t="shared" si="12"/>
        <v>11</v>
      </c>
      <c r="D626" s="8" t="s">
        <v>4</v>
      </c>
      <c r="E626" s="8" t="s">
        <v>249</v>
      </c>
      <c r="F626" s="9">
        <v>37.72</v>
      </c>
      <c r="G626" s="8" t="s">
        <v>49</v>
      </c>
      <c r="H626" s="8" t="str">
        <f t="shared" si="13"/>
        <v>Morning</v>
      </c>
      <c r="I626" s="8" t="str">
        <f t="shared" si="14"/>
        <v>Tue</v>
      </c>
      <c r="J626" s="8" t="str">
        <f t="shared" si="15"/>
        <v>May</v>
      </c>
      <c r="K626" s="8">
        <f t="shared" si="16"/>
        <v>2</v>
      </c>
      <c r="L626" s="8">
        <f t="shared" si="17"/>
        <v>5</v>
      </c>
    </row>
    <row r="627" spans="1:12" x14ac:dyDescent="0.3">
      <c r="A627" s="10">
        <v>45440</v>
      </c>
      <c r="B627" s="11">
        <v>45440.551856886574</v>
      </c>
      <c r="C627" s="12">
        <f t="shared" si="12"/>
        <v>13</v>
      </c>
      <c r="D627" s="12" t="s">
        <v>4</v>
      </c>
      <c r="E627" s="12" t="s">
        <v>250</v>
      </c>
      <c r="F627" s="13">
        <v>37.72</v>
      </c>
      <c r="G627" s="12" t="s">
        <v>49</v>
      </c>
      <c r="H627" s="12" t="str">
        <f t="shared" si="13"/>
        <v>Afternoon</v>
      </c>
      <c r="I627" s="12" t="str">
        <f t="shared" si="14"/>
        <v>Tue</v>
      </c>
      <c r="J627" s="12" t="str">
        <f t="shared" si="15"/>
        <v>May</v>
      </c>
      <c r="K627" s="12">
        <f t="shared" si="16"/>
        <v>2</v>
      </c>
      <c r="L627" s="12">
        <f t="shared" si="17"/>
        <v>5</v>
      </c>
    </row>
    <row r="628" spans="1:12" x14ac:dyDescent="0.3">
      <c r="A628" s="6">
        <v>45440</v>
      </c>
      <c r="B628" s="7">
        <v>45440.590899201386</v>
      </c>
      <c r="C628" s="8">
        <f t="shared" si="12"/>
        <v>14</v>
      </c>
      <c r="D628" s="8" t="s">
        <v>4</v>
      </c>
      <c r="E628" s="8" t="s">
        <v>214</v>
      </c>
      <c r="F628" s="9">
        <v>37.72</v>
      </c>
      <c r="G628" s="8" t="s">
        <v>24</v>
      </c>
      <c r="H628" s="8" t="str">
        <f t="shared" si="13"/>
        <v>Afternoon</v>
      </c>
      <c r="I628" s="8" t="str">
        <f t="shared" si="14"/>
        <v>Tue</v>
      </c>
      <c r="J628" s="8" t="str">
        <f t="shared" si="15"/>
        <v>May</v>
      </c>
      <c r="K628" s="8">
        <f t="shared" si="16"/>
        <v>2</v>
      </c>
      <c r="L628" s="8">
        <f t="shared" si="17"/>
        <v>5</v>
      </c>
    </row>
    <row r="629" spans="1:12" x14ac:dyDescent="0.3">
      <c r="A629" s="10">
        <v>45440</v>
      </c>
      <c r="B629" s="11">
        <v>45440.684482986115</v>
      </c>
      <c r="C629" s="12">
        <f t="shared" si="12"/>
        <v>16</v>
      </c>
      <c r="D629" s="12" t="s">
        <v>4</v>
      </c>
      <c r="E629" s="12" t="s">
        <v>161</v>
      </c>
      <c r="F629" s="13">
        <v>27.92</v>
      </c>
      <c r="G629" s="12" t="s">
        <v>34</v>
      </c>
      <c r="H629" s="12" t="str">
        <f t="shared" si="13"/>
        <v>Afternoon</v>
      </c>
      <c r="I629" s="12" t="str">
        <f t="shared" si="14"/>
        <v>Tue</v>
      </c>
      <c r="J629" s="12" t="str">
        <f t="shared" si="15"/>
        <v>May</v>
      </c>
      <c r="K629" s="12">
        <f t="shared" si="16"/>
        <v>2</v>
      </c>
      <c r="L629" s="12">
        <f t="shared" si="17"/>
        <v>5</v>
      </c>
    </row>
    <row r="630" spans="1:12" x14ac:dyDescent="0.3">
      <c r="A630" s="6">
        <v>45440</v>
      </c>
      <c r="B630" s="7">
        <v>45440.723425543983</v>
      </c>
      <c r="C630" s="8">
        <f t="shared" si="12"/>
        <v>17</v>
      </c>
      <c r="D630" s="8" t="s">
        <v>27</v>
      </c>
      <c r="E630" s="8"/>
      <c r="F630" s="9">
        <v>39</v>
      </c>
      <c r="G630" s="8" t="s">
        <v>49</v>
      </c>
      <c r="H630" s="8" t="str">
        <f t="shared" si="13"/>
        <v>Night</v>
      </c>
      <c r="I630" s="8" t="str">
        <f t="shared" si="14"/>
        <v>Tue</v>
      </c>
      <c r="J630" s="8" t="str">
        <f t="shared" si="15"/>
        <v>May</v>
      </c>
      <c r="K630" s="8">
        <f t="shared" si="16"/>
        <v>2</v>
      </c>
      <c r="L630" s="8">
        <f t="shared" si="17"/>
        <v>5</v>
      </c>
    </row>
    <row r="631" spans="1:12" x14ac:dyDescent="0.3">
      <c r="A631" s="10">
        <v>45440</v>
      </c>
      <c r="B631" s="11">
        <v>45440.798253113426</v>
      </c>
      <c r="C631" s="12">
        <f t="shared" si="12"/>
        <v>19</v>
      </c>
      <c r="D631" s="12" t="s">
        <v>4</v>
      </c>
      <c r="E631" s="12" t="s">
        <v>251</v>
      </c>
      <c r="F631" s="13">
        <v>27.92</v>
      </c>
      <c r="G631" s="12" t="s">
        <v>17</v>
      </c>
      <c r="H631" s="12" t="str">
        <f t="shared" si="13"/>
        <v>Night</v>
      </c>
      <c r="I631" s="12" t="str">
        <f t="shared" si="14"/>
        <v>Tue</v>
      </c>
      <c r="J631" s="12" t="str">
        <f t="shared" si="15"/>
        <v>May</v>
      </c>
      <c r="K631" s="12">
        <f t="shared" si="16"/>
        <v>2</v>
      </c>
      <c r="L631" s="12">
        <f t="shared" si="17"/>
        <v>5</v>
      </c>
    </row>
    <row r="632" spans="1:12" x14ac:dyDescent="0.3">
      <c r="A632" s="6">
        <v>45440</v>
      </c>
      <c r="B632" s="7">
        <v>45440.798970717595</v>
      </c>
      <c r="C632" s="8">
        <f t="shared" si="12"/>
        <v>19</v>
      </c>
      <c r="D632" s="8" t="s">
        <v>4</v>
      </c>
      <c r="E632" s="8" t="s">
        <v>251</v>
      </c>
      <c r="F632" s="9">
        <v>37.72</v>
      </c>
      <c r="G632" s="8" t="s">
        <v>13</v>
      </c>
      <c r="H632" s="8" t="str">
        <f t="shared" si="13"/>
        <v>Night</v>
      </c>
      <c r="I632" s="8" t="str">
        <f t="shared" si="14"/>
        <v>Tue</v>
      </c>
      <c r="J632" s="8" t="str">
        <f t="shared" si="15"/>
        <v>May</v>
      </c>
      <c r="K632" s="8">
        <f t="shared" si="16"/>
        <v>2</v>
      </c>
      <c r="L632" s="8">
        <f t="shared" si="17"/>
        <v>5</v>
      </c>
    </row>
    <row r="633" spans="1:12" x14ac:dyDescent="0.3">
      <c r="A633" s="10">
        <v>45440</v>
      </c>
      <c r="B633" s="11">
        <v>45440.850372743058</v>
      </c>
      <c r="C633" s="12">
        <f t="shared" si="12"/>
        <v>20</v>
      </c>
      <c r="D633" s="12" t="s">
        <v>4</v>
      </c>
      <c r="E633" s="12" t="s">
        <v>25</v>
      </c>
      <c r="F633" s="13">
        <v>32.82</v>
      </c>
      <c r="G633" s="12" t="s">
        <v>20</v>
      </c>
      <c r="H633" s="12" t="str">
        <f t="shared" si="13"/>
        <v>Night</v>
      </c>
      <c r="I633" s="12" t="str">
        <f t="shared" si="14"/>
        <v>Tue</v>
      </c>
      <c r="J633" s="12" t="str">
        <f t="shared" si="15"/>
        <v>May</v>
      </c>
      <c r="K633" s="12">
        <f t="shared" si="16"/>
        <v>2</v>
      </c>
      <c r="L633" s="12">
        <f t="shared" si="17"/>
        <v>5</v>
      </c>
    </row>
    <row r="634" spans="1:12" x14ac:dyDescent="0.3">
      <c r="A634" s="6">
        <v>45440</v>
      </c>
      <c r="B634" s="7">
        <v>45440.868280659721</v>
      </c>
      <c r="C634" s="8">
        <f t="shared" si="12"/>
        <v>20</v>
      </c>
      <c r="D634" s="8" t="s">
        <v>4</v>
      </c>
      <c r="E634" s="8" t="s">
        <v>29</v>
      </c>
      <c r="F634" s="9">
        <v>27.92</v>
      </c>
      <c r="G634" s="8" t="s">
        <v>17</v>
      </c>
      <c r="H634" s="8" t="str">
        <f t="shared" si="13"/>
        <v>Night</v>
      </c>
      <c r="I634" s="8" t="str">
        <f t="shared" si="14"/>
        <v>Tue</v>
      </c>
      <c r="J634" s="8" t="str">
        <f t="shared" si="15"/>
        <v>May</v>
      </c>
      <c r="K634" s="8">
        <f t="shared" si="16"/>
        <v>2</v>
      </c>
      <c r="L634" s="8">
        <f t="shared" si="17"/>
        <v>5</v>
      </c>
    </row>
    <row r="635" spans="1:12" x14ac:dyDescent="0.3">
      <c r="A635" s="10">
        <v>45441</v>
      </c>
      <c r="B635" s="11">
        <v>45441.385228055558</v>
      </c>
      <c r="C635" s="12">
        <f t="shared" si="12"/>
        <v>9</v>
      </c>
      <c r="D635" s="12" t="s">
        <v>4</v>
      </c>
      <c r="E635" s="12" t="s">
        <v>252</v>
      </c>
      <c r="F635" s="13">
        <v>37.72</v>
      </c>
      <c r="G635" s="12" t="s">
        <v>13</v>
      </c>
      <c r="H635" s="12" t="str">
        <f t="shared" si="13"/>
        <v>Morning</v>
      </c>
      <c r="I635" s="12" t="str">
        <f t="shared" si="14"/>
        <v>Wed</v>
      </c>
      <c r="J635" s="12" t="str">
        <f t="shared" si="15"/>
        <v>May</v>
      </c>
      <c r="K635" s="12">
        <f t="shared" si="16"/>
        <v>3</v>
      </c>
      <c r="L635" s="12">
        <f t="shared" si="17"/>
        <v>5</v>
      </c>
    </row>
    <row r="636" spans="1:12" x14ac:dyDescent="0.3">
      <c r="A636" s="6">
        <v>45441</v>
      </c>
      <c r="B636" s="7">
        <v>45441.450541446757</v>
      </c>
      <c r="C636" s="8">
        <f t="shared" si="12"/>
        <v>10</v>
      </c>
      <c r="D636" s="8" t="s">
        <v>27</v>
      </c>
      <c r="E636" s="8"/>
      <c r="F636" s="9">
        <v>39</v>
      </c>
      <c r="G636" s="8" t="s">
        <v>13</v>
      </c>
      <c r="H636" s="8" t="str">
        <f t="shared" si="13"/>
        <v>Morning</v>
      </c>
      <c r="I636" s="8" t="str">
        <f t="shared" si="14"/>
        <v>Wed</v>
      </c>
      <c r="J636" s="8" t="str">
        <f t="shared" si="15"/>
        <v>May</v>
      </c>
      <c r="K636" s="8">
        <f t="shared" si="16"/>
        <v>3</v>
      </c>
      <c r="L636" s="8">
        <f t="shared" si="17"/>
        <v>5</v>
      </c>
    </row>
    <row r="637" spans="1:12" x14ac:dyDescent="0.3">
      <c r="A637" s="10">
        <v>45441</v>
      </c>
      <c r="B637" s="11">
        <v>45441.46808859954</v>
      </c>
      <c r="C637" s="12">
        <f t="shared" si="12"/>
        <v>11</v>
      </c>
      <c r="D637" s="12" t="s">
        <v>4</v>
      </c>
      <c r="E637" s="12" t="s">
        <v>253</v>
      </c>
      <c r="F637" s="13">
        <v>37.72</v>
      </c>
      <c r="G637" s="12" t="s">
        <v>15</v>
      </c>
      <c r="H637" s="12" t="str">
        <f t="shared" si="13"/>
        <v>Morning</v>
      </c>
      <c r="I637" s="12" t="str">
        <f t="shared" si="14"/>
        <v>Wed</v>
      </c>
      <c r="J637" s="12" t="str">
        <f t="shared" si="15"/>
        <v>May</v>
      </c>
      <c r="K637" s="12">
        <f t="shared" si="16"/>
        <v>3</v>
      </c>
      <c r="L637" s="12">
        <f t="shared" si="17"/>
        <v>5</v>
      </c>
    </row>
    <row r="638" spans="1:12" x14ac:dyDescent="0.3">
      <c r="A638" s="6">
        <v>45441</v>
      </c>
      <c r="B638" s="7">
        <v>45441.632506307869</v>
      </c>
      <c r="C638" s="8">
        <f t="shared" si="12"/>
        <v>15</v>
      </c>
      <c r="D638" s="8" t="s">
        <v>4</v>
      </c>
      <c r="E638" s="8" t="s">
        <v>254</v>
      </c>
      <c r="F638" s="9">
        <v>27.92</v>
      </c>
      <c r="G638" s="8" t="s">
        <v>17</v>
      </c>
      <c r="H638" s="8" t="str">
        <f t="shared" si="13"/>
        <v>Afternoon</v>
      </c>
      <c r="I638" s="8" t="str">
        <f t="shared" si="14"/>
        <v>Wed</v>
      </c>
      <c r="J638" s="8" t="str">
        <f t="shared" si="15"/>
        <v>May</v>
      </c>
      <c r="K638" s="8">
        <f t="shared" si="16"/>
        <v>3</v>
      </c>
      <c r="L638" s="8">
        <f t="shared" si="17"/>
        <v>5</v>
      </c>
    </row>
    <row r="639" spans="1:12" x14ac:dyDescent="0.3">
      <c r="A639" s="10">
        <v>45441</v>
      </c>
      <c r="B639" s="11">
        <v>45441.640929641202</v>
      </c>
      <c r="C639" s="12">
        <f t="shared" si="12"/>
        <v>15</v>
      </c>
      <c r="D639" s="12" t="s">
        <v>4</v>
      </c>
      <c r="E639" s="12" t="s">
        <v>255</v>
      </c>
      <c r="F639" s="13">
        <v>37.72</v>
      </c>
      <c r="G639" s="12" t="s">
        <v>13</v>
      </c>
      <c r="H639" s="12" t="str">
        <f t="shared" si="13"/>
        <v>Afternoon</v>
      </c>
      <c r="I639" s="12" t="str">
        <f t="shared" si="14"/>
        <v>Wed</v>
      </c>
      <c r="J639" s="12" t="str">
        <f t="shared" si="15"/>
        <v>May</v>
      </c>
      <c r="K639" s="12">
        <f t="shared" si="16"/>
        <v>3</v>
      </c>
      <c r="L639" s="12">
        <f t="shared" si="17"/>
        <v>5</v>
      </c>
    </row>
    <row r="640" spans="1:12" x14ac:dyDescent="0.3">
      <c r="A640" s="6">
        <v>45441</v>
      </c>
      <c r="B640" s="7">
        <v>45441.656397430554</v>
      </c>
      <c r="C640" s="8">
        <f t="shared" si="12"/>
        <v>15</v>
      </c>
      <c r="D640" s="8" t="s">
        <v>4</v>
      </c>
      <c r="E640" s="8" t="s">
        <v>256</v>
      </c>
      <c r="F640" s="9">
        <v>37.72</v>
      </c>
      <c r="G640" s="8" t="s">
        <v>49</v>
      </c>
      <c r="H640" s="8" t="str">
        <f t="shared" si="13"/>
        <v>Afternoon</v>
      </c>
      <c r="I640" s="8" t="str">
        <f t="shared" si="14"/>
        <v>Wed</v>
      </c>
      <c r="J640" s="8" t="str">
        <f t="shared" si="15"/>
        <v>May</v>
      </c>
      <c r="K640" s="8">
        <f t="shared" si="16"/>
        <v>3</v>
      </c>
      <c r="L640" s="8">
        <f t="shared" si="17"/>
        <v>5</v>
      </c>
    </row>
    <row r="641" spans="1:12" x14ac:dyDescent="0.3">
      <c r="A641" s="10">
        <v>45441</v>
      </c>
      <c r="B641" s="11">
        <v>45441.697962384256</v>
      </c>
      <c r="C641" s="12">
        <f t="shared" si="12"/>
        <v>16</v>
      </c>
      <c r="D641" s="12" t="s">
        <v>4</v>
      </c>
      <c r="E641" s="12" t="s">
        <v>257</v>
      </c>
      <c r="F641" s="13">
        <v>37.72</v>
      </c>
      <c r="G641" s="12" t="s">
        <v>13</v>
      </c>
      <c r="H641" s="12" t="str">
        <f t="shared" si="13"/>
        <v>Afternoon</v>
      </c>
      <c r="I641" s="12" t="str">
        <f t="shared" si="14"/>
        <v>Wed</v>
      </c>
      <c r="J641" s="12" t="str">
        <f t="shared" si="15"/>
        <v>May</v>
      </c>
      <c r="K641" s="12">
        <f t="shared" si="16"/>
        <v>3</v>
      </c>
      <c r="L641" s="12">
        <f t="shared" si="17"/>
        <v>5</v>
      </c>
    </row>
    <row r="642" spans="1:12" x14ac:dyDescent="0.3">
      <c r="A642" s="6">
        <v>45441</v>
      </c>
      <c r="B642" s="7">
        <v>45441.766705254631</v>
      </c>
      <c r="C642" s="8">
        <f t="shared" si="12"/>
        <v>18</v>
      </c>
      <c r="D642" s="8" t="s">
        <v>4</v>
      </c>
      <c r="E642" s="8" t="s">
        <v>258</v>
      </c>
      <c r="F642" s="9">
        <v>27.92</v>
      </c>
      <c r="G642" s="8" t="s">
        <v>34</v>
      </c>
      <c r="H642" s="8" t="str">
        <f t="shared" si="13"/>
        <v>Night</v>
      </c>
      <c r="I642" s="8" t="str">
        <f t="shared" si="14"/>
        <v>Wed</v>
      </c>
      <c r="J642" s="8" t="str">
        <f t="shared" si="15"/>
        <v>May</v>
      </c>
      <c r="K642" s="8">
        <f t="shared" si="16"/>
        <v>3</v>
      </c>
      <c r="L642" s="8">
        <f t="shared" si="17"/>
        <v>5</v>
      </c>
    </row>
    <row r="643" spans="1:12" x14ac:dyDescent="0.3">
      <c r="A643" s="10">
        <v>45441</v>
      </c>
      <c r="B643" s="11">
        <v>45441.767353136573</v>
      </c>
      <c r="C643" s="12">
        <f t="shared" si="12"/>
        <v>18</v>
      </c>
      <c r="D643" s="12" t="s">
        <v>4</v>
      </c>
      <c r="E643" s="12" t="s">
        <v>258</v>
      </c>
      <c r="F643" s="13">
        <v>37.72</v>
      </c>
      <c r="G643" s="12" t="s">
        <v>13</v>
      </c>
      <c r="H643" s="12" t="str">
        <f t="shared" si="13"/>
        <v>Night</v>
      </c>
      <c r="I643" s="12" t="str">
        <f t="shared" si="14"/>
        <v>Wed</v>
      </c>
      <c r="J643" s="12" t="str">
        <f t="shared" si="15"/>
        <v>May</v>
      </c>
      <c r="K643" s="12">
        <f t="shared" si="16"/>
        <v>3</v>
      </c>
      <c r="L643" s="12">
        <f t="shared" si="17"/>
        <v>5</v>
      </c>
    </row>
    <row r="644" spans="1:12" x14ac:dyDescent="0.3">
      <c r="A644" s="6">
        <v>45441</v>
      </c>
      <c r="B644" s="7">
        <v>45441.854655555559</v>
      </c>
      <c r="C644" s="8">
        <f t="shared" si="12"/>
        <v>20</v>
      </c>
      <c r="D644" s="8" t="s">
        <v>4</v>
      </c>
      <c r="E644" s="8" t="s">
        <v>259</v>
      </c>
      <c r="F644" s="9">
        <v>37.72</v>
      </c>
      <c r="G644" s="8" t="s">
        <v>15</v>
      </c>
      <c r="H644" s="8" t="str">
        <f t="shared" si="13"/>
        <v>Night</v>
      </c>
      <c r="I644" s="8" t="str">
        <f t="shared" si="14"/>
        <v>Wed</v>
      </c>
      <c r="J644" s="8" t="str">
        <f t="shared" si="15"/>
        <v>May</v>
      </c>
      <c r="K644" s="8">
        <f t="shared" si="16"/>
        <v>3</v>
      </c>
      <c r="L644" s="8">
        <f t="shared" si="17"/>
        <v>5</v>
      </c>
    </row>
    <row r="645" spans="1:12" x14ac:dyDescent="0.3">
      <c r="A645" s="10">
        <v>45441</v>
      </c>
      <c r="B645" s="11">
        <v>45441.85596296296</v>
      </c>
      <c r="C645" s="12">
        <f t="shared" si="12"/>
        <v>20</v>
      </c>
      <c r="D645" s="12" t="s">
        <v>4</v>
      </c>
      <c r="E645" s="12" t="s">
        <v>260</v>
      </c>
      <c r="F645" s="13">
        <v>37.72</v>
      </c>
      <c r="G645" s="12" t="s">
        <v>24</v>
      </c>
      <c r="H645" s="12" t="str">
        <f t="shared" si="13"/>
        <v>Night</v>
      </c>
      <c r="I645" s="12" t="str">
        <f t="shared" si="14"/>
        <v>Wed</v>
      </c>
      <c r="J645" s="12" t="str">
        <f t="shared" si="15"/>
        <v>May</v>
      </c>
      <c r="K645" s="12">
        <f t="shared" si="16"/>
        <v>3</v>
      </c>
      <c r="L645" s="12">
        <f t="shared" si="17"/>
        <v>5</v>
      </c>
    </row>
    <row r="646" spans="1:12" x14ac:dyDescent="0.3">
      <c r="A646" s="6">
        <v>45442</v>
      </c>
      <c r="B646" s="7">
        <v>45442.353544872683</v>
      </c>
      <c r="C646" s="8">
        <f t="shared" si="12"/>
        <v>8</v>
      </c>
      <c r="D646" s="8" t="s">
        <v>4</v>
      </c>
      <c r="E646" s="8" t="s">
        <v>261</v>
      </c>
      <c r="F646" s="9">
        <v>37.72</v>
      </c>
      <c r="G646" s="8" t="s">
        <v>49</v>
      </c>
      <c r="H646" s="8" t="str">
        <f t="shared" si="13"/>
        <v>Morning</v>
      </c>
      <c r="I646" s="8" t="str">
        <f t="shared" si="14"/>
        <v>Thu</v>
      </c>
      <c r="J646" s="8" t="str">
        <f t="shared" si="15"/>
        <v>May</v>
      </c>
      <c r="K646" s="8">
        <f t="shared" si="16"/>
        <v>4</v>
      </c>
      <c r="L646" s="8">
        <f t="shared" si="17"/>
        <v>5</v>
      </c>
    </row>
    <row r="647" spans="1:12" x14ac:dyDescent="0.3">
      <c r="A647" s="10">
        <v>45442</v>
      </c>
      <c r="B647" s="11">
        <v>45442.354416504633</v>
      </c>
      <c r="C647" s="12">
        <f t="shared" si="12"/>
        <v>8</v>
      </c>
      <c r="D647" s="12" t="s">
        <v>4</v>
      </c>
      <c r="E647" s="12" t="s">
        <v>261</v>
      </c>
      <c r="F647" s="13">
        <v>37.72</v>
      </c>
      <c r="G647" s="12" t="s">
        <v>13</v>
      </c>
      <c r="H647" s="12" t="str">
        <f t="shared" si="13"/>
        <v>Morning</v>
      </c>
      <c r="I647" s="12" t="str">
        <f t="shared" si="14"/>
        <v>Thu</v>
      </c>
      <c r="J647" s="12" t="str">
        <f t="shared" si="15"/>
        <v>May</v>
      </c>
      <c r="K647" s="12">
        <f t="shared" si="16"/>
        <v>4</v>
      </c>
      <c r="L647" s="12">
        <f t="shared" si="17"/>
        <v>5</v>
      </c>
    </row>
    <row r="648" spans="1:12" x14ac:dyDescent="0.3">
      <c r="A648" s="6">
        <v>45442</v>
      </c>
      <c r="B648" s="7">
        <v>45442.359090069447</v>
      </c>
      <c r="C648" s="8">
        <f t="shared" si="12"/>
        <v>8</v>
      </c>
      <c r="D648" s="8" t="s">
        <v>4</v>
      </c>
      <c r="E648" s="8" t="s">
        <v>262</v>
      </c>
      <c r="F648" s="9">
        <v>32.82</v>
      </c>
      <c r="G648" s="8" t="s">
        <v>20</v>
      </c>
      <c r="H648" s="8" t="str">
        <f t="shared" si="13"/>
        <v>Morning</v>
      </c>
      <c r="I648" s="8" t="str">
        <f t="shared" si="14"/>
        <v>Thu</v>
      </c>
      <c r="J648" s="8" t="str">
        <f t="shared" si="15"/>
        <v>May</v>
      </c>
      <c r="K648" s="8">
        <f t="shared" si="16"/>
        <v>4</v>
      </c>
      <c r="L648" s="8">
        <f t="shared" si="17"/>
        <v>5</v>
      </c>
    </row>
    <row r="649" spans="1:12" x14ac:dyDescent="0.3">
      <c r="A649" s="10">
        <v>45442</v>
      </c>
      <c r="B649" s="11">
        <v>45442.408322824071</v>
      </c>
      <c r="C649" s="12">
        <f t="shared" si="12"/>
        <v>9</v>
      </c>
      <c r="D649" s="12" t="s">
        <v>4</v>
      </c>
      <c r="E649" s="12" t="s">
        <v>12</v>
      </c>
      <c r="F649" s="13">
        <v>37.72</v>
      </c>
      <c r="G649" s="12" t="s">
        <v>13</v>
      </c>
      <c r="H649" s="12" t="str">
        <f t="shared" si="13"/>
        <v>Morning</v>
      </c>
      <c r="I649" s="12" t="str">
        <f t="shared" si="14"/>
        <v>Thu</v>
      </c>
      <c r="J649" s="12" t="str">
        <f t="shared" si="15"/>
        <v>May</v>
      </c>
      <c r="K649" s="12">
        <f t="shared" si="16"/>
        <v>4</v>
      </c>
      <c r="L649" s="12">
        <f t="shared" si="17"/>
        <v>5</v>
      </c>
    </row>
    <row r="650" spans="1:12" x14ac:dyDescent="0.3">
      <c r="A650" s="6">
        <v>45442</v>
      </c>
      <c r="B650" s="7">
        <v>45442.622401307868</v>
      </c>
      <c r="C650" s="8">
        <f t="shared" si="12"/>
        <v>14</v>
      </c>
      <c r="D650" s="8" t="s">
        <v>4</v>
      </c>
      <c r="E650" s="8" t="s">
        <v>117</v>
      </c>
      <c r="F650" s="9">
        <v>32.82</v>
      </c>
      <c r="G650" s="8" t="s">
        <v>20</v>
      </c>
      <c r="H650" s="8" t="str">
        <f t="shared" si="13"/>
        <v>Afternoon</v>
      </c>
      <c r="I650" s="8" t="str">
        <f t="shared" si="14"/>
        <v>Thu</v>
      </c>
      <c r="J650" s="8" t="str">
        <f t="shared" si="15"/>
        <v>May</v>
      </c>
      <c r="K650" s="8">
        <f t="shared" si="16"/>
        <v>4</v>
      </c>
      <c r="L650" s="8">
        <f t="shared" si="17"/>
        <v>5</v>
      </c>
    </row>
    <row r="651" spans="1:12" x14ac:dyDescent="0.3">
      <c r="A651" s="10">
        <v>45442</v>
      </c>
      <c r="B651" s="11">
        <v>45442.636292418982</v>
      </c>
      <c r="C651" s="12">
        <f t="shared" si="12"/>
        <v>15</v>
      </c>
      <c r="D651" s="12" t="s">
        <v>4</v>
      </c>
      <c r="E651" s="12" t="s">
        <v>263</v>
      </c>
      <c r="F651" s="13">
        <v>23.02</v>
      </c>
      <c r="G651" s="12" t="s">
        <v>41</v>
      </c>
      <c r="H651" s="12" t="str">
        <f t="shared" si="13"/>
        <v>Afternoon</v>
      </c>
      <c r="I651" s="12" t="str">
        <f t="shared" si="14"/>
        <v>Thu</v>
      </c>
      <c r="J651" s="12" t="str">
        <f t="shared" si="15"/>
        <v>May</v>
      </c>
      <c r="K651" s="12">
        <f t="shared" si="16"/>
        <v>4</v>
      </c>
      <c r="L651" s="12">
        <f t="shared" si="17"/>
        <v>5</v>
      </c>
    </row>
    <row r="652" spans="1:12" x14ac:dyDescent="0.3">
      <c r="A652" s="6">
        <v>45442</v>
      </c>
      <c r="B652" s="7">
        <v>45442.637252962966</v>
      </c>
      <c r="C652" s="8">
        <f t="shared" si="12"/>
        <v>15</v>
      </c>
      <c r="D652" s="8" t="s">
        <v>4</v>
      </c>
      <c r="E652" s="8" t="s">
        <v>29</v>
      </c>
      <c r="F652" s="9">
        <v>23.02</v>
      </c>
      <c r="G652" s="8" t="s">
        <v>41</v>
      </c>
      <c r="H652" s="8" t="str">
        <f t="shared" si="13"/>
        <v>Afternoon</v>
      </c>
      <c r="I652" s="8" t="str">
        <f t="shared" si="14"/>
        <v>Thu</v>
      </c>
      <c r="J652" s="8" t="str">
        <f t="shared" si="15"/>
        <v>May</v>
      </c>
      <c r="K652" s="8">
        <f t="shared" si="16"/>
        <v>4</v>
      </c>
      <c r="L652" s="8">
        <f t="shared" si="17"/>
        <v>5</v>
      </c>
    </row>
    <row r="653" spans="1:12" x14ac:dyDescent="0.3">
      <c r="A653" s="10">
        <v>45442</v>
      </c>
      <c r="B653" s="11">
        <v>45442.828601724534</v>
      </c>
      <c r="C653" s="12">
        <f t="shared" si="12"/>
        <v>19</v>
      </c>
      <c r="D653" s="12" t="s">
        <v>4</v>
      </c>
      <c r="E653" s="12" t="s">
        <v>226</v>
      </c>
      <c r="F653" s="13">
        <v>37.72</v>
      </c>
      <c r="G653" s="12" t="s">
        <v>49</v>
      </c>
      <c r="H653" s="12" t="str">
        <f t="shared" si="13"/>
        <v>Night</v>
      </c>
      <c r="I653" s="12" t="str">
        <f t="shared" si="14"/>
        <v>Thu</v>
      </c>
      <c r="J653" s="12" t="str">
        <f t="shared" si="15"/>
        <v>May</v>
      </c>
      <c r="K653" s="12">
        <f t="shared" si="16"/>
        <v>4</v>
      </c>
      <c r="L653" s="12">
        <f t="shared" si="17"/>
        <v>5</v>
      </c>
    </row>
    <row r="654" spans="1:12" x14ac:dyDescent="0.3">
      <c r="A654" s="6">
        <v>45442</v>
      </c>
      <c r="B654" s="7">
        <v>45442.85492395833</v>
      </c>
      <c r="C654" s="8">
        <f t="shared" si="12"/>
        <v>20</v>
      </c>
      <c r="D654" s="8" t="s">
        <v>4</v>
      </c>
      <c r="E654" s="8" t="s">
        <v>264</v>
      </c>
      <c r="F654" s="9">
        <v>37.72</v>
      </c>
      <c r="G654" s="8" t="s">
        <v>13</v>
      </c>
      <c r="H654" s="8" t="str">
        <f t="shared" si="13"/>
        <v>Night</v>
      </c>
      <c r="I654" s="8" t="str">
        <f t="shared" si="14"/>
        <v>Thu</v>
      </c>
      <c r="J654" s="8" t="str">
        <f t="shared" si="15"/>
        <v>May</v>
      </c>
      <c r="K654" s="8">
        <f t="shared" si="16"/>
        <v>4</v>
      </c>
      <c r="L654" s="8">
        <f t="shared" si="17"/>
        <v>5</v>
      </c>
    </row>
    <row r="655" spans="1:12" x14ac:dyDescent="0.3">
      <c r="A655" s="10">
        <v>45442</v>
      </c>
      <c r="B655" s="11">
        <v>45442.865437905093</v>
      </c>
      <c r="C655" s="12">
        <f t="shared" si="12"/>
        <v>20</v>
      </c>
      <c r="D655" s="12" t="s">
        <v>4</v>
      </c>
      <c r="E655" s="12" t="s">
        <v>25</v>
      </c>
      <c r="F655" s="13">
        <v>37.72</v>
      </c>
      <c r="G655" s="12" t="s">
        <v>15</v>
      </c>
      <c r="H655" s="12" t="str">
        <f t="shared" si="13"/>
        <v>Night</v>
      </c>
      <c r="I655" s="12" t="str">
        <f t="shared" si="14"/>
        <v>Thu</v>
      </c>
      <c r="J655" s="12" t="str">
        <f t="shared" si="15"/>
        <v>May</v>
      </c>
      <c r="K655" s="12">
        <f t="shared" si="16"/>
        <v>4</v>
      </c>
      <c r="L655" s="12">
        <f t="shared" si="17"/>
        <v>5</v>
      </c>
    </row>
    <row r="656" spans="1:12" x14ac:dyDescent="0.3">
      <c r="A656" s="6">
        <v>45442</v>
      </c>
      <c r="B656" s="7">
        <v>45442.866222060184</v>
      </c>
      <c r="C656" s="8">
        <f t="shared" si="12"/>
        <v>20</v>
      </c>
      <c r="D656" s="8" t="s">
        <v>4</v>
      </c>
      <c r="E656" s="8" t="s">
        <v>25</v>
      </c>
      <c r="F656" s="9">
        <v>32.82</v>
      </c>
      <c r="G656" s="8" t="s">
        <v>20</v>
      </c>
      <c r="H656" s="8" t="str">
        <f t="shared" si="13"/>
        <v>Night</v>
      </c>
      <c r="I656" s="8" t="str">
        <f t="shared" si="14"/>
        <v>Thu</v>
      </c>
      <c r="J656" s="8" t="str">
        <f t="shared" si="15"/>
        <v>May</v>
      </c>
      <c r="K656" s="8">
        <f t="shared" si="16"/>
        <v>4</v>
      </c>
      <c r="L656" s="8">
        <f t="shared" si="17"/>
        <v>5</v>
      </c>
    </row>
    <row r="657" spans="1:12" x14ac:dyDescent="0.3">
      <c r="A657" s="10">
        <v>45443</v>
      </c>
      <c r="B657" s="11">
        <v>45443.329135115739</v>
      </c>
      <c r="C657" s="12">
        <f t="shared" si="12"/>
        <v>7</v>
      </c>
      <c r="D657" s="12" t="s">
        <v>4</v>
      </c>
      <c r="E657" s="12" t="s">
        <v>265</v>
      </c>
      <c r="F657" s="13">
        <v>32.82</v>
      </c>
      <c r="G657" s="12" t="s">
        <v>20</v>
      </c>
      <c r="H657" s="12" t="str">
        <f t="shared" si="13"/>
        <v>Morning</v>
      </c>
      <c r="I657" s="12" t="str">
        <f t="shared" si="14"/>
        <v>Fri</v>
      </c>
      <c r="J657" s="12" t="str">
        <f t="shared" si="15"/>
        <v>May</v>
      </c>
      <c r="K657" s="12">
        <f t="shared" si="16"/>
        <v>5</v>
      </c>
      <c r="L657" s="12">
        <f t="shared" si="17"/>
        <v>5</v>
      </c>
    </row>
    <row r="658" spans="1:12" x14ac:dyDescent="0.3">
      <c r="A658" s="6">
        <v>45443</v>
      </c>
      <c r="B658" s="7">
        <v>45443.389673854166</v>
      </c>
      <c r="C658" s="8">
        <f t="shared" si="12"/>
        <v>9</v>
      </c>
      <c r="D658" s="8" t="s">
        <v>4</v>
      </c>
      <c r="E658" s="8" t="s">
        <v>266</v>
      </c>
      <c r="F658" s="9">
        <v>37.72</v>
      </c>
      <c r="G658" s="8" t="s">
        <v>13</v>
      </c>
      <c r="H658" s="8" t="str">
        <f t="shared" si="13"/>
        <v>Morning</v>
      </c>
      <c r="I658" s="8" t="str">
        <f t="shared" si="14"/>
        <v>Fri</v>
      </c>
      <c r="J658" s="8" t="str">
        <f t="shared" si="15"/>
        <v>May</v>
      </c>
      <c r="K658" s="8">
        <f t="shared" si="16"/>
        <v>5</v>
      </c>
      <c r="L658" s="8">
        <f t="shared" si="17"/>
        <v>5</v>
      </c>
    </row>
    <row r="659" spans="1:12" x14ac:dyDescent="0.3">
      <c r="A659" s="10">
        <v>45443</v>
      </c>
      <c r="B659" s="11">
        <v>45443.391652673614</v>
      </c>
      <c r="C659" s="12">
        <f t="shared" si="12"/>
        <v>9</v>
      </c>
      <c r="D659" s="12" t="s">
        <v>27</v>
      </c>
      <c r="E659" s="12"/>
      <c r="F659" s="13">
        <v>39</v>
      </c>
      <c r="G659" s="12" t="s">
        <v>13</v>
      </c>
      <c r="H659" s="12" t="str">
        <f t="shared" si="13"/>
        <v>Morning</v>
      </c>
      <c r="I659" s="12" t="str">
        <f t="shared" si="14"/>
        <v>Fri</v>
      </c>
      <c r="J659" s="12" t="str">
        <f t="shared" si="15"/>
        <v>May</v>
      </c>
      <c r="K659" s="12">
        <f t="shared" si="16"/>
        <v>5</v>
      </c>
      <c r="L659" s="12">
        <f t="shared" si="17"/>
        <v>5</v>
      </c>
    </row>
    <row r="660" spans="1:12" x14ac:dyDescent="0.3">
      <c r="A660" s="6">
        <v>45443</v>
      </c>
      <c r="B660" s="7">
        <v>45443.44314653935</v>
      </c>
      <c r="C660" s="8">
        <f t="shared" si="12"/>
        <v>10</v>
      </c>
      <c r="D660" s="8" t="s">
        <v>4</v>
      </c>
      <c r="E660" s="8" t="s">
        <v>267</v>
      </c>
      <c r="F660" s="9">
        <v>37.72</v>
      </c>
      <c r="G660" s="8" t="s">
        <v>15</v>
      </c>
      <c r="H660" s="8" t="str">
        <f t="shared" si="13"/>
        <v>Morning</v>
      </c>
      <c r="I660" s="8" t="str">
        <f t="shared" si="14"/>
        <v>Fri</v>
      </c>
      <c r="J660" s="8" t="str">
        <f t="shared" si="15"/>
        <v>May</v>
      </c>
      <c r="K660" s="8">
        <f t="shared" si="16"/>
        <v>5</v>
      </c>
      <c r="L660" s="8">
        <f t="shared" si="17"/>
        <v>5</v>
      </c>
    </row>
    <row r="661" spans="1:12" x14ac:dyDescent="0.3">
      <c r="A661" s="10">
        <v>45443</v>
      </c>
      <c r="B661" s="11">
        <v>45443.443821018518</v>
      </c>
      <c r="C661" s="12">
        <f t="shared" si="12"/>
        <v>10</v>
      </c>
      <c r="D661" s="12" t="s">
        <v>4</v>
      </c>
      <c r="E661" s="12" t="s">
        <v>268</v>
      </c>
      <c r="F661" s="13">
        <v>37.72</v>
      </c>
      <c r="G661" s="12" t="s">
        <v>24</v>
      </c>
      <c r="H661" s="12" t="str">
        <f t="shared" si="13"/>
        <v>Morning</v>
      </c>
      <c r="I661" s="12" t="str">
        <f t="shared" si="14"/>
        <v>Fri</v>
      </c>
      <c r="J661" s="12" t="str">
        <f t="shared" si="15"/>
        <v>May</v>
      </c>
      <c r="K661" s="12">
        <f t="shared" si="16"/>
        <v>5</v>
      </c>
      <c r="L661" s="12">
        <f t="shared" si="17"/>
        <v>5</v>
      </c>
    </row>
    <row r="662" spans="1:12" x14ac:dyDescent="0.3">
      <c r="A662" s="6">
        <v>45443</v>
      </c>
      <c r="B662" s="7">
        <v>45443.618205740742</v>
      </c>
      <c r="C662" s="8">
        <f t="shared" si="12"/>
        <v>14</v>
      </c>
      <c r="D662" s="8" t="s">
        <v>4</v>
      </c>
      <c r="E662" s="8" t="s">
        <v>269</v>
      </c>
      <c r="F662" s="9">
        <v>32.82</v>
      </c>
      <c r="G662" s="8" t="s">
        <v>20</v>
      </c>
      <c r="H662" s="8" t="str">
        <f t="shared" si="13"/>
        <v>Afternoon</v>
      </c>
      <c r="I662" s="8" t="str">
        <f t="shared" si="14"/>
        <v>Fri</v>
      </c>
      <c r="J662" s="8" t="str">
        <f t="shared" si="15"/>
        <v>May</v>
      </c>
      <c r="K662" s="8">
        <f t="shared" si="16"/>
        <v>5</v>
      </c>
      <c r="L662" s="8">
        <f t="shared" si="17"/>
        <v>5</v>
      </c>
    </row>
    <row r="663" spans="1:12" x14ac:dyDescent="0.3">
      <c r="A663" s="10">
        <v>45443</v>
      </c>
      <c r="B663" s="11">
        <v>45443.766488842593</v>
      </c>
      <c r="C663" s="12">
        <f t="shared" si="12"/>
        <v>18</v>
      </c>
      <c r="D663" s="12" t="s">
        <v>4</v>
      </c>
      <c r="E663" s="12" t="s">
        <v>270</v>
      </c>
      <c r="F663" s="13">
        <v>37.72</v>
      </c>
      <c r="G663" s="12" t="s">
        <v>13</v>
      </c>
      <c r="H663" s="12" t="str">
        <f t="shared" si="13"/>
        <v>Night</v>
      </c>
      <c r="I663" s="12" t="str">
        <f t="shared" si="14"/>
        <v>Fri</v>
      </c>
      <c r="J663" s="12" t="str">
        <f t="shared" si="15"/>
        <v>May</v>
      </c>
      <c r="K663" s="12">
        <f t="shared" si="16"/>
        <v>5</v>
      </c>
      <c r="L663" s="12">
        <f t="shared" si="17"/>
        <v>5</v>
      </c>
    </row>
    <row r="664" spans="1:12" x14ac:dyDescent="0.3">
      <c r="A664" s="6">
        <v>45443</v>
      </c>
      <c r="B664" s="7">
        <v>45443.767398969911</v>
      </c>
      <c r="C664" s="8">
        <f t="shared" si="12"/>
        <v>18</v>
      </c>
      <c r="D664" s="8" t="s">
        <v>4</v>
      </c>
      <c r="E664" s="8" t="s">
        <v>270</v>
      </c>
      <c r="F664" s="9">
        <v>37.72</v>
      </c>
      <c r="G664" s="8" t="s">
        <v>13</v>
      </c>
      <c r="H664" s="8" t="str">
        <f t="shared" si="13"/>
        <v>Night</v>
      </c>
      <c r="I664" s="8" t="str">
        <f t="shared" si="14"/>
        <v>Fri</v>
      </c>
      <c r="J664" s="8" t="str">
        <f t="shared" si="15"/>
        <v>May</v>
      </c>
      <c r="K664" s="8">
        <f t="shared" si="16"/>
        <v>5</v>
      </c>
      <c r="L664" s="8">
        <f t="shared" si="17"/>
        <v>5</v>
      </c>
    </row>
    <row r="665" spans="1:12" x14ac:dyDescent="0.3">
      <c r="A665" s="10">
        <v>45443</v>
      </c>
      <c r="B665" s="11">
        <v>45443.837953310183</v>
      </c>
      <c r="C665" s="12">
        <f t="shared" si="12"/>
        <v>20</v>
      </c>
      <c r="D665" s="12" t="s">
        <v>4</v>
      </c>
      <c r="E665" s="12" t="s">
        <v>200</v>
      </c>
      <c r="F665" s="13">
        <v>37.72</v>
      </c>
      <c r="G665" s="12" t="s">
        <v>49</v>
      </c>
      <c r="H665" s="12" t="str">
        <f t="shared" si="13"/>
        <v>Night</v>
      </c>
      <c r="I665" s="12" t="str">
        <f t="shared" si="14"/>
        <v>Fri</v>
      </c>
      <c r="J665" s="12" t="str">
        <f t="shared" si="15"/>
        <v>May</v>
      </c>
      <c r="K665" s="12">
        <f t="shared" si="16"/>
        <v>5</v>
      </c>
      <c r="L665" s="12">
        <f t="shared" si="17"/>
        <v>5</v>
      </c>
    </row>
    <row r="666" spans="1:12" x14ac:dyDescent="0.3">
      <c r="A666" s="6">
        <v>45443</v>
      </c>
      <c r="B666" s="7">
        <v>45443.856324108798</v>
      </c>
      <c r="C666" s="8">
        <f t="shared" si="12"/>
        <v>20</v>
      </c>
      <c r="D666" s="8" t="s">
        <v>4</v>
      </c>
      <c r="E666" s="8" t="s">
        <v>154</v>
      </c>
      <c r="F666" s="9">
        <v>32.82</v>
      </c>
      <c r="G666" s="8" t="s">
        <v>20</v>
      </c>
      <c r="H666" s="8" t="str">
        <f t="shared" si="13"/>
        <v>Night</v>
      </c>
      <c r="I666" s="8" t="str">
        <f t="shared" si="14"/>
        <v>Fri</v>
      </c>
      <c r="J666" s="8" t="str">
        <f t="shared" si="15"/>
        <v>May</v>
      </c>
      <c r="K666" s="8">
        <f t="shared" si="16"/>
        <v>5</v>
      </c>
      <c r="L666" s="8">
        <f t="shared" si="17"/>
        <v>5</v>
      </c>
    </row>
    <row r="667" spans="1:12" x14ac:dyDescent="0.3">
      <c r="A667" s="10">
        <v>45443</v>
      </c>
      <c r="B667" s="11">
        <v>45443.857325266203</v>
      </c>
      <c r="C667" s="12">
        <f t="shared" si="12"/>
        <v>20</v>
      </c>
      <c r="D667" s="12" t="s">
        <v>4</v>
      </c>
      <c r="E667" s="12" t="s">
        <v>154</v>
      </c>
      <c r="F667" s="13">
        <v>37.72</v>
      </c>
      <c r="G667" s="12" t="s">
        <v>13</v>
      </c>
      <c r="H667" s="12" t="str">
        <f t="shared" si="13"/>
        <v>Night</v>
      </c>
      <c r="I667" s="12" t="str">
        <f t="shared" si="14"/>
        <v>Fri</v>
      </c>
      <c r="J667" s="12" t="str">
        <f t="shared" si="15"/>
        <v>May</v>
      </c>
      <c r="K667" s="12">
        <f t="shared" si="16"/>
        <v>5</v>
      </c>
      <c r="L667" s="12">
        <f t="shared" si="17"/>
        <v>5</v>
      </c>
    </row>
    <row r="668" spans="1:12" x14ac:dyDescent="0.3">
      <c r="A668" s="6">
        <v>45443</v>
      </c>
      <c r="B668" s="7">
        <v>45443.920683680553</v>
      </c>
      <c r="C668" s="8">
        <f t="shared" si="12"/>
        <v>22</v>
      </c>
      <c r="D668" s="8" t="s">
        <v>4</v>
      </c>
      <c r="E668" s="8" t="s">
        <v>226</v>
      </c>
      <c r="F668" s="9">
        <v>37.72</v>
      </c>
      <c r="G668" s="8" t="s">
        <v>49</v>
      </c>
      <c r="H668" s="8" t="str">
        <f t="shared" si="13"/>
        <v>Night</v>
      </c>
      <c r="I668" s="8" t="str">
        <f t="shared" si="14"/>
        <v>Fri</v>
      </c>
      <c r="J668" s="8" t="str">
        <f t="shared" si="15"/>
        <v>May</v>
      </c>
      <c r="K668" s="8">
        <f t="shared" si="16"/>
        <v>5</v>
      </c>
      <c r="L668" s="8">
        <f t="shared" si="17"/>
        <v>5</v>
      </c>
    </row>
    <row r="669" spans="1:12" x14ac:dyDescent="0.3">
      <c r="A669" s="10">
        <v>45443</v>
      </c>
      <c r="B669" s="11">
        <v>45443.92144085648</v>
      </c>
      <c r="C669" s="12">
        <f t="shared" si="12"/>
        <v>22</v>
      </c>
      <c r="D669" s="12" t="s">
        <v>4</v>
      </c>
      <c r="E669" s="12" t="s">
        <v>226</v>
      </c>
      <c r="F669" s="13">
        <v>32.82</v>
      </c>
      <c r="G669" s="12" t="s">
        <v>20</v>
      </c>
      <c r="H669" s="12" t="str">
        <f t="shared" si="13"/>
        <v>Night</v>
      </c>
      <c r="I669" s="12" t="str">
        <f t="shared" si="14"/>
        <v>Fri</v>
      </c>
      <c r="J669" s="12" t="str">
        <f t="shared" si="15"/>
        <v>May</v>
      </c>
      <c r="K669" s="12">
        <f t="shared" si="16"/>
        <v>5</v>
      </c>
      <c r="L669" s="12">
        <f t="shared" si="17"/>
        <v>5</v>
      </c>
    </row>
    <row r="670" spans="1:12" x14ac:dyDescent="0.3">
      <c r="A670" s="6">
        <v>45443</v>
      </c>
      <c r="B670" s="7">
        <v>45443.922168611112</v>
      </c>
      <c r="C670" s="8">
        <f t="shared" si="12"/>
        <v>22</v>
      </c>
      <c r="D670" s="8" t="s">
        <v>4</v>
      </c>
      <c r="E670" s="8" t="s">
        <v>226</v>
      </c>
      <c r="F670" s="9">
        <v>27.92</v>
      </c>
      <c r="G670" s="8" t="s">
        <v>34</v>
      </c>
      <c r="H670" s="8" t="str">
        <f t="shared" si="13"/>
        <v>Night</v>
      </c>
      <c r="I670" s="8" t="str">
        <f t="shared" si="14"/>
        <v>Fri</v>
      </c>
      <c r="J670" s="8" t="str">
        <f t="shared" si="15"/>
        <v>May</v>
      </c>
      <c r="K670" s="8">
        <f t="shared" si="16"/>
        <v>5</v>
      </c>
      <c r="L670" s="8">
        <f t="shared" si="17"/>
        <v>5</v>
      </c>
    </row>
    <row r="671" spans="1:12" x14ac:dyDescent="0.3">
      <c r="A671" s="10">
        <v>45444</v>
      </c>
      <c r="B671" s="11">
        <v>45444.352103530095</v>
      </c>
      <c r="C671" s="12">
        <f t="shared" si="12"/>
        <v>8</v>
      </c>
      <c r="D671" s="12" t="s">
        <v>4</v>
      </c>
      <c r="E671" s="12" t="s">
        <v>161</v>
      </c>
      <c r="F671" s="13">
        <v>27.92</v>
      </c>
      <c r="G671" s="12" t="s">
        <v>34</v>
      </c>
      <c r="H671" s="12" t="str">
        <f t="shared" si="13"/>
        <v>Morning</v>
      </c>
      <c r="I671" s="12" t="str">
        <f t="shared" si="14"/>
        <v>Sat</v>
      </c>
      <c r="J671" s="12" t="str">
        <f t="shared" si="15"/>
        <v>Jun</v>
      </c>
      <c r="K671" s="12">
        <f t="shared" si="16"/>
        <v>6</v>
      </c>
      <c r="L671" s="12">
        <f t="shared" si="17"/>
        <v>6</v>
      </c>
    </row>
    <row r="672" spans="1:12" x14ac:dyDescent="0.3">
      <c r="A672" s="6">
        <v>45444</v>
      </c>
      <c r="B672" s="7">
        <v>45444.408619791669</v>
      </c>
      <c r="C672" s="8">
        <f t="shared" si="12"/>
        <v>9</v>
      </c>
      <c r="D672" s="8" t="s">
        <v>4</v>
      </c>
      <c r="E672" s="8" t="s">
        <v>252</v>
      </c>
      <c r="F672" s="9">
        <v>37.72</v>
      </c>
      <c r="G672" s="8" t="s">
        <v>13</v>
      </c>
      <c r="H672" s="8" t="str">
        <f t="shared" si="13"/>
        <v>Morning</v>
      </c>
      <c r="I672" s="8" t="str">
        <f t="shared" si="14"/>
        <v>Sat</v>
      </c>
      <c r="J672" s="8" t="str">
        <f t="shared" si="15"/>
        <v>Jun</v>
      </c>
      <c r="K672" s="8">
        <f t="shared" si="16"/>
        <v>6</v>
      </c>
      <c r="L672" s="8">
        <f t="shared" si="17"/>
        <v>6</v>
      </c>
    </row>
    <row r="673" spans="1:12" x14ac:dyDescent="0.3">
      <c r="A673" s="10">
        <v>45444</v>
      </c>
      <c r="B673" s="11">
        <v>45444.484830682872</v>
      </c>
      <c r="C673" s="12">
        <f t="shared" si="12"/>
        <v>11</v>
      </c>
      <c r="D673" s="12" t="s">
        <v>4</v>
      </c>
      <c r="E673" s="12" t="s">
        <v>270</v>
      </c>
      <c r="F673" s="13">
        <v>37.72</v>
      </c>
      <c r="G673" s="12" t="s">
        <v>13</v>
      </c>
      <c r="H673" s="12" t="str">
        <f t="shared" si="13"/>
        <v>Morning</v>
      </c>
      <c r="I673" s="12" t="str">
        <f t="shared" si="14"/>
        <v>Sat</v>
      </c>
      <c r="J673" s="12" t="str">
        <f t="shared" si="15"/>
        <v>Jun</v>
      </c>
      <c r="K673" s="12">
        <f t="shared" si="16"/>
        <v>6</v>
      </c>
      <c r="L673" s="12">
        <f t="shared" si="17"/>
        <v>6</v>
      </c>
    </row>
    <row r="674" spans="1:12" x14ac:dyDescent="0.3">
      <c r="A674" s="6">
        <v>45444</v>
      </c>
      <c r="B674" s="7">
        <v>45444.603399756947</v>
      </c>
      <c r="C674" s="8">
        <f t="shared" si="12"/>
        <v>14</v>
      </c>
      <c r="D674" s="8" t="s">
        <v>4</v>
      </c>
      <c r="E674" s="8" t="s">
        <v>117</v>
      </c>
      <c r="F674" s="9">
        <v>32.82</v>
      </c>
      <c r="G674" s="8" t="s">
        <v>20</v>
      </c>
      <c r="H674" s="8" t="str">
        <f t="shared" si="13"/>
        <v>Afternoon</v>
      </c>
      <c r="I674" s="8" t="str">
        <f t="shared" si="14"/>
        <v>Sat</v>
      </c>
      <c r="J674" s="8" t="str">
        <f t="shared" si="15"/>
        <v>Jun</v>
      </c>
      <c r="K674" s="8">
        <f t="shared" si="16"/>
        <v>6</v>
      </c>
      <c r="L674" s="8">
        <f t="shared" si="17"/>
        <v>6</v>
      </c>
    </row>
    <row r="675" spans="1:12" x14ac:dyDescent="0.3">
      <c r="A675" s="10">
        <v>45444</v>
      </c>
      <c r="B675" s="11">
        <v>45444.764036805558</v>
      </c>
      <c r="C675" s="12">
        <f t="shared" si="12"/>
        <v>18</v>
      </c>
      <c r="D675" s="12" t="s">
        <v>4</v>
      </c>
      <c r="E675" s="12" t="s">
        <v>271</v>
      </c>
      <c r="F675" s="13">
        <v>32.82</v>
      </c>
      <c r="G675" s="12" t="s">
        <v>20</v>
      </c>
      <c r="H675" s="12" t="str">
        <f t="shared" si="13"/>
        <v>Night</v>
      </c>
      <c r="I675" s="12" t="str">
        <f t="shared" si="14"/>
        <v>Sat</v>
      </c>
      <c r="J675" s="12" t="str">
        <f t="shared" si="15"/>
        <v>Jun</v>
      </c>
      <c r="K675" s="12">
        <f t="shared" si="16"/>
        <v>6</v>
      </c>
      <c r="L675" s="12">
        <f t="shared" si="17"/>
        <v>6</v>
      </c>
    </row>
    <row r="676" spans="1:12" x14ac:dyDescent="0.3">
      <c r="A676" s="6">
        <v>45444</v>
      </c>
      <c r="B676" s="7">
        <v>45444.764761145831</v>
      </c>
      <c r="C676" s="8">
        <f t="shared" si="12"/>
        <v>18</v>
      </c>
      <c r="D676" s="8" t="s">
        <v>4</v>
      </c>
      <c r="E676" s="8" t="s">
        <v>271</v>
      </c>
      <c r="F676" s="9">
        <v>32.82</v>
      </c>
      <c r="G676" s="8" t="s">
        <v>20</v>
      </c>
      <c r="H676" s="8" t="str">
        <f t="shared" si="13"/>
        <v>Night</v>
      </c>
      <c r="I676" s="8" t="str">
        <f t="shared" si="14"/>
        <v>Sat</v>
      </c>
      <c r="J676" s="8" t="str">
        <f t="shared" si="15"/>
        <v>Jun</v>
      </c>
      <c r="K676" s="8">
        <f t="shared" si="16"/>
        <v>6</v>
      </c>
      <c r="L676" s="8">
        <f t="shared" si="17"/>
        <v>6</v>
      </c>
    </row>
    <row r="677" spans="1:12" x14ac:dyDescent="0.3">
      <c r="A677" s="10">
        <v>45444</v>
      </c>
      <c r="B677" s="11">
        <v>45444.868176944445</v>
      </c>
      <c r="C677" s="12">
        <f t="shared" si="12"/>
        <v>20</v>
      </c>
      <c r="D677" s="12" t="s">
        <v>4</v>
      </c>
      <c r="E677" s="12" t="s">
        <v>174</v>
      </c>
      <c r="F677" s="13">
        <v>37.72</v>
      </c>
      <c r="G677" s="12" t="s">
        <v>49</v>
      </c>
      <c r="H677" s="12" t="str">
        <f t="shared" si="13"/>
        <v>Night</v>
      </c>
      <c r="I677" s="12" t="str">
        <f t="shared" si="14"/>
        <v>Sat</v>
      </c>
      <c r="J677" s="12" t="str">
        <f t="shared" si="15"/>
        <v>Jun</v>
      </c>
      <c r="K677" s="12">
        <f t="shared" si="16"/>
        <v>6</v>
      </c>
      <c r="L677" s="12">
        <f t="shared" si="17"/>
        <v>6</v>
      </c>
    </row>
    <row r="678" spans="1:12" x14ac:dyDescent="0.3">
      <c r="A678" s="6">
        <v>45444</v>
      </c>
      <c r="B678" s="7">
        <v>45444.868907002317</v>
      </c>
      <c r="C678" s="8">
        <f t="shared" si="12"/>
        <v>20</v>
      </c>
      <c r="D678" s="8" t="s">
        <v>4</v>
      </c>
      <c r="E678" s="8" t="s">
        <v>174</v>
      </c>
      <c r="F678" s="9">
        <v>37.72</v>
      </c>
      <c r="G678" s="8" t="s">
        <v>49</v>
      </c>
      <c r="H678" s="8" t="str">
        <f t="shared" si="13"/>
        <v>Night</v>
      </c>
      <c r="I678" s="8" t="str">
        <f t="shared" si="14"/>
        <v>Sat</v>
      </c>
      <c r="J678" s="8" t="str">
        <f t="shared" si="15"/>
        <v>Jun</v>
      </c>
      <c r="K678" s="8">
        <f t="shared" si="16"/>
        <v>6</v>
      </c>
      <c r="L678" s="8">
        <f t="shared" si="17"/>
        <v>6</v>
      </c>
    </row>
    <row r="679" spans="1:12" x14ac:dyDescent="0.3">
      <c r="A679" s="10">
        <v>45444</v>
      </c>
      <c r="B679" s="11">
        <v>45444.871519293978</v>
      </c>
      <c r="C679" s="12">
        <f t="shared" si="12"/>
        <v>20</v>
      </c>
      <c r="D679" s="12" t="s">
        <v>27</v>
      </c>
      <c r="E679" s="12"/>
      <c r="F679" s="13">
        <v>39</v>
      </c>
      <c r="G679" s="12" t="s">
        <v>24</v>
      </c>
      <c r="H679" s="12" t="str">
        <f t="shared" si="13"/>
        <v>Night</v>
      </c>
      <c r="I679" s="12" t="str">
        <f t="shared" si="14"/>
        <v>Sat</v>
      </c>
      <c r="J679" s="12" t="str">
        <f t="shared" si="15"/>
        <v>Jun</v>
      </c>
      <c r="K679" s="12">
        <f t="shared" si="16"/>
        <v>6</v>
      </c>
      <c r="L679" s="12">
        <f t="shared" si="17"/>
        <v>6</v>
      </c>
    </row>
    <row r="680" spans="1:12" x14ac:dyDescent="0.3">
      <c r="A680" s="6">
        <v>45444</v>
      </c>
      <c r="B680" s="7">
        <v>45444.874417696759</v>
      </c>
      <c r="C680" s="8">
        <f t="shared" si="12"/>
        <v>20</v>
      </c>
      <c r="D680" s="8" t="s">
        <v>4</v>
      </c>
      <c r="E680" s="8" t="s">
        <v>272</v>
      </c>
      <c r="F680" s="9">
        <v>37.72</v>
      </c>
      <c r="G680" s="8" t="s">
        <v>24</v>
      </c>
      <c r="H680" s="8" t="str">
        <f t="shared" si="13"/>
        <v>Night</v>
      </c>
      <c r="I680" s="8" t="str">
        <f t="shared" si="14"/>
        <v>Sat</v>
      </c>
      <c r="J680" s="8" t="str">
        <f t="shared" si="15"/>
        <v>Jun</v>
      </c>
      <c r="K680" s="8">
        <f t="shared" si="16"/>
        <v>6</v>
      </c>
      <c r="L680" s="8">
        <f t="shared" si="17"/>
        <v>6</v>
      </c>
    </row>
    <row r="681" spans="1:12" x14ac:dyDescent="0.3">
      <c r="A681" s="10">
        <v>45444</v>
      </c>
      <c r="B681" s="11">
        <v>45444.910474201388</v>
      </c>
      <c r="C681" s="12">
        <f t="shared" si="12"/>
        <v>21</v>
      </c>
      <c r="D681" s="12" t="s">
        <v>4</v>
      </c>
      <c r="E681" s="12" t="s">
        <v>25</v>
      </c>
      <c r="F681" s="13">
        <v>32.82</v>
      </c>
      <c r="G681" s="12" t="s">
        <v>20</v>
      </c>
      <c r="H681" s="12" t="str">
        <f t="shared" si="13"/>
        <v>Night</v>
      </c>
      <c r="I681" s="12" t="str">
        <f t="shared" si="14"/>
        <v>Sat</v>
      </c>
      <c r="J681" s="12" t="str">
        <f t="shared" si="15"/>
        <v>Jun</v>
      </c>
      <c r="K681" s="12">
        <f t="shared" si="16"/>
        <v>6</v>
      </c>
      <c r="L681" s="12">
        <f t="shared" si="17"/>
        <v>6</v>
      </c>
    </row>
    <row r="682" spans="1:12" x14ac:dyDescent="0.3">
      <c r="A682" s="6">
        <v>45445</v>
      </c>
      <c r="B682" s="7">
        <v>45445.835715266207</v>
      </c>
      <c r="C682" s="8">
        <f t="shared" si="12"/>
        <v>20</v>
      </c>
      <c r="D682" s="8" t="s">
        <v>4</v>
      </c>
      <c r="E682" s="8" t="s">
        <v>25</v>
      </c>
      <c r="F682" s="9">
        <v>37.72</v>
      </c>
      <c r="G682" s="8" t="s">
        <v>13</v>
      </c>
      <c r="H682" s="8" t="str">
        <f t="shared" si="13"/>
        <v>Night</v>
      </c>
      <c r="I682" s="8" t="str">
        <f t="shared" si="14"/>
        <v>Sun</v>
      </c>
      <c r="J682" s="8" t="str">
        <f t="shared" si="15"/>
        <v>Jun</v>
      </c>
      <c r="K682" s="8">
        <f t="shared" si="16"/>
        <v>7</v>
      </c>
      <c r="L682" s="8">
        <f t="shared" si="17"/>
        <v>6</v>
      </c>
    </row>
    <row r="683" spans="1:12" x14ac:dyDescent="0.3">
      <c r="A683" s="10">
        <v>45445</v>
      </c>
      <c r="B683" s="11">
        <v>45445.85002834491</v>
      </c>
      <c r="C683" s="12">
        <f t="shared" si="12"/>
        <v>20</v>
      </c>
      <c r="D683" s="12" t="s">
        <v>4</v>
      </c>
      <c r="E683" s="12" t="s">
        <v>60</v>
      </c>
      <c r="F683" s="13">
        <v>32.82</v>
      </c>
      <c r="G683" s="12" t="s">
        <v>20</v>
      </c>
      <c r="H683" s="12" t="str">
        <f t="shared" si="13"/>
        <v>Night</v>
      </c>
      <c r="I683" s="12" t="str">
        <f t="shared" si="14"/>
        <v>Sun</v>
      </c>
      <c r="J683" s="12" t="str">
        <f t="shared" si="15"/>
        <v>Jun</v>
      </c>
      <c r="K683" s="12">
        <f t="shared" si="16"/>
        <v>7</v>
      </c>
      <c r="L683" s="12">
        <f t="shared" si="17"/>
        <v>6</v>
      </c>
    </row>
    <row r="684" spans="1:12" x14ac:dyDescent="0.3">
      <c r="A684" s="6">
        <v>45445</v>
      </c>
      <c r="B684" s="7">
        <v>45445.850778217595</v>
      </c>
      <c r="C684" s="8">
        <f t="shared" si="12"/>
        <v>20</v>
      </c>
      <c r="D684" s="8" t="s">
        <v>4</v>
      </c>
      <c r="E684" s="8" t="s">
        <v>60</v>
      </c>
      <c r="F684" s="9">
        <v>37.72</v>
      </c>
      <c r="G684" s="8" t="s">
        <v>49</v>
      </c>
      <c r="H684" s="8" t="str">
        <f t="shared" si="13"/>
        <v>Night</v>
      </c>
      <c r="I684" s="8" t="str">
        <f t="shared" si="14"/>
        <v>Sun</v>
      </c>
      <c r="J684" s="8" t="str">
        <f t="shared" si="15"/>
        <v>Jun</v>
      </c>
      <c r="K684" s="8">
        <f t="shared" si="16"/>
        <v>7</v>
      </c>
      <c r="L684" s="8">
        <f t="shared" si="17"/>
        <v>6</v>
      </c>
    </row>
    <row r="685" spans="1:12" x14ac:dyDescent="0.3">
      <c r="A685" s="10">
        <v>45445</v>
      </c>
      <c r="B685" s="11">
        <v>45445.880098738424</v>
      </c>
      <c r="C685" s="12">
        <f t="shared" si="12"/>
        <v>21</v>
      </c>
      <c r="D685" s="12" t="s">
        <v>4</v>
      </c>
      <c r="E685" s="12" t="s">
        <v>117</v>
      </c>
      <c r="F685" s="13">
        <v>32.82</v>
      </c>
      <c r="G685" s="12" t="s">
        <v>20</v>
      </c>
      <c r="H685" s="12" t="str">
        <f t="shared" si="13"/>
        <v>Night</v>
      </c>
      <c r="I685" s="12" t="str">
        <f t="shared" si="14"/>
        <v>Sun</v>
      </c>
      <c r="J685" s="12" t="str">
        <f t="shared" si="15"/>
        <v>Jun</v>
      </c>
      <c r="K685" s="12">
        <f t="shared" si="16"/>
        <v>7</v>
      </c>
      <c r="L685" s="12">
        <f t="shared" si="17"/>
        <v>6</v>
      </c>
    </row>
    <row r="686" spans="1:12" x14ac:dyDescent="0.3">
      <c r="A686" s="6">
        <v>45445</v>
      </c>
      <c r="B686" s="7">
        <v>45445.895977199078</v>
      </c>
      <c r="C686" s="8">
        <f t="shared" si="12"/>
        <v>21</v>
      </c>
      <c r="D686" s="8" t="s">
        <v>4</v>
      </c>
      <c r="E686" s="8" t="s">
        <v>273</v>
      </c>
      <c r="F686" s="9">
        <v>37.72</v>
      </c>
      <c r="G686" s="8" t="s">
        <v>13</v>
      </c>
      <c r="H686" s="8" t="str">
        <f t="shared" si="13"/>
        <v>Night</v>
      </c>
      <c r="I686" s="8" t="str">
        <f t="shared" si="14"/>
        <v>Sun</v>
      </c>
      <c r="J686" s="8" t="str">
        <f t="shared" si="15"/>
        <v>Jun</v>
      </c>
      <c r="K686" s="8">
        <f t="shared" si="16"/>
        <v>7</v>
      </c>
      <c r="L686" s="8">
        <f t="shared" si="17"/>
        <v>6</v>
      </c>
    </row>
    <row r="687" spans="1:12" x14ac:dyDescent="0.3">
      <c r="A687" s="10">
        <v>45445</v>
      </c>
      <c r="B687" s="11">
        <v>45445.946650879632</v>
      </c>
      <c r="C687" s="12">
        <f t="shared" si="12"/>
        <v>22</v>
      </c>
      <c r="D687" s="12" t="s">
        <v>27</v>
      </c>
      <c r="E687" s="12"/>
      <c r="F687" s="13">
        <v>34</v>
      </c>
      <c r="G687" s="12" t="s">
        <v>20</v>
      </c>
      <c r="H687" s="12" t="str">
        <f t="shared" si="13"/>
        <v>Night</v>
      </c>
      <c r="I687" s="12" t="str">
        <f t="shared" si="14"/>
        <v>Sun</v>
      </c>
      <c r="J687" s="12" t="str">
        <f t="shared" si="15"/>
        <v>Jun</v>
      </c>
      <c r="K687" s="12">
        <f t="shared" si="16"/>
        <v>7</v>
      </c>
      <c r="L687" s="12">
        <f t="shared" si="17"/>
        <v>6</v>
      </c>
    </row>
    <row r="688" spans="1:12" x14ac:dyDescent="0.3">
      <c r="A688" s="6">
        <v>45446</v>
      </c>
      <c r="B688" s="7">
        <v>45446.425047928242</v>
      </c>
      <c r="C688" s="8">
        <f t="shared" si="12"/>
        <v>10</v>
      </c>
      <c r="D688" s="8" t="s">
        <v>4</v>
      </c>
      <c r="E688" s="8" t="s">
        <v>12</v>
      </c>
      <c r="F688" s="9">
        <v>37.72</v>
      </c>
      <c r="G688" s="8" t="s">
        <v>13</v>
      </c>
      <c r="H688" s="8" t="str">
        <f t="shared" si="13"/>
        <v>Morning</v>
      </c>
      <c r="I688" s="8" t="str">
        <f t="shared" si="14"/>
        <v>Mon</v>
      </c>
      <c r="J688" s="8" t="str">
        <f t="shared" si="15"/>
        <v>Jun</v>
      </c>
      <c r="K688" s="8">
        <f t="shared" si="16"/>
        <v>1</v>
      </c>
      <c r="L688" s="8">
        <f t="shared" si="17"/>
        <v>6</v>
      </c>
    </row>
    <row r="689" spans="1:12" x14ac:dyDescent="0.3">
      <c r="A689" s="10">
        <v>45446</v>
      </c>
      <c r="B689" s="11">
        <v>45446.43599302083</v>
      </c>
      <c r="C689" s="12">
        <f t="shared" si="12"/>
        <v>10</v>
      </c>
      <c r="D689" s="12" t="s">
        <v>4</v>
      </c>
      <c r="E689" s="12" t="s">
        <v>211</v>
      </c>
      <c r="F689" s="13">
        <v>37.72</v>
      </c>
      <c r="G689" s="12" t="s">
        <v>13</v>
      </c>
      <c r="H689" s="12" t="str">
        <f t="shared" si="13"/>
        <v>Morning</v>
      </c>
      <c r="I689" s="12" t="str">
        <f t="shared" si="14"/>
        <v>Mon</v>
      </c>
      <c r="J689" s="12" t="str">
        <f t="shared" si="15"/>
        <v>Jun</v>
      </c>
      <c r="K689" s="12">
        <f t="shared" si="16"/>
        <v>1</v>
      </c>
      <c r="L689" s="12">
        <f t="shared" si="17"/>
        <v>6</v>
      </c>
    </row>
    <row r="690" spans="1:12" x14ac:dyDescent="0.3">
      <c r="A690" s="6">
        <v>45446</v>
      </c>
      <c r="B690" s="7">
        <v>45446.605351134262</v>
      </c>
      <c r="C690" s="8">
        <f t="shared" si="12"/>
        <v>14</v>
      </c>
      <c r="D690" s="8" t="s">
        <v>4</v>
      </c>
      <c r="E690" s="8" t="s">
        <v>44</v>
      </c>
      <c r="F690" s="9">
        <v>37.72</v>
      </c>
      <c r="G690" s="8" t="s">
        <v>49</v>
      </c>
      <c r="H690" s="8" t="str">
        <f t="shared" si="13"/>
        <v>Afternoon</v>
      </c>
      <c r="I690" s="8" t="str">
        <f t="shared" si="14"/>
        <v>Mon</v>
      </c>
      <c r="J690" s="8" t="str">
        <f t="shared" si="15"/>
        <v>Jun</v>
      </c>
      <c r="K690" s="8">
        <f t="shared" si="16"/>
        <v>1</v>
      </c>
      <c r="L690" s="8">
        <f t="shared" si="17"/>
        <v>6</v>
      </c>
    </row>
    <row r="691" spans="1:12" x14ac:dyDescent="0.3">
      <c r="A691" s="10">
        <v>45446</v>
      </c>
      <c r="B691" s="11">
        <v>45446.606261018518</v>
      </c>
      <c r="C691" s="12">
        <f t="shared" si="12"/>
        <v>14</v>
      </c>
      <c r="D691" s="12" t="s">
        <v>4</v>
      </c>
      <c r="E691" s="12" t="s">
        <v>43</v>
      </c>
      <c r="F691" s="13">
        <v>32.82</v>
      </c>
      <c r="G691" s="12" t="s">
        <v>20</v>
      </c>
      <c r="H691" s="12" t="str">
        <f t="shared" si="13"/>
        <v>Afternoon</v>
      </c>
      <c r="I691" s="12" t="str">
        <f t="shared" si="14"/>
        <v>Mon</v>
      </c>
      <c r="J691" s="12" t="str">
        <f t="shared" si="15"/>
        <v>Jun</v>
      </c>
      <c r="K691" s="12">
        <f t="shared" si="16"/>
        <v>1</v>
      </c>
      <c r="L691" s="12">
        <f t="shared" si="17"/>
        <v>6</v>
      </c>
    </row>
    <row r="692" spans="1:12" x14ac:dyDescent="0.3">
      <c r="A692" s="6">
        <v>45446</v>
      </c>
      <c r="B692" s="7">
        <v>45446.607024560188</v>
      </c>
      <c r="C692" s="8">
        <f t="shared" si="12"/>
        <v>14</v>
      </c>
      <c r="D692" s="8" t="s">
        <v>4</v>
      </c>
      <c r="E692" s="8" t="s">
        <v>25</v>
      </c>
      <c r="F692" s="9">
        <v>37.72</v>
      </c>
      <c r="G692" s="8" t="s">
        <v>13</v>
      </c>
      <c r="H692" s="8" t="str">
        <f t="shared" si="13"/>
        <v>Afternoon</v>
      </c>
      <c r="I692" s="8" t="str">
        <f t="shared" si="14"/>
        <v>Mon</v>
      </c>
      <c r="J692" s="8" t="str">
        <f t="shared" si="15"/>
        <v>Jun</v>
      </c>
      <c r="K692" s="8">
        <f t="shared" si="16"/>
        <v>1</v>
      </c>
      <c r="L692" s="8">
        <f t="shared" si="17"/>
        <v>6</v>
      </c>
    </row>
    <row r="693" spans="1:12" x14ac:dyDescent="0.3">
      <c r="A693" s="10">
        <v>45446</v>
      </c>
      <c r="B693" s="11">
        <v>45446.904765439816</v>
      </c>
      <c r="C693" s="12">
        <f t="shared" si="12"/>
        <v>21</v>
      </c>
      <c r="D693" s="12" t="s">
        <v>27</v>
      </c>
      <c r="E693" s="12"/>
      <c r="F693" s="13">
        <v>34</v>
      </c>
      <c r="G693" s="12" t="s">
        <v>20</v>
      </c>
      <c r="H693" s="12" t="str">
        <f t="shared" si="13"/>
        <v>Night</v>
      </c>
      <c r="I693" s="12" t="str">
        <f t="shared" si="14"/>
        <v>Mon</v>
      </c>
      <c r="J693" s="12" t="str">
        <f t="shared" si="15"/>
        <v>Jun</v>
      </c>
      <c r="K693" s="12">
        <f t="shared" si="16"/>
        <v>1</v>
      </c>
      <c r="L693" s="12">
        <f t="shared" si="17"/>
        <v>6</v>
      </c>
    </row>
    <row r="694" spans="1:12" x14ac:dyDescent="0.3">
      <c r="A694" s="6">
        <v>45446</v>
      </c>
      <c r="B694" s="7">
        <v>45446.90529480324</v>
      </c>
      <c r="C694" s="8">
        <f t="shared" si="12"/>
        <v>21</v>
      </c>
      <c r="D694" s="8" t="s">
        <v>27</v>
      </c>
      <c r="E694" s="8"/>
      <c r="F694" s="9">
        <v>34</v>
      </c>
      <c r="G694" s="8" t="s">
        <v>20</v>
      </c>
      <c r="H694" s="8" t="str">
        <f t="shared" si="13"/>
        <v>Night</v>
      </c>
      <c r="I694" s="8" t="str">
        <f t="shared" si="14"/>
        <v>Mon</v>
      </c>
      <c r="J694" s="8" t="str">
        <f t="shared" si="15"/>
        <v>Jun</v>
      </c>
      <c r="K694" s="8">
        <f t="shared" si="16"/>
        <v>1</v>
      </c>
      <c r="L694" s="8">
        <f t="shared" si="17"/>
        <v>6</v>
      </c>
    </row>
    <row r="695" spans="1:12" x14ac:dyDescent="0.3">
      <c r="A695" s="10">
        <v>45447</v>
      </c>
      <c r="B695" s="11">
        <v>45447.391468726855</v>
      </c>
      <c r="C695" s="12">
        <f t="shared" si="12"/>
        <v>9</v>
      </c>
      <c r="D695" s="12" t="s">
        <v>4</v>
      </c>
      <c r="E695" s="12" t="s">
        <v>161</v>
      </c>
      <c r="F695" s="13">
        <v>27.92</v>
      </c>
      <c r="G695" s="12" t="s">
        <v>34</v>
      </c>
      <c r="H695" s="12" t="str">
        <f t="shared" si="13"/>
        <v>Morning</v>
      </c>
      <c r="I695" s="12" t="str">
        <f t="shared" si="14"/>
        <v>Tue</v>
      </c>
      <c r="J695" s="12" t="str">
        <f t="shared" si="15"/>
        <v>Jun</v>
      </c>
      <c r="K695" s="12">
        <f t="shared" si="16"/>
        <v>2</v>
      </c>
      <c r="L695" s="12">
        <f t="shared" si="17"/>
        <v>6</v>
      </c>
    </row>
    <row r="696" spans="1:12" x14ac:dyDescent="0.3">
      <c r="A696" s="6">
        <v>45447</v>
      </c>
      <c r="B696" s="7">
        <v>45447.435578414355</v>
      </c>
      <c r="C696" s="8">
        <f t="shared" si="12"/>
        <v>10</v>
      </c>
      <c r="D696" s="8" t="s">
        <v>4</v>
      </c>
      <c r="E696" s="8" t="s">
        <v>117</v>
      </c>
      <c r="F696" s="9">
        <v>32.82</v>
      </c>
      <c r="G696" s="8" t="s">
        <v>20</v>
      </c>
      <c r="H696" s="8" t="str">
        <f t="shared" si="13"/>
        <v>Morning</v>
      </c>
      <c r="I696" s="8" t="str">
        <f t="shared" si="14"/>
        <v>Tue</v>
      </c>
      <c r="J696" s="8" t="str">
        <f t="shared" si="15"/>
        <v>Jun</v>
      </c>
      <c r="K696" s="8">
        <f t="shared" si="16"/>
        <v>2</v>
      </c>
      <c r="L696" s="8">
        <f t="shared" si="17"/>
        <v>6</v>
      </c>
    </row>
    <row r="697" spans="1:12" x14ac:dyDescent="0.3">
      <c r="A697" s="10">
        <v>45447</v>
      </c>
      <c r="B697" s="11">
        <v>45447.501507094908</v>
      </c>
      <c r="C697" s="12">
        <f t="shared" si="12"/>
        <v>12</v>
      </c>
      <c r="D697" s="12" t="s">
        <v>4</v>
      </c>
      <c r="E697" s="12" t="s">
        <v>274</v>
      </c>
      <c r="F697" s="13">
        <v>37.72</v>
      </c>
      <c r="G697" s="12" t="s">
        <v>13</v>
      </c>
      <c r="H697" s="12" t="str">
        <f t="shared" si="13"/>
        <v>Afternoon</v>
      </c>
      <c r="I697" s="12" t="str">
        <f t="shared" si="14"/>
        <v>Tue</v>
      </c>
      <c r="J697" s="12" t="str">
        <f t="shared" si="15"/>
        <v>Jun</v>
      </c>
      <c r="K697" s="12">
        <f t="shared" si="16"/>
        <v>2</v>
      </c>
      <c r="L697" s="12">
        <f t="shared" si="17"/>
        <v>6</v>
      </c>
    </row>
    <row r="698" spans="1:12" x14ac:dyDescent="0.3">
      <c r="A698" s="6">
        <v>45447</v>
      </c>
      <c r="B698" s="7">
        <v>45447.503810023147</v>
      </c>
      <c r="C698" s="8">
        <f t="shared" si="12"/>
        <v>12</v>
      </c>
      <c r="D698" s="8" t="s">
        <v>4</v>
      </c>
      <c r="E698" s="8" t="s">
        <v>274</v>
      </c>
      <c r="F698" s="9">
        <v>37.72</v>
      </c>
      <c r="G698" s="8" t="s">
        <v>15</v>
      </c>
      <c r="H698" s="8" t="str">
        <f t="shared" si="13"/>
        <v>Afternoon</v>
      </c>
      <c r="I698" s="8" t="str">
        <f t="shared" si="14"/>
        <v>Tue</v>
      </c>
      <c r="J698" s="8" t="str">
        <f t="shared" si="15"/>
        <v>Jun</v>
      </c>
      <c r="K698" s="8">
        <f t="shared" si="16"/>
        <v>2</v>
      </c>
      <c r="L698" s="8">
        <f t="shared" si="17"/>
        <v>6</v>
      </c>
    </row>
    <row r="699" spans="1:12" x14ac:dyDescent="0.3">
      <c r="A699" s="10">
        <v>45447</v>
      </c>
      <c r="B699" s="11">
        <v>45447.646208969905</v>
      </c>
      <c r="C699" s="12">
        <f t="shared" si="12"/>
        <v>15</v>
      </c>
      <c r="D699" s="12" t="s">
        <v>4</v>
      </c>
      <c r="E699" s="12" t="s">
        <v>275</v>
      </c>
      <c r="F699" s="13">
        <v>37.72</v>
      </c>
      <c r="G699" s="12" t="s">
        <v>13</v>
      </c>
      <c r="H699" s="12" t="str">
        <f t="shared" si="13"/>
        <v>Afternoon</v>
      </c>
      <c r="I699" s="12" t="str">
        <f t="shared" si="14"/>
        <v>Tue</v>
      </c>
      <c r="J699" s="12" t="str">
        <f t="shared" si="15"/>
        <v>Jun</v>
      </c>
      <c r="K699" s="12">
        <f t="shared" si="16"/>
        <v>2</v>
      </c>
      <c r="L699" s="12">
        <f t="shared" si="17"/>
        <v>6</v>
      </c>
    </row>
    <row r="700" spans="1:12" x14ac:dyDescent="0.3">
      <c r="A700" s="6">
        <v>45447</v>
      </c>
      <c r="B700" s="7">
        <v>45447.74070209491</v>
      </c>
      <c r="C700" s="8">
        <f t="shared" si="12"/>
        <v>17</v>
      </c>
      <c r="D700" s="8" t="s">
        <v>4</v>
      </c>
      <c r="E700" s="8" t="s">
        <v>212</v>
      </c>
      <c r="F700" s="9">
        <v>27.92</v>
      </c>
      <c r="G700" s="8" t="s">
        <v>34</v>
      </c>
      <c r="H700" s="8" t="str">
        <f t="shared" si="13"/>
        <v>Night</v>
      </c>
      <c r="I700" s="8" t="str">
        <f t="shared" si="14"/>
        <v>Tue</v>
      </c>
      <c r="J700" s="8" t="str">
        <f t="shared" si="15"/>
        <v>Jun</v>
      </c>
      <c r="K700" s="8">
        <f t="shared" si="16"/>
        <v>2</v>
      </c>
      <c r="L700" s="8">
        <f t="shared" si="17"/>
        <v>6</v>
      </c>
    </row>
    <row r="701" spans="1:12" x14ac:dyDescent="0.3">
      <c r="A701" s="10">
        <v>45447</v>
      </c>
      <c r="B701" s="11">
        <v>45447.741306099539</v>
      </c>
      <c r="C701" s="12">
        <f t="shared" si="12"/>
        <v>17</v>
      </c>
      <c r="D701" s="12" t="s">
        <v>4</v>
      </c>
      <c r="E701" s="12" t="s">
        <v>212</v>
      </c>
      <c r="F701" s="13">
        <v>37.72</v>
      </c>
      <c r="G701" s="12" t="s">
        <v>49</v>
      </c>
      <c r="H701" s="12" t="str">
        <f t="shared" si="13"/>
        <v>Night</v>
      </c>
      <c r="I701" s="12" t="str">
        <f t="shared" si="14"/>
        <v>Tue</v>
      </c>
      <c r="J701" s="12" t="str">
        <f t="shared" si="15"/>
        <v>Jun</v>
      </c>
      <c r="K701" s="12">
        <f t="shared" si="16"/>
        <v>2</v>
      </c>
      <c r="L701" s="12">
        <f t="shared" si="17"/>
        <v>6</v>
      </c>
    </row>
    <row r="702" spans="1:12" x14ac:dyDescent="0.3">
      <c r="A702" s="6">
        <v>45447</v>
      </c>
      <c r="B702" s="7">
        <v>45447.842375046297</v>
      </c>
      <c r="C702" s="8">
        <f t="shared" si="12"/>
        <v>20</v>
      </c>
      <c r="D702" s="8" t="s">
        <v>4</v>
      </c>
      <c r="E702" s="8" t="s">
        <v>276</v>
      </c>
      <c r="F702" s="9">
        <v>37.72</v>
      </c>
      <c r="G702" s="8" t="s">
        <v>15</v>
      </c>
      <c r="H702" s="8" t="str">
        <f t="shared" si="13"/>
        <v>Night</v>
      </c>
      <c r="I702" s="8" t="str">
        <f t="shared" si="14"/>
        <v>Tue</v>
      </c>
      <c r="J702" s="8" t="str">
        <f t="shared" si="15"/>
        <v>Jun</v>
      </c>
      <c r="K702" s="8">
        <f t="shared" si="16"/>
        <v>2</v>
      </c>
      <c r="L702" s="8">
        <f t="shared" si="17"/>
        <v>6</v>
      </c>
    </row>
    <row r="703" spans="1:12" x14ac:dyDescent="0.3">
      <c r="A703" s="10">
        <v>45447</v>
      </c>
      <c r="B703" s="11">
        <v>45447.868447870373</v>
      </c>
      <c r="C703" s="12">
        <f t="shared" si="12"/>
        <v>20</v>
      </c>
      <c r="D703" s="12" t="s">
        <v>4</v>
      </c>
      <c r="E703" s="12" t="s">
        <v>277</v>
      </c>
      <c r="F703" s="13">
        <v>37.72</v>
      </c>
      <c r="G703" s="12" t="s">
        <v>49</v>
      </c>
      <c r="H703" s="12" t="str">
        <f t="shared" si="13"/>
        <v>Night</v>
      </c>
      <c r="I703" s="12" t="str">
        <f t="shared" si="14"/>
        <v>Tue</v>
      </c>
      <c r="J703" s="12" t="str">
        <f t="shared" si="15"/>
        <v>Jun</v>
      </c>
      <c r="K703" s="12">
        <f t="shared" si="16"/>
        <v>2</v>
      </c>
      <c r="L703" s="12">
        <f t="shared" si="17"/>
        <v>6</v>
      </c>
    </row>
    <row r="704" spans="1:12" x14ac:dyDescent="0.3">
      <c r="A704" s="6">
        <v>45447</v>
      </c>
      <c r="B704" s="7">
        <v>45447.897209583331</v>
      </c>
      <c r="C704" s="8">
        <f t="shared" si="12"/>
        <v>21</v>
      </c>
      <c r="D704" s="8" t="s">
        <v>4</v>
      </c>
      <c r="E704" s="8" t="s">
        <v>278</v>
      </c>
      <c r="F704" s="9">
        <v>27.92</v>
      </c>
      <c r="G704" s="8" t="s">
        <v>34</v>
      </c>
      <c r="H704" s="8" t="str">
        <f t="shared" si="13"/>
        <v>Night</v>
      </c>
      <c r="I704" s="8" t="str">
        <f t="shared" si="14"/>
        <v>Tue</v>
      </c>
      <c r="J704" s="8" t="str">
        <f t="shared" si="15"/>
        <v>Jun</v>
      </c>
      <c r="K704" s="8">
        <f t="shared" si="16"/>
        <v>2</v>
      </c>
      <c r="L704" s="8">
        <f t="shared" si="17"/>
        <v>6</v>
      </c>
    </row>
    <row r="705" spans="1:12" x14ac:dyDescent="0.3">
      <c r="A705" s="10">
        <v>45447</v>
      </c>
      <c r="B705" s="11">
        <v>45447.897947002311</v>
      </c>
      <c r="C705" s="12">
        <f t="shared" si="12"/>
        <v>21</v>
      </c>
      <c r="D705" s="12" t="s">
        <v>4</v>
      </c>
      <c r="E705" s="12" t="s">
        <v>279</v>
      </c>
      <c r="F705" s="13">
        <v>32.82</v>
      </c>
      <c r="G705" s="12" t="s">
        <v>20</v>
      </c>
      <c r="H705" s="12" t="str">
        <f t="shared" si="13"/>
        <v>Night</v>
      </c>
      <c r="I705" s="12" t="str">
        <f t="shared" si="14"/>
        <v>Tue</v>
      </c>
      <c r="J705" s="12" t="str">
        <f t="shared" si="15"/>
        <v>Jun</v>
      </c>
      <c r="K705" s="12">
        <f t="shared" si="16"/>
        <v>2</v>
      </c>
      <c r="L705" s="12">
        <f t="shared" si="17"/>
        <v>6</v>
      </c>
    </row>
    <row r="706" spans="1:12" x14ac:dyDescent="0.3">
      <c r="A706" s="6">
        <v>45447</v>
      </c>
      <c r="B706" s="7">
        <v>45447.899255405093</v>
      </c>
      <c r="C706" s="8">
        <f t="shared" si="12"/>
        <v>21</v>
      </c>
      <c r="D706" s="8" t="s">
        <v>4</v>
      </c>
      <c r="E706" s="8" t="s">
        <v>280</v>
      </c>
      <c r="F706" s="9">
        <v>32.82</v>
      </c>
      <c r="G706" s="8" t="s">
        <v>20</v>
      </c>
      <c r="H706" s="8" t="str">
        <f t="shared" si="13"/>
        <v>Night</v>
      </c>
      <c r="I706" s="8" t="str">
        <f t="shared" si="14"/>
        <v>Tue</v>
      </c>
      <c r="J706" s="8" t="str">
        <f t="shared" si="15"/>
        <v>Jun</v>
      </c>
      <c r="K706" s="8">
        <f t="shared" si="16"/>
        <v>2</v>
      </c>
      <c r="L706" s="8">
        <f t="shared" si="17"/>
        <v>6</v>
      </c>
    </row>
    <row r="707" spans="1:12" x14ac:dyDescent="0.3">
      <c r="A707" s="10">
        <v>45447</v>
      </c>
      <c r="B707" s="11">
        <v>45447.90008013889</v>
      </c>
      <c r="C707" s="12">
        <f t="shared" si="12"/>
        <v>21</v>
      </c>
      <c r="D707" s="12" t="s">
        <v>4</v>
      </c>
      <c r="E707" s="12" t="s">
        <v>280</v>
      </c>
      <c r="F707" s="13">
        <v>32.82</v>
      </c>
      <c r="G707" s="12" t="s">
        <v>20</v>
      </c>
      <c r="H707" s="12" t="str">
        <f t="shared" si="13"/>
        <v>Night</v>
      </c>
      <c r="I707" s="12" t="str">
        <f t="shared" si="14"/>
        <v>Tue</v>
      </c>
      <c r="J707" s="12" t="str">
        <f t="shared" si="15"/>
        <v>Jun</v>
      </c>
      <c r="K707" s="12">
        <f t="shared" si="16"/>
        <v>2</v>
      </c>
      <c r="L707" s="12">
        <f t="shared" si="17"/>
        <v>6</v>
      </c>
    </row>
    <row r="708" spans="1:12" x14ac:dyDescent="0.3">
      <c r="A708" s="6">
        <v>45447</v>
      </c>
      <c r="B708" s="7">
        <v>45447.900869953701</v>
      </c>
      <c r="C708" s="8">
        <f t="shared" si="12"/>
        <v>21</v>
      </c>
      <c r="D708" s="8" t="s">
        <v>4</v>
      </c>
      <c r="E708" s="8" t="s">
        <v>280</v>
      </c>
      <c r="F708" s="9">
        <v>32.82</v>
      </c>
      <c r="G708" s="8" t="s">
        <v>20</v>
      </c>
      <c r="H708" s="8" t="str">
        <f t="shared" si="13"/>
        <v>Night</v>
      </c>
      <c r="I708" s="8" t="str">
        <f t="shared" si="14"/>
        <v>Tue</v>
      </c>
      <c r="J708" s="8" t="str">
        <f t="shared" si="15"/>
        <v>Jun</v>
      </c>
      <c r="K708" s="8">
        <f t="shared" si="16"/>
        <v>2</v>
      </c>
      <c r="L708" s="8">
        <f t="shared" si="17"/>
        <v>6</v>
      </c>
    </row>
    <row r="709" spans="1:12" x14ac:dyDescent="0.3">
      <c r="A709" s="10">
        <v>45448</v>
      </c>
      <c r="B709" s="11">
        <v>45448.348483379632</v>
      </c>
      <c r="C709" s="12">
        <f t="shared" si="12"/>
        <v>8</v>
      </c>
      <c r="D709" s="12" t="s">
        <v>4</v>
      </c>
      <c r="E709" s="12" t="s">
        <v>281</v>
      </c>
      <c r="F709" s="13">
        <v>37.72</v>
      </c>
      <c r="G709" s="12" t="s">
        <v>49</v>
      </c>
      <c r="H709" s="12" t="str">
        <f t="shared" si="13"/>
        <v>Morning</v>
      </c>
      <c r="I709" s="12" t="str">
        <f t="shared" si="14"/>
        <v>Wed</v>
      </c>
      <c r="J709" s="12" t="str">
        <f t="shared" si="15"/>
        <v>Jun</v>
      </c>
      <c r="K709" s="12">
        <f t="shared" si="16"/>
        <v>3</v>
      </c>
      <c r="L709" s="12">
        <f t="shared" si="17"/>
        <v>6</v>
      </c>
    </row>
    <row r="710" spans="1:12" x14ac:dyDescent="0.3">
      <c r="A710" s="6">
        <v>45448</v>
      </c>
      <c r="B710" s="7">
        <v>45448.349383368055</v>
      </c>
      <c r="C710" s="8">
        <f t="shared" si="12"/>
        <v>8</v>
      </c>
      <c r="D710" s="8" t="s">
        <v>4</v>
      </c>
      <c r="E710" s="8" t="s">
        <v>281</v>
      </c>
      <c r="F710" s="9">
        <v>37.72</v>
      </c>
      <c r="G710" s="8" t="s">
        <v>49</v>
      </c>
      <c r="H710" s="8" t="str">
        <f t="shared" si="13"/>
        <v>Morning</v>
      </c>
      <c r="I710" s="8" t="str">
        <f t="shared" si="14"/>
        <v>Wed</v>
      </c>
      <c r="J710" s="8" t="str">
        <f t="shared" si="15"/>
        <v>Jun</v>
      </c>
      <c r="K710" s="8">
        <f t="shared" si="16"/>
        <v>3</v>
      </c>
      <c r="L710" s="8">
        <f t="shared" si="17"/>
        <v>6</v>
      </c>
    </row>
    <row r="711" spans="1:12" x14ac:dyDescent="0.3">
      <c r="A711" s="10">
        <v>45448</v>
      </c>
      <c r="B711" s="11">
        <v>45448.390776712964</v>
      </c>
      <c r="C711" s="12">
        <f t="shared" si="12"/>
        <v>9</v>
      </c>
      <c r="D711" s="12" t="s">
        <v>4</v>
      </c>
      <c r="E711" s="12" t="s">
        <v>282</v>
      </c>
      <c r="F711" s="13">
        <v>27.92</v>
      </c>
      <c r="G711" s="12" t="s">
        <v>17</v>
      </c>
      <c r="H711" s="12" t="str">
        <f t="shared" si="13"/>
        <v>Morning</v>
      </c>
      <c r="I711" s="12" t="str">
        <f t="shared" si="14"/>
        <v>Wed</v>
      </c>
      <c r="J711" s="12" t="str">
        <f t="shared" si="15"/>
        <v>Jun</v>
      </c>
      <c r="K711" s="12">
        <f t="shared" si="16"/>
        <v>3</v>
      </c>
      <c r="L711" s="12">
        <f t="shared" si="17"/>
        <v>6</v>
      </c>
    </row>
    <row r="712" spans="1:12" x14ac:dyDescent="0.3">
      <c r="A712" s="6">
        <v>45448</v>
      </c>
      <c r="B712" s="7">
        <v>45448.436696990742</v>
      </c>
      <c r="C712" s="8">
        <f t="shared" si="12"/>
        <v>10</v>
      </c>
      <c r="D712" s="8" t="s">
        <v>4</v>
      </c>
      <c r="E712" s="8" t="s">
        <v>12</v>
      </c>
      <c r="F712" s="9">
        <v>37.72</v>
      </c>
      <c r="G712" s="8" t="s">
        <v>13</v>
      </c>
      <c r="H712" s="8" t="str">
        <f t="shared" si="13"/>
        <v>Morning</v>
      </c>
      <c r="I712" s="8" t="str">
        <f t="shared" si="14"/>
        <v>Wed</v>
      </c>
      <c r="J712" s="8" t="str">
        <f t="shared" si="15"/>
        <v>Jun</v>
      </c>
      <c r="K712" s="8">
        <f t="shared" si="16"/>
        <v>3</v>
      </c>
      <c r="L712" s="8">
        <f t="shared" si="17"/>
        <v>6</v>
      </c>
    </row>
    <row r="713" spans="1:12" x14ac:dyDescent="0.3">
      <c r="A713" s="10">
        <v>45448</v>
      </c>
      <c r="B713" s="11">
        <v>45448.445060046295</v>
      </c>
      <c r="C713" s="12">
        <f t="shared" si="12"/>
        <v>10</v>
      </c>
      <c r="D713" s="12" t="s">
        <v>4</v>
      </c>
      <c r="E713" s="12" t="s">
        <v>117</v>
      </c>
      <c r="F713" s="13">
        <v>32.82</v>
      </c>
      <c r="G713" s="12" t="s">
        <v>20</v>
      </c>
      <c r="H713" s="12" t="str">
        <f t="shared" si="13"/>
        <v>Morning</v>
      </c>
      <c r="I713" s="12" t="str">
        <f t="shared" si="14"/>
        <v>Wed</v>
      </c>
      <c r="J713" s="12" t="str">
        <f t="shared" si="15"/>
        <v>Jun</v>
      </c>
      <c r="K713" s="12">
        <f t="shared" si="16"/>
        <v>3</v>
      </c>
      <c r="L713" s="12">
        <f t="shared" si="17"/>
        <v>6</v>
      </c>
    </row>
    <row r="714" spans="1:12" x14ac:dyDescent="0.3">
      <c r="A714" s="6">
        <v>45448</v>
      </c>
      <c r="B714" s="7">
        <v>45448.822195312503</v>
      </c>
      <c r="C714" s="8">
        <f t="shared" si="12"/>
        <v>19</v>
      </c>
      <c r="D714" s="8" t="s">
        <v>4</v>
      </c>
      <c r="E714" s="8" t="s">
        <v>283</v>
      </c>
      <c r="F714" s="9">
        <v>32.82</v>
      </c>
      <c r="G714" s="8" t="s">
        <v>20</v>
      </c>
      <c r="H714" s="8" t="str">
        <f t="shared" si="13"/>
        <v>Night</v>
      </c>
      <c r="I714" s="8" t="str">
        <f t="shared" si="14"/>
        <v>Wed</v>
      </c>
      <c r="J714" s="8" t="str">
        <f t="shared" si="15"/>
        <v>Jun</v>
      </c>
      <c r="K714" s="8">
        <f t="shared" si="16"/>
        <v>3</v>
      </c>
      <c r="L714" s="8">
        <f t="shared" si="17"/>
        <v>6</v>
      </c>
    </row>
    <row r="715" spans="1:12" x14ac:dyDescent="0.3">
      <c r="A715" s="10">
        <v>45448</v>
      </c>
      <c r="B715" s="11">
        <v>45448.83325841435</v>
      </c>
      <c r="C715" s="12">
        <f t="shared" si="12"/>
        <v>19</v>
      </c>
      <c r="D715" s="12" t="s">
        <v>4</v>
      </c>
      <c r="E715" s="12" t="s">
        <v>284</v>
      </c>
      <c r="F715" s="13">
        <v>37.72</v>
      </c>
      <c r="G715" s="12" t="s">
        <v>13</v>
      </c>
      <c r="H715" s="12" t="str">
        <f t="shared" si="13"/>
        <v>Night</v>
      </c>
      <c r="I715" s="12" t="str">
        <f t="shared" si="14"/>
        <v>Wed</v>
      </c>
      <c r="J715" s="12" t="str">
        <f t="shared" si="15"/>
        <v>Jun</v>
      </c>
      <c r="K715" s="12">
        <f t="shared" si="16"/>
        <v>3</v>
      </c>
      <c r="L715" s="12">
        <f t="shared" si="17"/>
        <v>6</v>
      </c>
    </row>
    <row r="716" spans="1:12" x14ac:dyDescent="0.3">
      <c r="A716" s="6">
        <v>45448</v>
      </c>
      <c r="B716" s="7">
        <v>45448.840828969907</v>
      </c>
      <c r="C716" s="8">
        <f t="shared" si="12"/>
        <v>20</v>
      </c>
      <c r="D716" s="8" t="s">
        <v>4</v>
      </c>
      <c r="E716" s="8" t="s">
        <v>240</v>
      </c>
      <c r="F716" s="9">
        <v>37.72</v>
      </c>
      <c r="G716" s="8" t="s">
        <v>24</v>
      </c>
      <c r="H716" s="8" t="str">
        <f t="shared" si="13"/>
        <v>Night</v>
      </c>
      <c r="I716" s="8" t="str">
        <f t="shared" si="14"/>
        <v>Wed</v>
      </c>
      <c r="J716" s="8" t="str">
        <f t="shared" si="15"/>
        <v>Jun</v>
      </c>
      <c r="K716" s="8">
        <f t="shared" si="16"/>
        <v>3</v>
      </c>
      <c r="L716" s="8">
        <f t="shared" si="17"/>
        <v>6</v>
      </c>
    </row>
    <row r="717" spans="1:12" x14ac:dyDescent="0.3">
      <c r="A717" s="10">
        <v>45448</v>
      </c>
      <c r="B717" s="11">
        <v>45448.841685856481</v>
      </c>
      <c r="C717" s="12">
        <f t="shared" si="12"/>
        <v>20</v>
      </c>
      <c r="D717" s="12" t="s">
        <v>4</v>
      </c>
      <c r="E717" s="12" t="s">
        <v>240</v>
      </c>
      <c r="F717" s="13">
        <v>27.92</v>
      </c>
      <c r="G717" s="12" t="s">
        <v>34</v>
      </c>
      <c r="H717" s="12" t="str">
        <f t="shared" si="13"/>
        <v>Night</v>
      </c>
      <c r="I717" s="12" t="str">
        <f t="shared" si="14"/>
        <v>Wed</v>
      </c>
      <c r="J717" s="12" t="str">
        <f t="shared" si="15"/>
        <v>Jun</v>
      </c>
      <c r="K717" s="12">
        <f t="shared" si="16"/>
        <v>3</v>
      </c>
      <c r="L717" s="12">
        <f t="shared" si="17"/>
        <v>6</v>
      </c>
    </row>
    <row r="718" spans="1:12" x14ac:dyDescent="0.3">
      <c r="A718" s="6">
        <v>45449</v>
      </c>
      <c r="B718" s="7">
        <v>45449.37009665509</v>
      </c>
      <c r="C718" s="8">
        <f t="shared" si="12"/>
        <v>8</v>
      </c>
      <c r="D718" s="8" t="s">
        <v>4</v>
      </c>
      <c r="E718" s="8" t="s">
        <v>117</v>
      </c>
      <c r="F718" s="9">
        <v>32.82</v>
      </c>
      <c r="G718" s="8" t="s">
        <v>20</v>
      </c>
      <c r="H718" s="8" t="str">
        <f t="shared" si="13"/>
        <v>Morning</v>
      </c>
      <c r="I718" s="8" t="str">
        <f t="shared" si="14"/>
        <v>Thu</v>
      </c>
      <c r="J718" s="8" t="str">
        <f t="shared" si="15"/>
        <v>Jun</v>
      </c>
      <c r="K718" s="8">
        <f t="shared" si="16"/>
        <v>4</v>
      </c>
      <c r="L718" s="8">
        <f t="shared" si="17"/>
        <v>6</v>
      </c>
    </row>
    <row r="719" spans="1:12" x14ac:dyDescent="0.3">
      <c r="A719" s="10">
        <v>45449</v>
      </c>
      <c r="B719" s="11">
        <v>45449.370931192127</v>
      </c>
      <c r="C719" s="12">
        <f t="shared" si="12"/>
        <v>8</v>
      </c>
      <c r="D719" s="12" t="s">
        <v>4</v>
      </c>
      <c r="E719" s="12" t="s">
        <v>117</v>
      </c>
      <c r="F719" s="13">
        <v>32.82</v>
      </c>
      <c r="G719" s="12" t="s">
        <v>20</v>
      </c>
      <c r="H719" s="12" t="str">
        <f t="shared" si="13"/>
        <v>Morning</v>
      </c>
      <c r="I719" s="12" t="str">
        <f t="shared" si="14"/>
        <v>Thu</v>
      </c>
      <c r="J719" s="12" t="str">
        <f t="shared" si="15"/>
        <v>Jun</v>
      </c>
      <c r="K719" s="12">
        <f t="shared" si="16"/>
        <v>4</v>
      </c>
      <c r="L719" s="12">
        <f t="shared" si="17"/>
        <v>6</v>
      </c>
    </row>
    <row r="720" spans="1:12" x14ac:dyDescent="0.3">
      <c r="A720" s="6">
        <v>45449</v>
      </c>
      <c r="B720" s="7">
        <v>45449.441778553242</v>
      </c>
      <c r="C720" s="8">
        <f t="shared" si="12"/>
        <v>10</v>
      </c>
      <c r="D720" s="8" t="s">
        <v>4</v>
      </c>
      <c r="E720" s="8" t="s">
        <v>12</v>
      </c>
      <c r="F720" s="9">
        <v>37.72</v>
      </c>
      <c r="G720" s="8" t="s">
        <v>13</v>
      </c>
      <c r="H720" s="8" t="str">
        <f t="shared" si="13"/>
        <v>Morning</v>
      </c>
      <c r="I720" s="8" t="str">
        <f t="shared" si="14"/>
        <v>Thu</v>
      </c>
      <c r="J720" s="8" t="str">
        <f t="shared" si="15"/>
        <v>Jun</v>
      </c>
      <c r="K720" s="8">
        <f t="shared" si="16"/>
        <v>4</v>
      </c>
      <c r="L720" s="8">
        <f t="shared" si="17"/>
        <v>6</v>
      </c>
    </row>
    <row r="721" spans="1:12" x14ac:dyDescent="0.3">
      <c r="A721" s="10">
        <v>45449</v>
      </c>
      <c r="B721" s="11">
        <v>45449.512285578705</v>
      </c>
      <c r="C721" s="12">
        <f t="shared" si="12"/>
        <v>12</v>
      </c>
      <c r="D721" s="12" t="s">
        <v>4</v>
      </c>
      <c r="E721" s="12" t="s">
        <v>285</v>
      </c>
      <c r="F721" s="13">
        <v>27.92</v>
      </c>
      <c r="G721" s="12" t="s">
        <v>17</v>
      </c>
      <c r="H721" s="12" t="str">
        <f t="shared" si="13"/>
        <v>Afternoon</v>
      </c>
      <c r="I721" s="12" t="str">
        <f t="shared" si="14"/>
        <v>Thu</v>
      </c>
      <c r="J721" s="12" t="str">
        <f t="shared" si="15"/>
        <v>Jun</v>
      </c>
      <c r="K721" s="12">
        <f t="shared" si="16"/>
        <v>4</v>
      </c>
      <c r="L721" s="12">
        <f t="shared" si="17"/>
        <v>6</v>
      </c>
    </row>
    <row r="722" spans="1:12" x14ac:dyDescent="0.3">
      <c r="A722" s="6">
        <v>45449</v>
      </c>
      <c r="B722" s="7">
        <v>45449.632803067128</v>
      </c>
      <c r="C722" s="8">
        <f t="shared" si="12"/>
        <v>15</v>
      </c>
      <c r="D722" s="8" t="s">
        <v>4</v>
      </c>
      <c r="E722" s="8" t="s">
        <v>244</v>
      </c>
      <c r="F722" s="9">
        <v>32.82</v>
      </c>
      <c r="G722" s="8" t="s">
        <v>20</v>
      </c>
      <c r="H722" s="8" t="str">
        <f t="shared" si="13"/>
        <v>Afternoon</v>
      </c>
      <c r="I722" s="8" t="str">
        <f t="shared" si="14"/>
        <v>Thu</v>
      </c>
      <c r="J722" s="8" t="str">
        <f t="shared" si="15"/>
        <v>Jun</v>
      </c>
      <c r="K722" s="8">
        <f t="shared" si="16"/>
        <v>4</v>
      </c>
      <c r="L722" s="8">
        <f t="shared" si="17"/>
        <v>6</v>
      </c>
    </row>
    <row r="723" spans="1:12" x14ac:dyDescent="0.3">
      <c r="A723" s="10">
        <v>45449</v>
      </c>
      <c r="B723" s="11">
        <v>45449.641738668979</v>
      </c>
      <c r="C723" s="12">
        <f t="shared" si="12"/>
        <v>15</v>
      </c>
      <c r="D723" s="12" t="s">
        <v>4</v>
      </c>
      <c r="E723" s="12" t="s">
        <v>286</v>
      </c>
      <c r="F723" s="13">
        <v>37.72</v>
      </c>
      <c r="G723" s="12" t="s">
        <v>49</v>
      </c>
      <c r="H723" s="12" t="str">
        <f t="shared" si="13"/>
        <v>Afternoon</v>
      </c>
      <c r="I723" s="12" t="str">
        <f t="shared" si="14"/>
        <v>Thu</v>
      </c>
      <c r="J723" s="12" t="str">
        <f t="shared" si="15"/>
        <v>Jun</v>
      </c>
      <c r="K723" s="12">
        <f t="shared" si="16"/>
        <v>4</v>
      </c>
      <c r="L723" s="12">
        <f t="shared" si="17"/>
        <v>6</v>
      </c>
    </row>
    <row r="724" spans="1:12" x14ac:dyDescent="0.3">
      <c r="A724" s="6">
        <v>45449</v>
      </c>
      <c r="B724" s="7">
        <v>45449.884781273147</v>
      </c>
      <c r="C724" s="8">
        <f t="shared" si="12"/>
        <v>21</v>
      </c>
      <c r="D724" s="8" t="s">
        <v>4</v>
      </c>
      <c r="E724" s="8" t="s">
        <v>287</v>
      </c>
      <c r="F724" s="9">
        <v>37.72</v>
      </c>
      <c r="G724" s="8" t="s">
        <v>13</v>
      </c>
      <c r="H724" s="8" t="str">
        <f t="shared" si="13"/>
        <v>Night</v>
      </c>
      <c r="I724" s="8" t="str">
        <f t="shared" si="14"/>
        <v>Thu</v>
      </c>
      <c r="J724" s="8" t="str">
        <f t="shared" si="15"/>
        <v>Jun</v>
      </c>
      <c r="K724" s="8">
        <f t="shared" si="16"/>
        <v>4</v>
      </c>
      <c r="L724" s="8">
        <f t="shared" si="17"/>
        <v>6</v>
      </c>
    </row>
    <row r="725" spans="1:12" x14ac:dyDescent="0.3">
      <c r="A725" s="10">
        <v>45449</v>
      </c>
      <c r="B725" s="11">
        <v>45449.885905405092</v>
      </c>
      <c r="C725" s="12">
        <f t="shared" si="12"/>
        <v>21</v>
      </c>
      <c r="D725" s="12" t="s">
        <v>4</v>
      </c>
      <c r="E725" s="12" t="s">
        <v>287</v>
      </c>
      <c r="F725" s="13">
        <v>37.72</v>
      </c>
      <c r="G725" s="12" t="s">
        <v>13</v>
      </c>
      <c r="H725" s="12" t="str">
        <f t="shared" si="13"/>
        <v>Night</v>
      </c>
      <c r="I725" s="12" t="str">
        <f t="shared" si="14"/>
        <v>Thu</v>
      </c>
      <c r="J725" s="12" t="str">
        <f t="shared" si="15"/>
        <v>Jun</v>
      </c>
      <c r="K725" s="12">
        <f t="shared" si="16"/>
        <v>4</v>
      </c>
      <c r="L725" s="12">
        <f t="shared" si="17"/>
        <v>6</v>
      </c>
    </row>
    <row r="726" spans="1:12" x14ac:dyDescent="0.3">
      <c r="A726" s="6">
        <v>45449</v>
      </c>
      <c r="B726" s="7">
        <v>45449.887809178239</v>
      </c>
      <c r="C726" s="8">
        <f t="shared" si="12"/>
        <v>21</v>
      </c>
      <c r="D726" s="8" t="s">
        <v>4</v>
      </c>
      <c r="E726" s="8" t="s">
        <v>226</v>
      </c>
      <c r="F726" s="9">
        <v>37.72</v>
      </c>
      <c r="G726" s="8" t="s">
        <v>49</v>
      </c>
      <c r="H726" s="8" t="str">
        <f t="shared" si="13"/>
        <v>Night</v>
      </c>
      <c r="I726" s="8" t="str">
        <f t="shared" si="14"/>
        <v>Thu</v>
      </c>
      <c r="J726" s="8" t="str">
        <f t="shared" si="15"/>
        <v>Jun</v>
      </c>
      <c r="K726" s="8">
        <f t="shared" si="16"/>
        <v>4</v>
      </c>
      <c r="L726" s="8">
        <f t="shared" si="17"/>
        <v>6</v>
      </c>
    </row>
    <row r="727" spans="1:12" x14ac:dyDescent="0.3">
      <c r="A727" s="10">
        <v>45449</v>
      </c>
      <c r="B727" s="11">
        <v>45449.888546712966</v>
      </c>
      <c r="C727" s="12">
        <f t="shared" si="12"/>
        <v>21</v>
      </c>
      <c r="D727" s="12" t="s">
        <v>4</v>
      </c>
      <c r="E727" s="12" t="s">
        <v>226</v>
      </c>
      <c r="F727" s="13">
        <v>32.82</v>
      </c>
      <c r="G727" s="12" t="s">
        <v>20</v>
      </c>
      <c r="H727" s="12" t="str">
        <f t="shared" si="13"/>
        <v>Night</v>
      </c>
      <c r="I727" s="12" t="str">
        <f t="shared" si="14"/>
        <v>Thu</v>
      </c>
      <c r="J727" s="12" t="str">
        <f t="shared" si="15"/>
        <v>Jun</v>
      </c>
      <c r="K727" s="12">
        <f t="shared" si="16"/>
        <v>4</v>
      </c>
      <c r="L727" s="12">
        <f t="shared" si="17"/>
        <v>6</v>
      </c>
    </row>
    <row r="728" spans="1:12" x14ac:dyDescent="0.3">
      <c r="A728" s="6">
        <v>45449</v>
      </c>
      <c r="B728" s="7">
        <v>45449.889634722225</v>
      </c>
      <c r="C728" s="8">
        <f t="shared" si="12"/>
        <v>21</v>
      </c>
      <c r="D728" s="8" t="s">
        <v>4</v>
      </c>
      <c r="E728" s="8" t="s">
        <v>287</v>
      </c>
      <c r="F728" s="9">
        <v>37.72</v>
      </c>
      <c r="G728" s="8" t="s">
        <v>13</v>
      </c>
      <c r="H728" s="8" t="str">
        <f t="shared" si="13"/>
        <v>Night</v>
      </c>
      <c r="I728" s="8" t="str">
        <f t="shared" si="14"/>
        <v>Thu</v>
      </c>
      <c r="J728" s="8" t="str">
        <f t="shared" si="15"/>
        <v>Jun</v>
      </c>
      <c r="K728" s="8">
        <f t="shared" si="16"/>
        <v>4</v>
      </c>
      <c r="L728" s="8">
        <f t="shared" si="17"/>
        <v>6</v>
      </c>
    </row>
    <row r="729" spans="1:12" x14ac:dyDescent="0.3">
      <c r="A729" s="10">
        <v>45450</v>
      </c>
      <c r="B729" s="11">
        <v>45450.345883055554</v>
      </c>
      <c r="C729" s="12">
        <f t="shared" si="12"/>
        <v>8</v>
      </c>
      <c r="D729" s="12" t="s">
        <v>4</v>
      </c>
      <c r="E729" s="12" t="s">
        <v>288</v>
      </c>
      <c r="F729" s="13">
        <v>37.72</v>
      </c>
      <c r="G729" s="12" t="s">
        <v>49</v>
      </c>
      <c r="H729" s="12" t="str">
        <f t="shared" si="13"/>
        <v>Morning</v>
      </c>
      <c r="I729" s="12" t="str">
        <f t="shared" si="14"/>
        <v>Fri</v>
      </c>
      <c r="J729" s="12" t="str">
        <f t="shared" si="15"/>
        <v>Jun</v>
      </c>
      <c r="K729" s="12">
        <f t="shared" si="16"/>
        <v>5</v>
      </c>
      <c r="L729" s="12">
        <f t="shared" si="17"/>
        <v>6</v>
      </c>
    </row>
    <row r="730" spans="1:12" x14ac:dyDescent="0.3">
      <c r="A730" s="6">
        <v>45450</v>
      </c>
      <c r="B730" s="7">
        <v>45450.441297500001</v>
      </c>
      <c r="C730" s="8">
        <f t="shared" si="12"/>
        <v>10</v>
      </c>
      <c r="D730" s="8" t="s">
        <v>4</v>
      </c>
      <c r="E730" s="8" t="s">
        <v>289</v>
      </c>
      <c r="F730" s="9">
        <v>23.02</v>
      </c>
      <c r="G730" s="8" t="s">
        <v>41</v>
      </c>
      <c r="H730" s="8" t="str">
        <f t="shared" si="13"/>
        <v>Morning</v>
      </c>
      <c r="I730" s="8" t="str">
        <f t="shared" si="14"/>
        <v>Fri</v>
      </c>
      <c r="J730" s="8" t="str">
        <f t="shared" si="15"/>
        <v>Jun</v>
      </c>
      <c r="K730" s="8">
        <f t="shared" si="16"/>
        <v>5</v>
      </c>
      <c r="L730" s="8">
        <f t="shared" si="17"/>
        <v>6</v>
      </c>
    </row>
    <row r="731" spans="1:12" x14ac:dyDescent="0.3">
      <c r="A731" s="10">
        <v>45450</v>
      </c>
      <c r="B731" s="11">
        <v>45450.565489548608</v>
      </c>
      <c r="C731" s="12">
        <f t="shared" si="12"/>
        <v>13</v>
      </c>
      <c r="D731" s="12" t="s">
        <v>4</v>
      </c>
      <c r="E731" s="12" t="s">
        <v>184</v>
      </c>
      <c r="F731" s="13">
        <v>32.82</v>
      </c>
      <c r="G731" s="12" t="s">
        <v>20</v>
      </c>
      <c r="H731" s="12" t="str">
        <f t="shared" si="13"/>
        <v>Afternoon</v>
      </c>
      <c r="I731" s="12" t="str">
        <f t="shared" si="14"/>
        <v>Fri</v>
      </c>
      <c r="J731" s="12" t="str">
        <f t="shared" si="15"/>
        <v>Jun</v>
      </c>
      <c r="K731" s="12">
        <f t="shared" si="16"/>
        <v>5</v>
      </c>
      <c r="L731" s="12">
        <f t="shared" si="17"/>
        <v>6</v>
      </c>
    </row>
    <row r="732" spans="1:12" x14ac:dyDescent="0.3">
      <c r="A732" s="6">
        <v>45450</v>
      </c>
      <c r="B732" s="7">
        <v>45450.698405300929</v>
      </c>
      <c r="C732" s="8">
        <f t="shared" si="12"/>
        <v>16</v>
      </c>
      <c r="D732" s="8" t="s">
        <v>4</v>
      </c>
      <c r="E732" s="8" t="s">
        <v>290</v>
      </c>
      <c r="F732" s="9">
        <v>27.92</v>
      </c>
      <c r="G732" s="8" t="s">
        <v>34</v>
      </c>
      <c r="H732" s="8" t="str">
        <f t="shared" si="13"/>
        <v>Afternoon</v>
      </c>
      <c r="I732" s="8" t="str">
        <f t="shared" si="14"/>
        <v>Fri</v>
      </c>
      <c r="J732" s="8" t="str">
        <f t="shared" si="15"/>
        <v>Jun</v>
      </c>
      <c r="K732" s="8">
        <f t="shared" si="16"/>
        <v>5</v>
      </c>
      <c r="L732" s="8">
        <f t="shared" si="17"/>
        <v>6</v>
      </c>
    </row>
    <row r="733" spans="1:12" x14ac:dyDescent="0.3">
      <c r="A733" s="10">
        <v>45450</v>
      </c>
      <c r="B733" s="11">
        <v>45450.699484733799</v>
      </c>
      <c r="C733" s="12">
        <f t="shared" si="12"/>
        <v>16</v>
      </c>
      <c r="D733" s="12" t="s">
        <v>4</v>
      </c>
      <c r="E733" s="12" t="s">
        <v>290</v>
      </c>
      <c r="F733" s="13">
        <v>27.92</v>
      </c>
      <c r="G733" s="12" t="s">
        <v>34</v>
      </c>
      <c r="H733" s="12" t="str">
        <f t="shared" si="13"/>
        <v>Afternoon</v>
      </c>
      <c r="I733" s="12" t="str">
        <f t="shared" si="14"/>
        <v>Fri</v>
      </c>
      <c r="J733" s="12" t="str">
        <f t="shared" si="15"/>
        <v>Jun</v>
      </c>
      <c r="K733" s="12">
        <f t="shared" si="16"/>
        <v>5</v>
      </c>
      <c r="L733" s="12">
        <f t="shared" si="17"/>
        <v>6</v>
      </c>
    </row>
    <row r="734" spans="1:12" x14ac:dyDescent="0.3">
      <c r="A734" s="6">
        <v>45451</v>
      </c>
      <c r="B734" s="7">
        <v>45451.378009444445</v>
      </c>
      <c r="C734" s="8">
        <f t="shared" si="12"/>
        <v>9</v>
      </c>
      <c r="D734" s="8" t="s">
        <v>4</v>
      </c>
      <c r="E734" s="8" t="s">
        <v>291</v>
      </c>
      <c r="F734" s="9">
        <v>27.92</v>
      </c>
      <c r="G734" s="8" t="s">
        <v>34</v>
      </c>
      <c r="H734" s="8" t="str">
        <f t="shared" si="13"/>
        <v>Morning</v>
      </c>
      <c r="I734" s="8" t="str">
        <f t="shared" si="14"/>
        <v>Sat</v>
      </c>
      <c r="J734" s="8" t="str">
        <f t="shared" si="15"/>
        <v>Jun</v>
      </c>
      <c r="K734" s="8">
        <f t="shared" si="16"/>
        <v>6</v>
      </c>
      <c r="L734" s="8">
        <f t="shared" si="17"/>
        <v>6</v>
      </c>
    </row>
    <row r="735" spans="1:12" x14ac:dyDescent="0.3">
      <c r="A735" s="10">
        <v>45451</v>
      </c>
      <c r="B735" s="11">
        <v>45451.393184722219</v>
      </c>
      <c r="C735" s="12">
        <f t="shared" si="12"/>
        <v>9</v>
      </c>
      <c r="D735" s="12" t="s">
        <v>4</v>
      </c>
      <c r="E735" s="12" t="s">
        <v>117</v>
      </c>
      <c r="F735" s="13">
        <v>32.82</v>
      </c>
      <c r="G735" s="12" t="s">
        <v>20</v>
      </c>
      <c r="H735" s="12" t="str">
        <f t="shared" si="13"/>
        <v>Morning</v>
      </c>
      <c r="I735" s="12" t="str">
        <f t="shared" si="14"/>
        <v>Sat</v>
      </c>
      <c r="J735" s="12" t="str">
        <f t="shared" si="15"/>
        <v>Jun</v>
      </c>
      <c r="K735" s="12">
        <f t="shared" si="16"/>
        <v>6</v>
      </c>
      <c r="L735" s="12">
        <f t="shared" si="17"/>
        <v>6</v>
      </c>
    </row>
    <row r="736" spans="1:12" x14ac:dyDescent="0.3">
      <c r="A736" s="6">
        <v>45451</v>
      </c>
      <c r="B736" s="7">
        <v>45451.850628703702</v>
      </c>
      <c r="C736" s="8">
        <f t="shared" si="12"/>
        <v>20</v>
      </c>
      <c r="D736" s="8" t="s">
        <v>4</v>
      </c>
      <c r="E736" s="8" t="s">
        <v>154</v>
      </c>
      <c r="F736" s="9">
        <v>37.72</v>
      </c>
      <c r="G736" s="8" t="s">
        <v>49</v>
      </c>
      <c r="H736" s="8" t="str">
        <f t="shared" si="13"/>
        <v>Night</v>
      </c>
      <c r="I736" s="8" t="str">
        <f t="shared" si="14"/>
        <v>Sat</v>
      </c>
      <c r="J736" s="8" t="str">
        <f t="shared" si="15"/>
        <v>Jun</v>
      </c>
      <c r="K736" s="8">
        <f t="shared" si="16"/>
        <v>6</v>
      </c>
      <c r="L736" s="8">
        <f t="shared" si="17"/>
        <v>6</v>
      </c>
    </row>
    <row r="737" spans="1:12" x14ac:dyDescent="0.3">
      <c r="A737" s="10">
        <v>45451</v>
      </c>
      <c r="B737" s="11">
        <v>45451.851346249998</v>
      </c>
      <c r="C737" s="12">
        <f t="shared" si="12"/>
        <v>20</v>
      </c>
      <c r="D737" s="12" t="s">
        <v>4</v>
      </c>
      <c r="E737" s="12" t="s">
        <v>154</v>
      </c>
      <c r="F737" s="13">
        <v>37.72</v>
      </c>
      <c r="G737" s="12" t="s">
        <v>49</v>
      </c>
      <c r="H737" s="12" t="str">
        <f t="shared" si="13"/>
        <v>Night</v>
      </c>
      <c r="I737" s="12" t="str">
        <f t="shared" si="14"/>
        <v>Sat</v>
      </c>
      <c r="J737" s="12" t="str">
        <f t="shared" si="15"/>
        <v>Jun</v>
      </c>
      <c r="K737" s="12">
        <f t="shared" si="16"/>
        <v>6</v>
      </c>
      <c r="L737" s="12">
        <f t="shared" si="17"/>
        <v>6</v>
      </c>
    </row>
    <row r="738" spans="1:12" x14ac:dyDescent="0.3">
      <c r="A738" s="6">
        <v>45452</v>
      </c>
      <c r="B738" s="7">
        <v>45452.344360648145</v>
      </c>
      <c r="C738" s="8">
        <f t="shared" si="12"/>
        <v>8</v>
      </c>
      <c r="D738" s="8" t="s">
        <v>4</v>
      </c>
      <c r="E738" s="8" t="s">
        <v>117</v>
      </c>
      <c r="F738" s="9">
        <v>37.72</v>
      </c>
      <c r="G738" s="8" t="s">
        <v>13</v>
      </c>
      <c r="H738" s="8" t="str">
        <f t="shared" si="13"/>
        <v>Morning</v>
      </c>
      <c r="I738" s="8" t="str">
        <f t="shared" si="14"/>
        <v>Sun</v>
      </c>
      <c r="J738" s="8" t="str">
        <f t="shared" si="15"/>
        <v>Jun</v>
      </c>
      <c r="K738" s="8">
        <f t="shared" si="16"/>
        <v>7</v>
      </c>
      <c r="L738" s="8">
        <f t="shared" si="17"/>
        <v>6</v>
      </c>
    </row>
    <row r="739" spans="1:12" x14ac:dyDescent="0.3">
      <c r="A739" s="10">
        <v>45452</v>
      </c>
      <c r="B739" s="11">
        <v>45452.437551631941</v>
      </c>
      <c r="C739" s="12">
        <f t="shared" si="12"/>
        <v>10</v>
      </c>
      <c r="D739" s="12" t="s">
        <v>4</v>
      </c>
      <c r="E739" s="12" t="s">
        <v>292</v>
      </c>
      <c r="F739" s="13">
        <v>37.72</v>
      </c>
      <c r="G739" s="12" t="s">
        <v>13</v>
      </c>
      <c r="H739" s="12" t="str">
        <f t="shared" si="13"/>
        <v>Morning</v>
      </c>
      <c r="I739" s="12" t="str">
        <f t="shared" si="14"/>
        <v>Sun</v>
      </c>
      <c r="J739" s="12" t="str">
        <f t="shared" si="15"/>
        <v>Jun</v>
      </c>
      <c r="K739" s="12">
        <f t="shared" si="16"/>
        <v>7</v>
      </c>
      <c r="L739" s="12">
        <f t="shared" si="17"/>
        <v>6</v>
      </c>
    </row>
    <row r="740" spans="1:12" x14ac:dyDescent="0.3">
      <c r="A740" s="6">
        <v>45452</v>
      </c>
      <c r="B740" s="7">
        <v>45452.452844872685</v>
      </c>
      <c r="C740" s="8">
        <f t="shared" si="12"/>
        <v>10</v>
      </c>
      <c r="D740" s="8" t="s">
        <v>4</v>
      </c>
      <c r="E740" s="8" t="s">
        <v>293</v>
      </c>
      <c r="F740" s="9">
        <v>37.72</v>
      </c>
      <c r="G740" s="8" t="s">
        <v>49</v>
      </c>
      <c r="H740" s="8" t="str">
        <f t="shared" si="13"/>
        <v>Morning</v>
      </c>
      <c r="I740" s="8" t="str">
        <f t="shared" si="14"/>
        <v>Sun</v>
      </c>
      <c r="J740" s="8" t="str">
        <f t="shared" si="15"/>
        <v>Jun</v>
      </c>
      <c r="K740" s="8">
        <f t="shared" si="16"/>
        <v>7</v>
      </c>
      <c r="L740" s="8">
        <f t="shared" si="17"/>
        <v>6</v>
      </c>
    </row>
    <row r="741" spans="1:12" x14ac:dyDescent="0.3">
      <c r="A741" s="10">
        <v>45452</v>
      </c>
      <c r="B741" s="11">
        <v>45452.461589189814</v>
      </c>
      <c r="C741" s="12">
        <f t="shared" si="12"/>
        <v>11</v>
      </c>
      <c r="D741" s="12" t="s">
        <v>4</v>
      </c>
      <c r="E741" s="12" t="s">
        <v>161</v>
      </c>
      <c r="F741" s="13">
        <v>27.92</v>
      </c>
      <c r="G741" s="12" t="s">
        <v>34</v>
      </c>
      <c r="H741" s="12" t="str">
        <f t="shared" si="13"/>
        <v>Morning</v>
      </c>
      <c r="I741" s="12" t="str">
        <f t="shared" si="14"/>
        <v>Sun</v>
      </c>
      <c r="J741" s="12" t="str">
        <f t="shared" si="15"/>
        <v>Jun</v>
      </c>
      <c r="K741" s="12">
        <f t="shared" si="16"/>
        <v>7</v>
      </c>
      <c r="L741" s="12">
        <f t="shared" si="17"/>
        <v>6</v>
      </c>
    </row>
    <row r="742" spans="1:12" x14ac:dyDescent="0.3">
      <c r="A742" s="6">
        <v>45452</v>
      </c>
      <c r="B742" s="7">
        <v>45452.463288287036</v>
      </c>
      <c r="C742" s="8">
        <f t="shared" si="12"/>
        <v>11</v>
      </c>
      <c r="D742" s="8" t="s">
        <v>4</v>
      </c>
      <c r="E742" s="8" t="s">
        <v>294</v>
      </c>
      <c r="F742" s="9">
        <v>23.02</v>
      </c>
      <c r="G742" s="8" t="s">
        <v>41</v>
      </c>
      <c r="H742" s="8" t="str">
        <f t="shared" si="13"/>
        <v>Morning</v>
      </c>
      <c r="I742" s="8" t="str">
        <f t="shared" si="14"/>
        <v>Sun</v>
      </c>
      <c r="J742" s="8" t="str">
        <f t="shared" si="15"/>
        <v>Jun</v>
      </c>
      <c r="K742" s="8">
        <f t="shared" si="16"/>
        <v>7</v>
      </c>
      <c r="L742" s="8">
        <f t="shared" si="17"/>
        <v>6</v>
      </c>
    </row>
    <row r="743" spans="1:12" x14ac:dyDescent="0.3">
      <c r="A743" s="10">
        <v>45452</v>
      </c>
      <c r="B743" s="11">
        <v>45452.495018703703</v>
      </c>
      <c r="C743" s="12">
        <f t="shared" si="12"/>
        <v>11</v>
      </c>
      <c r="D743" s="12" t="s">
        <v>4</v>
      </c>
      <c r="E743" s="12" t="s">
        <v>295</v>
      </c>
      <c r="F743" s="13">
        <v>37.72</v>
      </c>
      <c r="G743" s="12" t="s">
        <v>49</v>
      </c>
      <c r="H743" s="12" t="str">
        <f t="shared" si="13"/>
        <v>Morning</v>
      </c>
      <c r="I743" s="12" t="str">
        <f t="shared" si="14"/>
        <v>Sun</v>
      </c>
      <c r="J743" s="12" t="str">
        <f t="shared" si="15"/>
        <v>Jun</v>
      </c>
      <c r="K743" s="12">
        <f t="shared" si="16"/>
        <v>7</v>
      </c>
      <c r="L743" s="12">
        <f t="shared" si="17"/>
        <v>6</v>
      </c>
    </row>
    <row r="744" spans="1:12" x14ac:dyDescent="0.3">
      <c r="A744" s="6">
        <v>45452</v>
      </c>
      <c r="B744" s="7">
        <v>45452.507912499997</v>
      </c>
      <c r="C744" s="8">
        <f t="shared" si="12"/>
        <v>12</v>
      </c>
      <c r="D744" s="8" t="s">
        <v>4</v>
      </c>
      <c r="E744" s="8" t="s">
        <v>296</v>
      </c>
      <c r="F744" s="9">
        <v>32.82</v>
      </c>
      <c r="G744" s="8" t="s">
        <v>20</v>
      </c>
      <c r="H744" s="8" t="str">
        <f t="shared" si="13"/>
        <v>Afternoon</v>
      </c>
      <c r="I744" s="8" t="str">
        <f t="shared" si="14"/>
        <v>Sun</v>
      </c>
      <c r="J744" s="8" t="str">
        <f t="shared" si="15"/>
        <v>Jun</v>
      </c>
      <c r="K744" s="8">
        <f t="shared" si="16"/>
        <v>7</v>
      </c>
      <c r="L744" s="8">
        <f t="shared" si="17"/>
        <v>6</v>
      </c>
    </row>
    <row r="745" spans="1:12" x14ac:dyDescent="0.3">
      <c r="A745" s="10">
        <v>45452</v>
      </c>
      <c r="B745" s="11">
        <v>45452.509121145835</v>
      </c>
      <c r="C745" s="12">
        <f t="shared" si="12"/>
        <v>12</v>
      </c>
      <c r="D745" s="12" t="s">
        <v>4</v>
      </c>
      <c r="E745" s="12" t="s">
        <v>296</v>
      </c>
      <c r="F745" s="13">
        <v>37.72</v>
      </c>
      <c r="G745" s="12" t="s">
        <v>13</v>
      </c>
      <c r="H745" s="12" t="str">
        <f t="shared" si="13"/>
        <v>Afternoon</v>
      </c>
      <c r="I745" s="12" t="str">
        <f t="shared" si="14"/>
        <v>Sun</v>
      </c>
      <c r="J745" s="12" t="str">
        <f t="shared" si="15"/>
        <v>Jun</v>
      </c>
      <c r="K745" s="12">
        <f t="shared" si="16"/>
        <v>7</v>
      </c>
      <c r="L745" s="12">
        <f t="shared" si="17"/>
        <v>6</v>
      </c>
    </row>
    <row r="746" spans="1:12" x14ac:dyDescent="0.3">
      <c r="A746" s="6">
        <v>45452</v>
      </c>
      <c r="B746" s="7">
        <v>45452.50984702546</v>
      </c>
      <c r="C746" s="8">
        <f t="shared" si="12"/>
        <v>12</v>
      </c>
      <c r="D746" s="8" t="s">
        <v>4</v>
      </c>
      <c r="E746" s="8" t="s">
        <v>296</v>
      </c>
      <c r="F746" s="9">
        <v>37.72</v>
      </c>
      <c r="G746" s="8" t="s">
        <v>13</v>
      </c>
      <c r="H746" s="8" t="str">
        <f t="shared" si="13"/>
        <v>Afternoon</v>
      </c>
      <c r="I746" s="8" t="str">
        <f t="shared" si="14"/>
        <v>Sun</v>
      </c>
      <c r="J746" s="8" t="str">
        <f t="shared" si="15"/>
        <v>Jun</v>
      </c>
      <c r="K746" s="8">
        <f t="shared" si="16"/>
        <v>7</v>
      </c>
      <c r="L746" s="8">
        <f t="shared" si="17"/>
        <v>6</v>
      </c>
    </row>
    <row r="747" spans="1:12" x14ac:dyDescent="0.3">
      <c r="A747" s="10">
        <v>45452</v>
      </c>
      <c r="B747" s="11">
        <v>45452.632299675926</v>
      </c>
      <c r="C747" s="12">
        <f t="shared" si="12"/>
        <v>15</v>
      </c>
      <c r="D747" s="12" t="s">
        <v>4</v>
      </c>
      <c r="E747" s="12" t="s">
        <v>297</v>
      </c>
      <c r="F747" s="13">
        <v>27.92</v>
      </c>
      <c r="G747" s="12" t="s">
        <v>34</v>
      </c>
      <c r="H747" s="12" t="str">
        <f t="shared" si="13"/>
        <v>Afternoon</v>
      </c>
      <c r="I747" s="12" t="str">
        <f t="shared" si="14"/>
        <v>Sun</v>
      </c>
      <c r="J747" s="12" t="str">
        <f t="shared" si="15"/>
        <v>Jun</v>
      </c>
      <c r="K747" s="12">
        <f t="shared" si="16"/>
        <v>7</v>
      </c>
      <c r="L747" s="12">
        <f t="shared" si="17"/>
        <v>6</v>
      </c>
    </row>
    <row r="748" spans="1:12" x14ac:dyDescent="0.3">
      <c r="A748" s="6">
        <v>45452</v>
      </c>
      <c r="B748" s="7">
        <v>45452.678798483794</v>
      </c>
      <c r="C748" s="8">
        <f t="shared" si="12"/>
        <v>16</v>
      </c>
      <c r="D748" s="8" t="s">
        <v>4</v>
      </c>
      <c r="E748" s="8" t="s">
        <v>298</v>
      </c>
      <c r="F748" s="9">
        <v>37.72</v>
      </c>
      <c r="G748" s="8" t="s">
        <v>49</v>
      </c>
      <c r="H748" s="8" t="str">
        <f t="shared" si="13"/>
        <v>Afternoon</v>
      </c>
      <c r="I748" s="8" t="str">
        <f t="shared" si="14"/>
        <v>Sun</v>
      </c>
      <c r="J748" s="8" t="str">
        <f t="shared" si="15"/>
        <v>Jun</v>
      </c>
      <c r="K748" s="8">
        <f t="shared" si="16"/>
        <v>7</v>
      </c>
      <c r="L748" s="8">
        <f t="shared" si="17"/>
        <v>6</v>
      </c>
    </row>
    <row r="749" spans="1:12" x14ac:dyDescent="0.3">
      <c r="A749" s="10">
        <v>45452</v>
      </c>
      <c r="B749" s="11">
        <v>45452.806473113429</v>
      </c>
      <c r="C749" s="12">
        <f t="shared" si="12"/>
        <v>19</v>
      </c>
      <c r="D749" s="12" t="s">
        <v>4</v>
      </c>
      <c r="E749" s="12" t="s">
        <v>299</v>
      </c>
      <c r="F749" s="13">
        <v>32.82</v>
      </c>
      <c r="G749" s="12" t="s">
        <v>20</v>
      </c>
      <c r="H749" s="12" t="str">
        <f t="shared" si="13"/>
        <v>Night</v>
      </c>
      <c r="I749" s="12" t="str">
        <f t="shared" si="14"/>
        <v>Sun</v>
      </c>
      <c r="J749" s="12" t="str">
        <f t="shared" si="15"/>
        <v>Jun</v>
      </c>
      <c r="K749" s="12">
        <f t="shared" si="16"/>
        <v>7</v>
      </c>
      <c r="L749" s="12">
        <f t="shared" si="17"/>
        <v>6</v>
      </c>
    </row>
    <row r="750" spans="1:12" x14ac:dyDescent="0.3">
      <c r="A750" s="6">
        <v>45452</v>
      </c>
      <c r="B750" s="7">
        <v>45452.87857458333</v>
      </c>
      <c r="C750" s="8">
        <f t="shared" si="12"/>
        <v>21</v>
      </c>
      <c r="D750" s="8" t="s">
        <v>4</v>
      </c>
      <c r="E750" s="8" t="s">
        <v>300</v>
      </c>
      <c r="F750" s="9">
        <v>27.92</v>
      </c>
      <c r="G750" s="8" t="s">
        <v>17</v>
      </c>
      <c r="H750" s="8" t="str">
        <f t="shared" si="13"/>
        <v>Night</v>
      </c>
      <c r="I750" s="8" t="str">
        <f t="shared" si="14"/>
        <v>Sun</v>
      </c>
      <c r="J750" s="8" t="str">
        <f t="shared" si="15"/>
        <v>Jun</v>
      </c>
      <c r="K750" s="8">
        <f t="shared" si="16"/>
        <v>7</v>
      </c>
      <c r="L750" s="8">
        <f t="shared" si="17"/>
        <v>6</v>
      </c>
    </row>
    <row r="751" spans="1:12" x14ac:dyDescent="0.3">
      <c r="A751" s="10">
        <v>45453</v>
      </c>
      <c r="B751" s="11">
        <v>45453.5332159838</v>
      </c>
      <c r="C751" s="12">
        <f t="shared" si="12"/>
        <v>12</v>
      </c>
      <c r="D751" s="12" t="s">
        <v>4</v>
      </c>
      <c r="E751" s="12" t="s">
        <v>301</v>
      </c>
      <c r="F751" s="13">
        <v>37.72</v>
      </c>
      <c r="G751" s="12" t="s">
        <v>49</v>
      </c>
      <c r="H751" s="12" t="str">
        <f t="shared" si="13"/>
        <v>Afternoon</v>
      </c>
      <c r="I751" s="12" t="str">
        <f t="shared" si="14"/>
        <v>Mon</v>
      </c>
      <c r="J751" s="12" t="str">
        <f t="shared" si="15"/>
        <v>Jun</v>
      </c>
      <c r="K751" s="12">
        <f t="shared" si="16"/>
        <v>1</v>
      </c>
      <c r="L751" s="12">
        <f t="shared" si="17"/>
        <v>6</v>
      </c>
    </row>
    <row r="752" spans="1:12" x14ac:dyDescent="0.3">
      <c r="A752" s="6">
        <v>45453</v>
      </c>
      <c r="B752" s="7">
        <v>45453.539447546296</v>
      </c>
      <c r="C752" s="8">
        <f t="shared" si="12"/>
        <v>12</v>
      </c>
      <c r="D752" s="8" t="s">
        <v>4</v>
      </c>
      <c r="E752" s="8" t="s">
        <v>117</v>
      </c>
      <c r="F752" s="9">
        <v>37.72</v>
      </c>
      <c r="G752" s="8" t="s">
        <v>13</v>
      </c>
      <c r="H752" s="8" t="str">
        <f t="shared" si="13"/>
        <v>Afternoon</v>
      </c>
      <c r="I752" s="8" t="str">
        <f t="shared" si="14"/>
        <v>Mon</v>
      </c>
      <c r="J752" s="8" t="str">
        <f t="shared" si="15"/>
        <v>Jun</v>
      </c>
      <c r="K752" s="8">
        <f t="shared" si="16"/>
        <v>1</v>
      </c>
      <c r="L752" s="8">
        <f t="shared" si="17"/>
        <v>6</v>
      </c>
    </row>
    <row r="753" spans="1:12" x14ac:dyDescent="0.3">
      <c r="A753" s="10">
        <v>45453</v>
      </c>
      <c r="B753" s="11">
        <v>45453.794769745371</v>
      </c>
      <c r="C753" s="12">
        <f t="shared" si="12"/>
        <v>19</v>
      </c>
      <c r="D753" s="12" t="s">
        <v>4</v>
      </c>
      <c r="E753" s="12" t="s">
        <v>302</v>
      </c>
      <c r="F753" s="13">
        <v>37.72</v>
      </c>
      <c r="G753" s="12" t="s">
        <v>15</v>
      </c>
      <c r="H753" s="12" t="str">
        <f t="shared" si="13"/>
        <v>Night</v>
      </c>
      <c r="I753" s="12" t="str">
        <f t="shared" si="14"/>
        <v>Mon</v>
      </c>
      <c r="J753" s="12" t="str">
        <f t="shared" si="15"/>
        <v>Jun</v>
      </c>
      <c r="K753" s="12">
        <f t="shared" si="16"/>
        <v>1</v>
      </c>
      <c r="L753" s="12">
        <f t="shared" si="17"/>
        <v>6</v>
      </c>
    </row>
    <row r="754" spans="1:12" x14ac:dyDescent="0.3">
      <c r="A754" s="6">
        <v>45453</v>
      </c>
      <c r="B754" s="7">
        <v>45453.795402430558</v>
      </c>
      <c r="C754" s="8">
        <f t="shared" si="12"/>
        <v>19</v>
      </c>
      <c r="D754" s="8" t="s">
        <v>4</v>
      </c>
      <c r="E754" s="8" t="s">
        <v>302</v>
      </c>
      <c r="F754" s="9">
        <v>37.72</v>
      </c>
      <c r="G754" s="8" t="s">
        <v>15</v>
      </c>
      <c r="H754" s="8" t="str">
        <f t="shared" si="13"/>
        <v>Night</v>
      </c>
      <c r="I754" s="8" t="str">
        <f t="shared" si="14"/>
        <v>Mon</v>
      </c>
      <c r="J754" s="8" t="str">
        <f t="shared" si="15"/>
        <v>Jun</v>
      </c>
      <c r="K754" s="8">
        <f t="shared" si="16"/>
        <v>1</v>
      </c>
      <c r="L754" s="8">
        <f t="shared" si="17"/>
        <v>6</v>
      </c>
    </row>
    <row r="755" spans="1:12" x14ac:dyDescent="0.3">
      <c r="A755" s="10">
        <v>45453</v>
      </c>
      <c r="B755" s="11">
        <v>45453.817634282408</v>
      </c>
      <c r="C755" s="12">
        <f t="shared" si="12"/>
        <v>19</v>
      </c>
      <c r="D755" s="12" t="s">
        <v>4</v>
      </c>
      <c r="E755" s="12" t="s">
        <v>303</v>
      </c>
      <c r="F755" s="13">
        <v>37.72</v>
      </c>
      <c r="G755" s="12" t="s">
        <v>13</v>
      </c>
      <c r="H755" s="12" t="str">
        <f t="shared" si="13"/>
        <v>Night</v>
      </c>
      <c r="I755" s="12" t="str">
        <f t="shared" si="14"/>
        <v>Mon</v>
      </c>
      <c r="J755" s="12" t="str">
        <f t="shared" si="15"/>
        <v>Jun</v>
      </c>
      <c r="K755" s="12">
        <f t="shared" si="16"/>
        <v>1</v>
      </c>
      <c r="L755" s="12">
        <f t="shared" si="17"/>
        <v>6</v>
      </c>
    </row>
    <row r="756" spans="1:12" x14ac:dyDescent="0.3">
      <c r="A756" s="6">
        <v>45453</v>
      </c>
      <c r="B756" s="7">
        <v>45453.818283310182</v>
      </c>
      <c r="C756" s="8">
        <f t="shared" si="12"/>
        <v>19</v>
      </c>
      <c r="D756" s="8" t="s">
        <v>4</v>
      </c>
      <c r="E756" s="8" t="s">
        <v>303</v>
      </c>
      <c r="F756" s="9">
        <v>37.72</v>
      </c>
      <c r="G756" s="8" t="s">
        <v>13</v>
      </c>
      <c r="H756" s="8" t="str">
        <f t="shared" si="13"/>
        <v>Night</v>
      </c>
      <c r="I756" s="8" t="str">
        <f t="shared" si="14"/>
        <v>Mon</v>
      </c>
      <c r="J756" s="8" t="str">
        <f t="shared" si="15"/>
        <v>Jun</v>
      </c>
      <c r="K756" s="8">
        <f t="shared" si="16"/>
        <v>1</v>
      </c>
      <c r="L756" s="8">
        <f t="shared" si="17"/>
        <v>6</v>
      </c>
    </row>
    <row r="757" spans="1:12" x14ac:dyDescent="0.3">
      <c r="A757" s="10">
        <v>45454</v>
      </c>
      <c r="B757" s="11">
        <v>45454.443101307872</v>
      </c>
      <c r="C757" s="12">
        <f t="shared" si="12"/>
        <v>10</v>
      </c>
      <c r="D757" s="12" t="s">
        <v>4</v>
      </c>
      <c r="E757" s="12" t="s">
        <v>304</v>
      </c>
      <c r="F757" s="13">
        <v>32.82</v>
      </c>
      <c r="G757" s="12" t="s">
        <v>20</v>
      </c>
      <c r="H757" s="12" t="str">
        <f t="shared" si="13"/>
        <v>Morning</v>
      </c>
      <c r="I757" s="12" t="str">
        <f t="shared" si="14"/>
        <v>Tue</v>
      </c>
      <c r="J757" s="12" t="str">
        <f t="shared" si="15"/>
        <v>Jun</v>
      </c>
      <c r="K757" s="12">
        <f t="shared" si="16"/>
        <v>2</v>
      </c>
      <c r="L757" s="12">
        <f t="shared" si="17"/>
        <v>6</v>
      </c>
    </row>
    <row r="758" spans="1:12" x14ac:dyDescent="0.3">
      <c r="A758" s="6">
        <v>45454</v>
      </c>
      <c r="B758" s="7">
        <v>45454.783626064818</v>
      </c>
      <c r="C758" s="8">
        <f t="shared" si="12"/>
        <v>18</v>
      </c>
      <c r="D758" s="8" t="s">
        <v>4</v>
      </c>
      <c r="E758" s="8" t="s">
        <v>305</v>
      </c>
      <c r="F758" s="9">
        <v>37.72</v>
      </c>
      <c r="G758" s="8" t="s">
        <v>13</v>
      </c>
      <c r="H758" s="8" t="str">
        <f t="shared" si="13"/>
        <v>Night</v>
      </c>
      <c r="I758" s="8" t="str">
        <f t="shared" si="14"/>
        <v>Tue</v>
      </c>
      <c r="J758" s="8" t="str">
        <f t="shared" si="15"/>
        <v>Jun</v>
      </c>
      <c r="K758" s="8">
        <f t="shared" si="16"/>
        <v>2</v>
      </c>
      <c r="L758" s="8">
        <f t="shared" si="17"/>
        <v>6</v>
      </c>
    </row>
    <row r="759" spans="1:12" x14ac:dyDescent="0.3">
      <c r="A759" s="10">
        <v>45454</v>
      </c>
      <c r="B759" s="11">
        <v>45454.784449398147</v>
      </c>
      <c r="C759" s="12">
        <f t="shared" si="12"/>
        <v>18</v>
      </c>
      <c r="D759" s="12" t="s">
        <v>4</v>
      </c>
      <c r="E759" s="12" t="s">
        <v>305</v>
      </c>
      <c r="F759" s="13">
        <v>37.72</v>
      </c>
      <c r="G759" s="12" t="s">
        <v>13</v>
      </c>
      <c r="H759" s="12" t="str">
        <f t="shared" si="13"/>
        <v>Night</v>
      </c>
      <c r="I759" s="12" t="str">
        <f t="shared" si="14"/>
        <v>Tue</v>
      </c>
      <c r="J759" s="12" t="str">
        <f t="shared" si="15"/>
        <v>Jun</v>
      </c>
      <c r="K759" s="12">
        <f t="shared" si="16"/>
        <v>2</v>
      </c>
      <c r="L759" s="12">
        <f t="shared" si="17"/>
        <v>6</v>
      </c>
    </row>
    <row r="760" spans="1:12" x14ac:dyDescent="0.3">
      <c r="A760" s="6">
        <v>45454</v>
      </c>
      <c r="B760" s="7">
        <v>45454.886844259257</v>
      </c>
      <c r="C760" s="8">
        <f t="shared" si="12"/>
        <v>21</v>
      </c>
      <c r="D760" s="8" t="s">
        <v>4</v>
      </c>
      <c r="E760" s="8" t="s">
        <v>306</v>
      </c>
      <c r="F760" s="9">
        <v>37.72</v>
      </c>
      <c r="G760" s="8" t="s">
        <v>15</v>
      </c>
      <c r="H760" s="8" t="str">
        <f t="shared" si="13"/>
        <v>Night</v>
      </c>
      <c r="I760" s="8" t="str">
        <f t="shared" si="14"/>
        <v>Tue</v>
      </c>
      <c r="J760" s="8" t="str">
        <f t="shared" si="15"/>
        <v>Jun</v>
      </c>
      <c r="K760" s="8">
        <f t="shared" si="16"/>
        <v>2</v>
      </c>
      <c r="L760" s="8">
        <f t="shared" si="17"/>
        <v>6</v>
      </c>
    </row>
    <row r="761" spans="1:12" x14ac:dyDescent="0.3">
      <c r="A761" s="10">
        <v>45454</v>
      </c>
      <c r="B761" s="11">
        <v>45454.894234953703</v>
      </c>
      <c r="C761" s="12">
        <f t="shared" si="12"/>
        <v>21</v>
      </c>
      <c r="D761" s="12" t="s">
        <v>4</v>
      </c>
      <c r="E761" s="12" t="s">
        <v>307</v>
      </c>
      <c r="F761" s="13">
        <v>32.82</v>
      </c>
      <c r="G761" s="12" t="s">
        <v>20</v>
      </c>
      <c r="H761" s="12" t="str">
        <f t="shared" si="13"/>
        <v>Night</v>
      </c>
      <c r="I761" s="12" t="str">
        <f t="shared" si="14"/>
        <v>Tue</v>
      </c>
      <c r="J761" s="12" t="str">
        <f t="shared" si="15"/>
        <v>Jun</v>
      </c>
      <c r="K761" s="12">
        <f t="shared" si="16"/>
        <v>2</v>
      </c>
      <c r="L761" s="12">
        <f t="shared" si="17"/>
        <v>6</v>
      </c>
    </row>
    <row r="762" spans="1:12" x14ac:dyDescent="0.3">
      <c r="A762" s="6">
        <v>45454</v>
      </c>
      <c r="B762" s="7">
        <v>45454.895025694444</v>
      </c>
      <c r="C762" s="8">
        <f t="shared" si="12"/>
        <v>21</v>
      </c>
      <c r="D762" s="8" t="s">
        <v>4</v>
      </c>
      <c r="E762" s="8" t="s">
        <v>307</v>
      </c>
      <c r="F762" s="9">
        <v>32.82</v>
      </c>
      <c r="G762" s="8" t="s">
        <v>20</v>
      </c>
      <c r="H762" s="8" t="str">
        <f t="shared" si="13"/>
        <v>Night</v>
      </c>
      <c r="I762" s="8" t="str">
        <f t="shared" si="14"/>
        <v>Tue</v>
      </c>
      <c r="J762" s="8" t="str">
        <f t="shared" si="15"/>
        <v>Jun</v>
      </c>
      <c r="K762" s="8">
        <f t="shared" si="16"/>
        <v>2</v>
      </c>
      <c r="L762" s="8">
        <f t="shared" si="17"/>
        <v>6</v>
      </c>
    </row>
    <row r="763" spans="1:12" x14ac:dyDescent="0.3">
      <c r="A763" s="10">
        <v>45455</v>
      </c>
      <c r="B763" s="11">
        <v>45455.429384097224</v>
      </c>
      <c r="C763" s="12">
        <f t="shared" si="12"/>
        <v>10</v>
      </c>
      <c r="D763" s="12" t="s">
        <v>4</v>
      </c>
      <c r="E763" s="12" t="s">
        <v>308</v>
      </c>
      <c r="F763" s="13">
        <v>37.72</v>
      </c>
      <c r="G763" s="12" t="s">
        <v>15</v>
      </c>
      <c r="H763" s="12" t="str">
        <f t="shared" si="13"/>
        <v>Morning</v>
      </c>
      <c r="I763" s="12" t="str">
        <f t="shared" si="14"/>
        <v>Wed</v>
      </c>
      <c r="J763" s="12" t="str">
        <f t="shared" si="15"/>
        <v>Jun</v>
      </c>
      <c r="K763" s="12">
        <f t="shared" si="16"/>
        <v>3</v>
      </c>
      <c r="L763" s="12">
        <f t="shared" si="17"/>
        <v>6</v>
      </c>
    </row>
    <row r="764" spans="1:12" x14ac:dyDescent="0.3">
      <c r="A764" s="6">
        <v>45455</v>
      </c>
      <c r="B764" s="7">
        <v>45455.494257615741</v>
      </c>
      <c r="C764" s="8">
        <f t="shared" si="12"/>
        <v>11</v>
      </c>
      <c r="D764" s="8" t="s">
        <v>4</v>
      </c>
      <c r="E764" s="8" t="s">
        <v>309</v>
      </c>
      <c r="F764" s="9">
        <v>37.72</v>
      </c>
      <c r="G764" s="8" t="s">
        <v>49</v>
      </c>
      <c r="H764" s="8" t="str">
        <f t="shared" si="13"/>
        <v>Morning</v>
      </c>
      <c r="I764" s="8" t="str">
        <f t="shared" si="14"/>
        <v>Wed</v>
      </c>
      <c r="J764" s="8" t="str">
        <f t="shared" si="15"/>
        <v>Jun</v>
      </c>
      <c r="K764" s="8">
        <f t="shared" si="16"/>
        <v>3</v>
      </c>
      <c r="L764" s="8">
        <f t="shared" si="17"/>
        <v>6</v>
      </c>
    </row>
    <row r="765" spans="1:12" x14ac:dyDescent="0.3">
      <c r="A765" s="10">
        <v>45455</v>
      </c>
      <c r="B765" s="11">
        <v>45455.737004386574</v>
      </c>
      <c r="C765" s="12">
        <f t="shared" si="12"/>
        <v>17</v>
      </c>
      <c r="D765" s="12" t="s">
        <v>4</v>
      </c>
      <c r="E765" s="12" t="s">
        <v>303</v>
      </c>
      <c r="F765" s="13">
        <v>37.72</v>
      </c>
      <c r="G765" s="12" t="s">
        <v>13</v>
      </c>
      <c r="H765" s="12" t="str">
        <f t="shared" si="13"/>
        <v>Night</v>
      </c>
      <c r="I765" s="12" t="str">
        <f t="shared" si="14"/>
        <v>Wed</v>
      </c>
      <c r="J765" s="12" t="str">
        <f t="shared" si="15"/>
        <v>Jun</v>
      </c>
      <c r="K765" s="12">
        <f t="shared" si="16"/>
        <v>3</v>
      </c>
      <c r="L765" s="12">
        <f t="shared" si="17"/>
        <v>6</v>
      </c>
    </row>
    <row r="766" spans="1:12" x14ac:dyDescent="0.3">
      <c r="A766" s="6">
        <v>45455</v>
      </c>
      <c r="B766" s="7">
        <v>45455.741294884261</v>
      </c>
      <c r="C766" s="8">
        <f t="shared" si="12"/>
        <v>17</v>
      </c>
      <c r="D766" s="8" t="s">
        <v>4</v>
      </c>
      <c r="E766" s="8" t="s">
        <v>310</v>
      </c>
      <c r="F766" s="9">
        <v>37.72</v>
      </c>
      <c r="G766" s="8" t="s">
        <v>13</v>
      </c>
      <c r="H766" s="8" t="str">
        <f t="shared" si="13"/>
        <v>Night</v>
      </c>
      <c r="I766" s="8" t="str">
        <f t="shared" si="14"/>
        <v>Wed</v>
      </c>
      <c r="J766" s="8" t="str">
        <f t="shared" si="15"/>
        <v>Jun</v>
      </c>
      <c r="K766" s="8">
        <f t="shared" si="16"/>
        <v>3</v>
      </c>
      <c r="L766" s="8">
        <f t="shared" si="17"/>
        <v>6</v>
      </c>
    </row>
    <row r="767" spans="1:12" x14ac:dyDescent="0.3">
      <c r="A767" s="10">
        <v>45455</v>
      </c>
      <c r="B767" s="11">
        <v>45455.844833888892</v>
      </c>
      <c r="C767" s="12">
        <f t="shared" ref="C767:C1021" si="18">HOUR(B767)</f>
        <v>20</v>
      </c>
      <c r="D767" s="12" t="s">
        <v>4</v>
      </c>
      <c r="E767" s="12" t="s">
        <v>276</v>
      </c>
      <c r="F767" s="13">
        <v>37.72</v>
      </c>
      <c r="G767" s="12" t="s">
        <v>15</v>
      </c>
      <c r="H767" s="12" t="str">
        <f t="shared" ref="H767:H1021" si="19">IF(AND(C767&gt;=5,C767&lt;12),"Morning",
 IF(AND(C767&gt;=12,C767&lt;17),"Afternoon","Night"))</f>
        <v>Night</v>
      </c>
      <c r="I767" s="12" t="str">
        <f t="shared" ref="I767:I1021" si="20">TEXT(A767, "ddd")</f>
        <v>Wed</v>
      </c>
      <c r="J767" s="12" t="str">
        <f t="shared" ref="J767:J1021" si="21">TEXT(A767, "mmm")</f>
        <v>Jun</v>
      </c>
      <c r="K767" s="12">
        <f t="shared" ref="K767:K1021" si="22">WEEKDAY(A767, 2)</f>
        <v>3</v>
      </c>
      <c r="L767" s="12">
        <f t="shared" ref="L767:L1021" si="23">MONTH(A767)</f>
        <v>6</v>
      </c>
    </row>
    <row r="768" spans="1:12" x14ac:dyDescent="0.3">
      <c r="A768" s="6">
        <v>45455</v>
      </c>
      <c r="B768" s="7">
        <v>45455.851090729164</v>
      </c>
      <c r="C768" s="8">
        <f t="shared" si="18"/>
        <v>20</v>
      </c>
      <c r="D768" s="8" t="s">
        <v>4</v>
      </c>
      <c r="E768" s="8" t="s">
        <v>311</v>
      </c>
      <c r="F768" s="9">
        <v>32.82</v>
      </c>
      <c r="G768" s="8" t="s">
        <v>20</v>
      </c>
      <c r="H768" s="8" t="str">
        <f t="shared" si="19"/>
        <v>Night</v>
      </c>
      <c r="I768" s="8" t="str">
        <f t="shared" si="20"/>
        <v>Wed</v>
      </c>
      <c r="J768" s="8" t="str">
        <f t="shared" si="21"/>
        <v>Jun</v>
      </c>
      <c r="K768" s="8">
        <f t="shared" si="22"/>
        <v>3</v>
      </c>
      <c r="L768" s="8">
        <f t="shared" si="23"/>
        <v>6</v>
      </c>
    </row>
    <row r="769" spans="1:12" x14ac:dyDescent="0.3">
      <c r="A769" s="10">
        <v>45456</v>
      </c>
      <c r="B769" s="11">
        <v>45456.371113506946</v>
      </c>
      <c r="C769" s="12">
        <f t="shared" si="18"/>
        <v>8</v>
      </c>
      <c r="D769" s="12" t="s">
        <v>4</v>
      </c>
      <c r="E769" s="12" t="s">
        <v>312</v>
      </c>
      <c r="F769" s="13">
        <v>27.92</v>
      </c>
      <c r="G769" s="12" t="s">
        <v>17</v>
      </c>
      <c r="H769" s="12" t="str">
        <f t="shared" si="19"/>
        <v>Morning</v>
      </c>
      <c r="I769" s="12" t="str">
        <f t="shared" si="20"/>
        <v>Thu</v>
      </c>
      <c r="J769" s="12" t="str">
        <f t="shared" si="21"/>
        <v>Jun</v>
      </c>
      <c r="K769" s="12">
        <f t="shared" si="22"/>
        <v>4</v>
      </c>
      <c r="L769" s="12">
        <f t="shared" si="23"/>
        <v>6</v>
      </c>
    </row>
    <row r="770" spans="1:12" x14ac:dyDescent="0.3">
      <c r="A770" s="6">
        <v>45456</v>
      </c>
      <c r="B770" s="7">
        <v>45456.37321287037</v>
      </c>
      <c r="C770" s="8">
        <f t="shared" si="18"/>
        <v>8</v>
      </c>
      <c r="D770" s="8" t="s">
        <v>4</v>
      </c>
      <c r="E770" s="8" t="s">
        <v>117</v>
      </c>
      <c r="F770" s="9">
        <v>37.72</v>
      </c>
      <c r="G770" s="8" t="s">
        <v>13</v>
      </c>
      <c r="H770" s="8" t="str">
        <f t="shared" si="19"/>
        <v>Morning</v>
      </c>
      <c r="I770" s="8" t="str">
        <f t="shared" si="20"/>
        <v>Thu</v>
      </c>
      <c r="J770" s="8" t="str">
        <f t="shared" si="21"/>
        <v>Jun</v>
      </c>
      <c r="K770" s="8">
        <f t="shared" si="22"/>
        <v>4</v>
      </c>
      <c r="L770" s="8">
        <f t="shared" si="23"/>
        <v>6</v>
      </c>
    </row>
    <row r="771" spans="1:12" x14ac:dyDescent="0.3">
      <c r="A771" s="10">
        <v>45456</v>
      </c>
      <c r="B771" s="11">
        <v>45456.41001201389</v>
      </c>
      <c r="C771" s="12">
        <f t="shared" si="18"/>
        <v>9</v>
      </c>
      <c r="D771" s="12" t="s">
        <v>4</v>
      </c>
      <c r="E771" s="12" t="s">
        <v>313</v>
      </c>
      <c r="F771" s="13">
        <v>32.82</v>
      </c>
      <c r="G771" s="12" t="s">
        <v>20</v>
      </c>
      <c r="H771" s="12" t="str">
        <f t="shared" si="19"/>
        <v>Morning</v>
      </c>
      <c r="I771" s="12" t="str">
        <f t="shared" si="20"/>
        <v>Thu</v>
      </c>
      <c r="J771" s="12" t="str">
        <f t="shared" si="21"/>
        <v>Jun</v>
      </c>
      <c r="K771" s="12">
        <f t="shared" si="22"/>
        <v>4</v>
      </c>
      <c r="L771" s="12">
        <f t="shared" si="23"/>
        <v>6</v>
      </c>
    </row>
    <row r="772" spans="1:12" x14ac:dyDescent="0.3">
      <c r="A772" s="6">
        <v>45456</v>
      </c>
      <c r="B772" s="7">
        <v>45456.414716643521</v>
      </c>
      <c r="C772" s="8">
        <f t="shared" si="18"/>
        <v>9</v>
      </c>
      <c r="D772" s="8" t="s">
        <v>4</v>
      </c>
      <c r="E772" s="8" t="s">
        <v>161</v>
      </c>
      <c r="F772" s="9">
        <v>27.92</v>
      </c>
      <c r="G772" s="8" t="s">
        <v>34</v>
      </c>
      <c r="H772" s="8" t="str">
        <f t="shared" si="19"/>
        <v>Morning</v>
      </c>
      <c r="I772" s="8" t="str">
        <f t="shared" si="20"/>
        <v>Thu</v>
      </c>
      <c r="J772" s="8" t="str">
        <f t="shared" si="21"/>
        <v>Jun</v>
      </c>
      <c r="K772" s="8">
        <f t="shared" si="22"/>
        <v>4</v>
      </c>
      <c r="L772" s="8">
        <f t="shared" si="23"/>
        <v>6</v>
      </c>
    </row>
    <row r="773" spans="1:12" x14ac:dyDescent="0.3">
      <c r="A773" s="10">
        <v>45456</v>
      </c>
      <c r="B773" s="11">
        <v>45456.711789363428</v>
      </c>
      <c r="C773" s="12">
        <f t="shared" si="18"/>
        <v>17</v>
      </c>
      <c r="D773" s="12" t="s">
        <v>4</v>
      </c>
      <c r="E773" s="12" t="s">
        <v>314</v>
      </c>
      <c r="F773" s="13">
        <v>32.82</v>
      </c>
      <c r="G773" s="12" t="s">
        <v>20</v>
      </c>
      <c r="H773" s="12" t="str">
        <f t="shared" si="19"/>
        <v>Night</v>
      </c>
      <c r="I773" s="12" t="str">
        <f t="shared" si="20"/>
        <v>Thu</v>
      </c>
      <c r="J773" s="12" t="str">
        <f t="shared" si="21"/>
        <v>Jun</v>
      </c>
      <c r="K773" s="12">
        <f t="shared" si="22"/>
        <v>4</v>
      </c>
      <c r="L773" s="12">
        <f t="shared" si="23"/>
        <v>6</v>
      </c>
    </row>
    <row r="774" spans="1:12" x14ac:dyDescent="0.3">
      <c r="A774" s="6">
        <v>45456</v>
      </c>
      <c r="B774" s="7">
        <v>45456.727622986109</v>
      </c>
      <c r="C774" s="8">
        <f t="shared" si="18"/>
        <v>17</v>
      </c>
      <c r="D774" s="8" t="s">
        <v>4</v>
      </c>
      <c r="E774" s="8" t="s">
        <v>315</v>
      </c>
      <c r="F774" s="9">
        <v>37.72</v>
      </c>
      <c r="G774" s="8" t="s">
        <v>15</v>
      </c>
      <c r="H774" s="8" t="str">
        <f t="shared" si="19"/>
        <v>Night</v>
      </c>
      <c r="I774" s="8" t="str">
        <f t="shared" si="20"/>
        <v>Thu</v>
      </c>
      <c r="J774" s="8" t="str">
        <f t="shared" si="21"/>
        <v>Jun</v>
      </c>
      <c r="K774" s="8">
        <f t="shared" si="22"/>
        <v>4</v>
      </c>
      <c r="L774" s="8">
        <f t="shared" si="23"/>
        <v>6</v>
      </c>
    </row>
    <row r="775" spans="1:12" x14ac:dyDescent="0.3">
      <c r="A775" s="10">
        <v>45456</v>
      </c>
      <c r="B775" s="11">
        <v>45456.807165312501</v>
      </c>
      <c r="C775" s="12">
        <f t="shared" si="18"/>
        <v>19</v>
      </c>
      <c r="D775" s="12" t="s">
        <v>4</v>
      </c>
      <c r="E775" s="12" t="s">
        <v>316</v>
      </c>
      <c r="F775" s="13">
        <v>37.72</v>
      </c>
      <c r="G775" s="12" t="s">
        <v>13</v>
      </c>
      <c r="H775" s="12" t="str">
        <f t="shared" si="19"/>
        <v>Night</v>
      </c>
      <c r="I775" s="12" t="str">
        <f t="shared" si="20"/>
        <v>Thu</v>
      </c>
      <c r="J775" s="12" t="str">
        <f t="shared" si="21"/>
        <v>Jun</v>
      </c>
      <c r="K775" s="12">
        <f t="shared" si="22"/>
        <v>4</v>
      </c>
      <c r="L775" s="12">
        <f t="shared" si="23"/>
        <v>6</v>
      </c>
    </row>
    <row r="776" spans="1:12" x14ac:dyDescent="0.3">
      <c r="A776" s="6">
        <v>45456</v>
      </c>
      <c r="B776" s="7">
        <v>45456.847821319447</v>
      </c>
      <c r="C776" s="8">
        <f t="shared" si="18"/>
        <v>20</v>
      </c>
      <c r="D776" s="8" t="s">
        <v>4</v>
      </c>
      <c r="E776" s="8" t="s">
        <v>29</v>
      </c>
      <c r="F776" s="9">
        <v>32.82</v>
      </c>
      <c r="G776" s="8" t="s">
        <v>20</v>
      </c>
      <c r="H776" s="8" t="str">
        <f t="shared" si="19"/>
        <v>Night</v>
      </c>
      <c r="I776" s="8" t="str">
        <f t="shared" si="20"/>
        <v>Thu</v>
      </c>
      <c r="J776" s="8" t="str">
        <f t="shared" si="21"/>
        <v>Jun</v>
      </c>
      <c r="K776" s="8">
        <f t="shared" si="22"/>
        <v>4</v>
      </c>
      <c r="L776" s="8">
        <f t="shared" si="23"/>
        <v>6</v>
      </c>
    </row>
    <row r="777" spans="1:12" x14ac:dyDescent="0.3">
      <c r="A777" s="10">
        <v>45456</v>
      </c>
      <c r="B777" s="11">
        <v>45456.863726747688</v>
      </c>
      <c r="C777" s="12">
        <f t="shared" si="18"/>
        <v>20</v>
      </c>
      <c r="D777" s="12" t="s">
        <v>4</v>
      </c>
      <c r="E777" s="12" t="s">
        <v>29</v>
      </c>
      <c r="F777" s="13">
        <v>23.02</v>
      </c>
      <c r="G777" s="12" t="s">
        <v>41</v>
      </c>
      <c r="H777" s="12" t="str">
        <f t="shared" si="19"/>
        <v>Night</v>
      </c>
      <c r="I777" s="12" t="str">
        <f t="shared" si="20"/>
        <v>Thu</v>
      </c>
      <c r="J777" s="12" t="str">
        <f t="shared" si="21"/>
        <v>Jun</v>
      </c>
      <c r="K777" s="12">
        <f t="shared" si="22"/>
        <v>4</v>
      </c>
      <c r="L777" s="12">
        <f t="shared" si="23"/>
        <v>6</v>
      </c>
    </row>
    <row r="778" spans="1:12" x14ac:dyDescent="0.3">
      <c r="A778" s="6">
        <v>45456</v>
      </c>
      <c r="B778" s="7">
        <v>45456.864590451391</v>
      </c>
      <c r="C778" s="8">
        <f t="shared" si="18"/>
        <v>20</v>
      </c>
      <c r="D778" s="8" t="s">
        <v>4</v>
      </c>
      <c r="E778" s="8" t="s">
        <v>315</v>
      </c>
      <c r="F778" s="9">
        <v>23.02</v>
      </c>
      <c r="G778" s="8" t="s">
        <v>41</v>
      </c>
      <c r="H778" s="8" t="str">
        <f t="shared" si="19"/>
        <v>Night</v>
      </c>
      <c r="I778" s="8" t="str">
        <f t="shared" si="20"/>
        <v>Thu</v>
      </c>
      <c r="J778" s="8" t="str">
        <f t="shared" si="21"/>
        <v>Jun</v>
      </c>
      <c r="K778" s="8">
        <f t="shared" si="22"/>
        <v>4</v>
      </c>
      <c r="L778" s="8">
        <f t="shared" si="23"/>
        <v>6</v>
      </c>
    </row>
    <row r="779" spans="1:12" x14ac:dyDescent="0.3">
      <c r="A779" s="10">
        <v>45456</v>
      </c>
      <c r="B779" s="11">
        <v>45456.866873865743</v>
      </c>
      <c r="C779" s="12">
        <f t="shared" si="18"/>
        <v>20</v>
      </c>
      <c r="D779" s="12" t="s">
        <v>4</v>
      </c>
      <c r="E779" s="12" t="s">
        <v>25</v>
      </c>
      <c r="F779" s="13">
        <v>32.82</v>
      </c>
      <c r="G779" s="12" t="s">
        <v>20</v>
      </c>
      <c r="H779" s="12" t="str">
        <f t="shared" si="19"/>
        <v>Night</v>
      </c>
      <c r="I779" s="12" t="str">
        <f t="shared" si="20"/>
        <v>Thu</v>
      </c>
      <c r="J779" s="12" t="str">
        <f t="shared" si="21"/>
        <v>Jun</v>
      </c>
      <c r="K779" s="12">
        <f t="shared" si="22"/>
        <v>4</v>
      </c>
      <c r="L779" s="12">
        <f t="shared" si="23"/>
        <v>6</v>
      </c>
    </row>
    <row r="780" spans="1:12" x14ac:dyDescent="0.3">
      <c r="A780" s="6">
        <v>45456</v>
      </c>
      <c r="B780" s="7">
        <v>45456.876717326391</v>
      </c>
      <c r="C780" s="8">
        <f t="shared" si="18"/>
        <v>21</v>
      </c>
      <c r="D780" s="8" t="s">
        <v>4</v>
      </c>
      <c r="E780" s="8" t="s">
        <v>25</v>
      </c>
      <c r="F780" s="9">
        <v>32.82</v>
      </c>
      <c r="G780" s="8" t="s">
        <v>20</v>
      </c>
      <c r="H780" s="8" t="str">
        <f t="shared" si="19"/>
        <v>Night</v>
      </c>
      <c r="I780" s="8" t="str">
        <f t="shared" si="20"/>
        <v>Thu</v>
      </c>
      <c r="J780" s="8" t="str">
        <f t="shared" si="21"/>
        <v>Jun</v>
      </c>
      <c r="K780" s="8">
        <f t="shared" si="22"/>
        <v>4</v>
      </c>
      <c r="L780" s="8">
        <f t="shared" si="23"/>
        <v>6</v>
      </c>
    </row>
    <row r="781" spans="1:12" x14ac:dyDescent="0.3">
      <c r="A781" s="10">
        <v>45457</v>
      </c>
      <c r="B781" s="11">
        <v>45457.323764328707</v>
      </c>
      <c r="C781" s="12">
        <f t="shared" si="18"/>
        <v>7</v>
      </c>
      <c r="D781" s="12" t="s">
        <v>4</v>
      </c>
      <c r="E781" s="12" t="s">
        <v>161</v>
      </c>
      <c r="F781" s="13">
        <v>27.92</v>
      </c>
      <c r="G781" s="12" t="s">
        <v>34</v>
      </c>
      <c r="H781" s="12" t="str">
        <f t="shared" si="19"/>
        <v>Morning</v>
      </c>
      <c r="I781" s="12" t="str">
        <f t="shared" si="20"/>
        <v>Fri</v>
      </c>
      <c r="J781" s="12" t="str">
        <f t="shared" si="21"/>
        <v>Jun</v>
      </c>
      <c r="K781" s="12">
        <f t="shared" si="22"/>
        <v>5</v>
      </c>
      <c r="L781" s="12">
        <f t="shared" si="23"/>
        <v>6</v>
      </c>
    </row>
    <row r="782" spans="1:12" x14ac:dyDescent="0.3">
      <c r="A782" s="6">
        <v>45457</v>
      </c>
      <c r="B782" s="7">
        <v>45457.437865555556</v>
      </c>
      <c r="C782" s="8">
        <f t="shared" si="18"/>
        <v>10</v>
      </c>
      <c r="D782" s="8" t="s">
        <v>4</v>
      </c>
      <c r="E782" s="8" t="s">
        <v>317</v>
      </c>
      <c r="F782" s="9">
        <v>27.92</v>
      </c>
      <c r="G782" s="8" t="s">
        <v>17</v>
      </c>
      <c r="H782" s="8" t="str">
        <f t="shared" si="19"/>
        <v>Morning</v>
      </c>
      <c r="I782" s="8" t="str">
        <f t="shared" si="20"/>
        <v>Fri</v>
      </c>
      <c r="J782" s="8" t="str">
        <f t="shared" si="21"/>
        <v>Jun</v>
      </c>
      <c r="K782" s="8">
        <f t="shared" si="22"/>
        <v>5</v>
      </c>
      <c r="L782" s="8">
        <f t="shared" si="23"/>
        <v>6</v>
      </c>
    </row>
    <row r="783" spans="1:12" x14ac:dyDescent="0.3">
      <c r="A783" s="10">
        <v>45457</v>
      </c>
      <c r="B783" s="11">
        <v>45457.510204814818</v>
      </c>
      <c r="C783" s="12">
        <f t="shared" si="18"/>
        <v>12</v>
      </c>
      <c r="D783" s="12" t="s">
        <v>4</v>
      </c>
      <c r="E783" s="12" t="s">
        <v>117</v>
      </c>
      <c r="F783" s="13">
        <v>37.72</v>
      </c>
      <c r="G783" s="12" t="s">
        <v>13</v>
      </c>
      <c r="H783" s="12" t="str">
        <f t="shared" si="19"/>
        <v>Afternoon</v>
      </c>
      <c r="I783" s="12" t="str">
        <f t="shared" si="20"/>
        <v>Fri</v>
      </c>
      <c r="J783" s="12" t="str">
        <f t="shared" si="21"/>
        <v>Jun</v>
      </c>
      <c r="K783" s="12">
        <f t="shared" si="22"/>
        <v>5</v>
      </c>
      <c r="L783" s="12">
        <f t="shared" si="23"/>
        <v>6</v>
      </c>
    </row>
    <row r="784" spans="1:12" x14ac:dyDescent="0.3">
      <c r="A784" s="6">
        <v>45457</v>
      </c>
      <c r="B784" s="7">
        <v>45457.77075693287</v>
      </c>
      <c r="C784" s="8">
        <f t="shared" si="18"/>
        <v>18</v>
      </c>
      <c r="D784" s="8" t="s">
        <v>4</v>
      </c>
      <c r="E784" s="8" t="s">
        <v>318</v>
      </c>
      <c r="F784" s="9">
        <v>32.82</v>
      </c>
      <c r="G784" s="8" t="s">
        <v>20</v>
      </c>
      <c r="H784" s="8" t="str">
        <f t="shared" si="19"/>
        <v>Night</v>
      </c>
      <c r="I784" s="8" t="str">
        <f t="shared" si="20"/>
        <v>Fri</v>
      </c>
      <c r="J784" s="8" t="str">
        <f t="shared" si="21"/>
        <v>Jun</v>
      </c>
      <c r="K784" s="8">
        <f t="shared" si="22"/>
        <v>5</v>
      </c>
      <c r="L784" s="8">
        <f t="shared" si="23"/>
        <v>6</v>
      </c>
    </row>
    <row r="785" spans="1:12" x14ac:dyDescent="0.3">
      <c r="A785" s="10">
        <v>45458</v>
      </c>
      <c r="B785" s="11">
        <v>45458.476411736112</v>
      </c>
      <c r="C785" s="12">
        <f t="shared" si="18"/>
        <v>11</v>
      </c>
      <c r="D785" s="12" t="s">
        <v>4</v>
      </c>
      <c r="E785" s="12" t="s">
        <v>319</v>
      </c>
      <c r="F785" s="13">
        <v>37.72</v>
      </c>
      <c r="G785" s="12" t="s">
        <v>49</v>
      </c>
      <c r="H785" s="12" t="str">
        <f t="shared" si="19"/>
        <v>Morning</v>
      </c>
      <c r="I785" s="12" t="str">
        <f t="shared" si="20"/>
        <v>Sat</v>
      </c>
      <c r="J785" s="12" t="str">
        <f t="shared" si="21"/>
        <v>Jun</v>
      </c>
      <c r="K785" s="12">
        <f t="shared" si="22"/>
        <v>6</v>
      </c>
      <c r="L785" s="12">
        <f t="shared" si="23"/>
        <v>6</v>
      </c>
    </row>
    <row r="786" spans="1:12" x14ac:dyDescent="0.3">
      <c r="A786" s="6">
        <v>45458</v>
      </c>
      <c r="B786" s="7">
        <v>45458.514908969904</v>
      </c>
      <c r="C786" s="8">
        <f t="shared" si="18"/>
        <v>12</v>
      </c>
      <c r="D786" s="8" t="s">
        <v>4</v>
      </c>
      <c r="E786" s="8" t="s">
        <v>320</v>
      </c>
      <c r="F786" s="9">
        <v>37.72</v>
      </c>
      <c r="G786" s="8" t="s">
        <v>13</v>
      </c>
      <c r="H786" s="8" t="str">
        <f t="shared" si="19"/>
        <v>Afternoon</v>
      </c>
      <c r="I786" s="8" t="str">
        <f t="shared" si="20"/>
        <v>Sat</v>
      </c>
      <c r="J786" s="8" t="str">
        <f t="shared" si="21"/>
        <v>Jun</v>
      </c>
      <c r="K786" s="8">
        <f t="shared" si="22"/>
        <v>6</v>
      </c>
      <c r="L786" s="8">
        <f t="shared" si="23"/>
        <v>6</v>
      </c>
    </row>
    <row r="787" spans="1:12" x14ac:dyDescent="0.3">
      <c r="A787" s="10">
        <v>45458</v>
      </c>
      <c r="B787" s="11">
        <v>45458.51582108796</v>
      </c>
      <c r="C787" s="12">
        <f t="shared" si="18"/>
        <v>12</v>
      </c>
      <c r="D787" s="12" t="s">
        <v>4</v>
      </c>
      <c r="E787" s="12" t="s">
        <v>320</v>
      </c>
      <c r="F787" s="13">
        <v>32.82</v>
      </c>
      <c r="G787" s="12" t="s">
        <v>20</v>
      </c>
      <c r="H787" s="12" t="str">
        <f t="shared" si="19"/>
        <v>Afternoon</v>
      </c>
      <c r="I787" s="12" t="str">
        <f t="shared" si="20"/>
        <v>Sat</v>
      </c>
      <c r="J787" s="12" t="str">
        <f t="shared" si="21"/>
        <v>Jun</v>
      </c>
      <c r="K787" s="12">
        <f t="shared" si="22"/>
        <v>6</v>
      </c>
      <c r="L787" s="12">
        <f t="shared" si="23"/>
        <v>6</v>
      </c>
    </row>
    <row r="788" spans="1:12" x14ac:dyDescent="0.3">
      <c r="A788" s="6">
        <v>45458</v>
      </c>
      <c r="B788" s="7">
        <v>45458.516575995367</v>
      </c>
      <c r="C788" s="8">
        <f t="shared" si="18"/>
        <v>12</v>
      </c>
      <c r="D788" s="8" t="s">
        <v>4</v>
      </c>
      <c r="E788" s="8" t="s">
        <v>320</v>
      </c>
      <c r="F788" s="9">
        <v>23.02</v>
      </c>
      <c r="G788" s="8" t="s">
        <v>41</v>
      </c>
      <c r="H788" s="8" t="str">
        <f t="shared" si="19"/>
        <v>Afternoon</v>
      </c>
      <c r="I788" s="8" t="str">
        <f t="shared" si="20"/>
        <v>Sat</v>
      </c>
      <c r="J788" s="8" t="str">
        <f t="shared" si="21"/>
        <v>Jun</v>
      </c>
      <c r="K788" s="8">
        <f t="shared" si="22"/>
        <v>6</v>
      </c>
      <c r="L788" s="8">
        <f t="shared" si="23"/>
        <v>6</v>
      </c>
    </row>
    <row r="789" spans="1:12" x14ac:dyDescent="0.3">
      <c r="A789" s="10">
        <v>45458</v>
      </c>
      <c r="B789" s="11">
        <v>45458.517073263887</v>
      </c>
      <c r="C789" s="12">
        <f t="shared" si="18"/>
        <v>12</v>
      </c>
      <c r="D789" s="12" t="s">
        <v>4</v>
      </c>
      <c r="E789" s="12" t="s">
        <v>320</v>
      </c>
      <c r="F789" s="13">
        <v>37.72</v>
      </c>
      <c r="G789" s="12" t="s">
        <v>24</v>
      </c>
      <c r="H789" s="12" t="str">
        <f t="shared" si="19"/>
        <v>Afternoon</v>
      </c>
      <c r="I789" s="12" t="str">
        <f t="shared" si="20"/>
        <v>Sat</v>
      </c>
      <c r="J789" s="12" t="str">
        <f t="shared" si="21"/>
        <v>Jun</v>
      </c>
      <c r="K789" s="12">
        <f t="shared" si="22"/>
        <v>6</v>
      </c>
      <c r="L789" s="12">
        <f t="shared" si="23"/>
        <v>6</v>
      </c>
    </row>
    <row r="790" spans="1:12" x14ac:dyDescent="0.3">
      <c r="A790" s="6">
        <v>45458</v>
      </c>
      <c r="B790" s="7">
        <v>45458.517638425925</v>
      </c>
      <c r="C790" s="8">
        <f t="shared" si="18"/>
        <v>12</v>
      </c>
      <c r="D790" s="8" t="s">
        <v>4</v>
      </c>
      <c r="E790" s="8" t="s">
        <v>320</v>
      </c>
      <c r="F790" s="9">
        <v>32.82</v>
      </c>
      <c r="G790" s="8" t="s">
        <v>20</v>
      </c>
      <c r="H790" s="8" t="str">
        <f t="shared" si="19"/>
        <v>Afternoon</v>
      </c>
      <c r="I790" s="8" t="str">
        <f t="shared" si="20"/>
        <v>Sat</v>
      </c>
      <c r="J790" s="8" t="str">
        <f t="shared" si="21"/>
        <v>Jun</v>
      </c>
      <c r="K790" s="8">
        <f t="shared" si="22"/>
        <v>6</v>
      </c>
      <c r="L790" s="8">
        <f t="shared" si="23"/>
        <v>6</v>
      </c>
    </row>
    <row r="791" spans="1:12" x14ac:dyDescent="0.3">
      <c r="A791" s="10">
        <v>45458</v>
      </c>
      <c r="B791" s="11">
        <v>45458.669096168982</v>
      </c>
      <c r="C791" s="12">
        <f t="shared" si="18"/>
        <v>16</v>
      </c>
      <c r="D791" s="12" t="s">
        <v>4</v>
      </c>
      <c r="E791" s="12" t="s">
        <v>321</v>
      </c>
      <c r="F791" s="13">
        <v>32.82</v>
      </c>
      <c r="G791" s="12" t="s">
        <v>20</v>
      </c>
      <c r="H791" s="12" t="str">
        <f t="shared" si="19"/>
        <v>Afternoon</v>
      </c>
      <c r="I791" s="12" t="str">
        <f t="shared" si="20"/>
        <v>Sat</v>
      </c>
      <c r="J791" s="12" t="str">
        <f t="shared" si="21"/>
        <v>Jun</v>
      </c>
      <c r="K791" s="12">
        <f t="shared" si="22"/>
        <v>6</v>
      </c>
      <c r="L791" s="12">
        <f t="shared" si="23"/>
        <v>6</v>
      </c>
    </row>
    <row r="792" spans="1:12" x14ac:dyDescent="0.3">
      <c r="A792" s="6">
        <v>45458</v>
      </c>
      <c r="B792" s="7">
        <v>45458.759775729166</v>
      </c>
      <c r="C792" s="8">
        <f t="shared" si="18"/>
        <v>18</v>
      </c>
      <c r="D792" s="8" t="s">
        <v>4</v>
      </c>
      <c r="E792" s="8" t="s">
        <v>322</v>
      </c>
      <c r="F792" s="9">
        <v>27.92</v>
      </c>
      <c r="G792" s="8" t="s">
        <v>17</v>
      </c>
      <c r="H792" s="8" t="str">
        <f t="shared" si="19"/>
        <v>Night</v>
      </c>
      <c r="I792" s="8" t="str">
        <f t="shared" si="20"/>
        <v>Sat</v>
      </c>
      <c r="J792" s="8" t="str">
        <f t="shared" si="21"/>
        <v>Jun</v>
      </c>
      <c r="K792" s="8">
        <f t="shared" si="22"/>
        <v>6</v>
      </c>
      <c r="L792" s="8">
        <f t="shared" si="23"/>
        <v>6</v>
      </c>
    </row>
    <row r="793" spans="1:12" x14ac:dyDescent="0.3">
      <c r="A793" s="10">
        <v>45459</v>
      </c>
      <c r="B793" s="11">
        <v>45459.447123333332</v>
      </c>
      <c r="C793" s="12">
        <f t="shared" si="18"/>
        <v>10</v>
      </c>
      <c r="D793" s="12" t="s">
        <v>4</v>
      </c>
      <c r="E793" s="12" t="s">
        <v>79</v>
      </c>
      <c r="F793" s="13">
        <v>32.82</v>
      </c>
      <c r="G793" s="12" t="s">
        <v>20</v>
      </c>
      <c r="H793" s="12" t="str">
        <f t="shared" si="19"/>
        <v>Morning</v>
      </c>
      <c r="I793" s="12" t="str">
        <f t="shared" si="20"/>
        <v>Sun</v>
      </c>
      <c r="J793" s="12" t="str">
        <f t="shared" si="21"/>
        <v>Jun</v>
      </c>
      <c r="K793" s="12">
        <f t="shared" si="22"/>
        <v>7</v>
      </c>
      <c r="L793" s="12">
        <f t="shared" si="23"/>
        <v>6</v>
      </c>
    </row>
    <row r="794" spans="1:12" x14ac:dyDescent="0.3">
      <c r="A794" s="6">
        <v>45459</v>
      </c>
      <c r="B794" s="7">
        <v>45459.457423217595</v>
      </c>
      <c r="C794" s="8">
        <f t="shared" si="18"/>
        <v>10</v>
      </c>
      <c r="D794" s="8" t="s">
        <v>4</v>
      </c>
      <c r="E794" s="8" t="s">
        <v>323</v>
      </c>
      <c r="F794" s="9">
        <v>37.72</v>
      </c>
      <c r="G794" s="8" t="s">
        <v>13</v>
      </c>
      <c r="H794" s="8" t="str">
        <f t="shared" si="19"/>
        <v>Morning</v>
      </c>
      <c r="I794" s="8" t="str">
        <f t="shared" si="20"/>
        <v>Sun</v>
      </c>
      <c r="J794" s="8" t="str">
        <f t="shared" si="21"/>
        <v>Jun</v>
      </c>
      <c r="K794" s="8">
        <f t="shared" si="22"/>
        <v>7</v>
      </c>
      <c r="L794" s="8">
        <f t="shared" si="23"/>
        <v>6</v>
      </c>
    </row>
    <row r="795" spans="1:12" x14ac:dyDescent="0.3">
      <c r="A795" s="10">
        <v>45459</v>
      </c>
      <c r="B795" s="11">
        <v>45459.458775358798</v>
      </c>
      <c r="C795" s="12">
        <f t="shared" si="18"/>
        <v>11</v>
      </c>
      <c r="D795" s="12" t="s">
        <v>4</v>
      </c>
      <c r="E795" s="12" t="s">
        <v>323</v>
      </c>
      <c r="F795" s="13">
        <v>37.72</v>
      </c>
      <c r="G795" s="12" t="s">
        <v>15</v>
      </c>
      <c r="H795" s="12" t="str">
        <f t="shared" si="19"/>
        <v>Morning</v>
      </c>
      <c r="I795" s="12" t="str">
        <f t="shared" si="20"/>
        <v>Sun</v>
      </c>
      <c r="J795" s="12" t="str">
        <f t="shared" si="21"/>
        <v>Jun</v>
      </c>
      <c r="K795" s="12">
        <f t="shared" si="22"/>
        <v>7</v>
      </c>
      <c r="L795" s="12">
        <f t="shared" si="23"/>
        <v>6</v>
      </c>
    </row>
    <row r="796" spans="1:12" x14ac:dyDescent="0.3">
      <c r="A796" s="6">
        <v>45459</v>
      </c>
      <c r="B796" s="7">
        <v>45459.459507962965</v>
      </c>
      <c r="C796" s="8">
        <f t="shared" si="18"/>
        <v>11</v>
      </c>
      <c r="D796" s="8" t="s">
        <v>4</v>
      </c>
      <c r="E796" s="8" t="s">
        <v>323</v>
      </c>
      <c r="F796" s="9">
        <v>37.72</v>
      </c>
      <c r="G796" s="8" t="s">
        <v>15</v>
      </c>
      <c r="H796" s="8" t="str">
        <f t="shared" si="19"/>
        <v>Morning</v>
      </c>
      <c r="I796" s="8" t="str">
        <f t="shared" si="20"/>
        <v>Sun</v>
      </c>
      <c r="J796" s="8" t="str">
        <f t="shared" si="21"/>
        <v>Jun</v>
      </c>
      <c r="K796" s="8">
        <f t="shared" si="22"/>
        <v>7</v>
      </c>
      <c r="L796" s="8">
        <f t="shared" si="23"/>
        <v>6</v>
      </c>
    </row>
    <row r="797" spans="1:12" x14ac:dyDescent="0.3">
      <c r="A797" s="10">
        <v>45459</v>
      </c>
      <c r="B797" s="11">
        <v>45459.534347499997</v>
      </c>
      <c r="C797" s="12">
        <f t="shared" si="18"/>
        <v>12</v>
      </c>
      <c r="D797" s="12" t="s">
        <v>4</v>
      </c>
      <c r="E797" s="12" t="s">
        <v>296</v>
      </c>
      <c r="F797" s="13">
        <v>32.82</v>
      </c>
      <c r="G797" s="12" t="s">
        <v>20</v>
      </c>
      <c r="H797" s="12" t="str">
        <f t="shared" si="19"/>
        <v>Afternoon</v>
      </c>
      <c r="I797" s="12" t="str">
        <f t="shared" si="20"/>
        <v>Sun</v>
      </c>
      <c r="J797" s="12" t="str">
        <f t="shared" si="21"/>
        <v>Jun</v>
      </c>
      <c r="K797" s="12">
        <f t="shared" si="22"/>
        <v>7</v>
      </c>
      <c r="L797" s="12">
        <f t="shared" si="23"/>
        <v>6</v>
      </c>
    </row>
    <row r="798" spans="1:12" x14ac:dyDescent="0.3">
      <c r="A798" s="6">
        <v>45459</v>
      </c>
      <c r="B798" s="7">
        <v>45459.583784629627</v>
      </c>
      <c r="C798" s="8">
        <f t="shared" si="18"/>
        <v>14</v>
      </c>
      <c r="D798" s="8" t="s">
        <v>4</v>
      </c>
      <c r="E798" s="8" t="s">
        <v>294</v>
      </c>
      <c r="F798" s="9">
        <v>23.02</v>
      </c>
      <c r="G798" s="8" t="s">
        <v>41</v>
      </c>
      <c r="H798" s="8" t="str">
        <f t="shared" si="19"/>
        <v>Afternoon</v>
      </c>
      <c r="I798" s="8" t="str">
        <f t="shared" si="20"/>
        <v>Sun</v>
      </c>
      <c r="J798" s="8" t="str">
        <f t="shared" si="21"/>
        <v>Jun</v>
      </c>
      <c r="K798" s="8">
        <f t="shared" si="22"/>
        <v>7</v>
      </c>
      <c r="L798" s="8">
        <f t="shared" si="23"/>
        <v>6</v>
      </c>
    </row>
    <row r="799" spans="1:12" x14ac:dyDescent="0.3">
      <c r="A799" s="10">
        <v>45459</v>
      </c>
      <c r="B799" s="11">
        <v>45459.626809398149</v>
      </c>
      <c r="C799" s="12">
        <f t="shared" si="18"/>
        <v>15</v>
      </c>
      <c r="D799" s="12" t="s">
        <v>4</v>
      </c>
      <c r="E799" s="12" t="s">
        <v>324</v>
      </c>
      <c r="F799" s="13">
        <v>32.82</v>
      </c>
      <c r="G799" s="12" t="s">
        <v>20</v>
      </c>
      <c r="H799" s="12" t="str">
        <f t="shared" si="19"/>
        <v>Afternoon</v>
      </c>
      <c r="I799" s="12" t="str">
        <f t="shared" si="20"/>
        <v>Sun</v>
      </c>
      <c r="J799" s="12" t="str">
        <f t="shared" si="21"/>
        <v>Jun</v>
      </c>
      <c r="K799" s="12">
        <f t="shared" si="22"/>
        <v>7</v>
      </c>
      <c r="L799" s="12">
        <f t="shared" si="23"/>
        <v>6</v>
      </c>
    </row>
    <row r="800" spans="1:12" x14ac:dyDescent="0.3">
      <c r="A800" s="6">
        <v>45459</v>
      </c>
      <c r="B800" s="7">
        <v>45459.628592835645</v>
      </c>
      <c r="C800" s="8">
        <f t="shared" si="18"/>
        <v>15</v>
      </c>
      <c r="D800" s="8" t="s">
        <v>4</v>
      </c>
      <c r="E800" s="8" t="s">
        <v>324</v>
      </c>
      <c r="F800" s="9">
        <v>32.82</v>
      </c>
      <c r="G800" s="8" t="s">
        <v>20</v>
      </c>
      <c r="H800" s="8" t="str">
        <f t="shared" si="19"/>
        <v>Afternoon</v>
      </c>
      <c r="I800" s="8" t="str">
        <f t="shared" si="20"/>
        <v>Sun</v>
      </c>
      <c r="J800" s="8" t="str">
        <f t="shared" si="21"/>
        <v>Jun</v>
      </c>
      <c r="K800" s="8">
        <f t="shared" si="22"/>
        <v>7</v>
      </c>
      <c r="L800" s="8">
        <f t="shared" si="23"/>
        <v>6</v>
      </c>
    </row>
    <row r="801" spans="1:12" x14ac:dyDescent="0.3">
      <c r="A801" s="10">
        <v>45459</v>
      </c>
      <c r="B801" s="11">
        <v>45459.655550844909</v>
      </c>
      <c r="C801" s="12">
        <f t="shared" si="18"/>
        <v>15</v>
      </c>
      <c r="D801" s="12" t="s">
        <v>4</v>
      </c>
      <c r="E801" s="12" t="s">
        <v>325</v>
      </c>
      <c r="F801" s="13">
        <v>37.72</v>
      </c>
      <c r="G801" s="12" t="s">
        <v>15</v>
      </c>
      <c r="H801" s="12" t="str">
        <f t="shared" si="19"/>
        <v>Afternoon</v>
      </c>
      <c r="I801" s="12" t="str">
        <f t="shared" si="20"/>
        <v>Sun</v>
      </c>
      <c r="J801" s="12" t="str">
        <f t="shared" si="21"/>
        <v>Jun</v>
      </c>
      <c r="K801" s="12">
        <f t="shared" si="22"/>
        <v>7</v>
      </c>
      <c r="L801" s="12">
        <f t="shared" si="23"/>
        <v>6</v>
      </c>
    </row>
    <row r="802" spans="1:12" x14ac:dyDescent="0.3">
      <c r="A802" s="6">
        <v>45459</v>
      </c>
      <c r="B802" s="7">
        <v>45459.699728252315</v>
      </c>
      <c r="C802" s="8">
        <f t="shared" si="18"/>
        <v>16</v>
      </c>
      <c r="D802" s="8" t="s">
        <v>4</v>
      </c>
      <c r="E802" s="8" t="s">
        <v>326</v>
      </c>
      <c r="F802" s="9">
        <v>37.72</v>
      </c>
      <c r="G802" s="8" t="s">
        <v>15</v>
      </c>
      <c r="H802" s="8" t="str">
        <f t="shared" si="19"/>
        <v>Afternoon</v>
      </c>
      <c r="I802" s="8" t="str">
        <f t="shared" si="20"/>
        <v>Sun</v>
      </c>
      <c r="J802" s="8" t="str">
        <f t="shared" si="21"/>
        <v>Jun</v>
      </c>
      <c r="K802" s="8">
        <f t="shared" si="22"/>
        <v>7</v>
      </c>
      <c r="L802" s="8">
        <f t="shared" si="23"/>
        <v>6</v>
      </c>
    </row>
    <row r="803" spans="1:12" x14ac:dyDescent="0.3">
      <c r="A803" s="10">
        <v>45459</v>
      </c>
      <c r="B803" s="11">
        <v>45459.739783182871</v>
      </c>
      <c r="C803" s="12">
        <f t="shared" si="18"/>
        <v>17</v>
      </c>
      <c r="D803" s="12" t="s">
        <v>4</v>
      </c>
      <c r="E803" s="12" t="s">
        <v>79</v>
      </c>
      <c r="F803" s="13">
        <v>32.82</v>
      </c>
      <c r="G803" s="12" t="s">
        <v>20</v>
      </c>
      <c r="H803" s="12" t="str">
        <f t="shared" si="19"/>
        <v>Night</v>
      </c>
      <c r="I803" s="12" t="str">
        <f t="shared" si="20"/>
        <v>Sun</v>
      </c>
      <c r="J803" s="12" t="str">
        <f t="shared" si="21"/>
        <v>Jun</v>
      </c>
      <c r="K803" s="12">
        <f t="shared" si="22"/>
        <v>7</v>
      </c>
      <c r="L803" s="12">
        <f t="shared" si="23"/>
        <v>6</v>
      </c>
    </row>
    <row r="804" spans="1:12" x14ac:dyDescent="0.3">
      <c r="A804" s="6">
        <v>45459</v>
      </c>
      <c r="B804" s="7">
        <v>45459.740469375</v>
      </c>
      <c r="C804" s="8">
        <f t="shared" si="18"/>
        <v>17</v>
      </c>
      <c r="D804" s="8" t="s">
        <v>4</v>
      </c>
      <c r="E804" s="8" t="s">
        <v>79</v>
      </c>
      <c r="F804" s="9">
        <v>32.82</v>
      </c>
      <c r="G804" s="8" t="s">
        <v>20</v>
      </c>
      <c r="H804" s="8" t="str">
        <f t="shared" si="19"/>
        <v>Night</v>
      </c>
      <c r="I804" s="8" t="str">
        <f t="shared" si="20"/>
        <v>Sun</v>
      </c>
      <c r="J804" s="8" t="str">
        <f t="shared" si="21"/>
        <v>Jun</v>
      </c>
      <c r="K804" s="8">
        <f t="shared" si="22"/>
        <v>7</v>
      </c>
      <c r="L804" s="8">
        <f t="shared" si="23"/>
        <v>6</v>
      </c>
    </row>
    <row r="805" spans="1:12" x14ac:dyDescent="0.3">
      <c r="A805" s="10">
        <v>45460</v>
      </c>
      <c r="B805" s="11">
        <v>45460.373194953703</v>
      </c>
      <c r="C805" s="12">
        <f t="shared" si="18"/>
        <v>8</v>
      </c>
      <c r="D805" s="12" t="s">
        <v>4</v>
      </c>
      <c r="E805" s="12" t="s">
        <v>327</v>
      </c>
      <c r="F805" s="13">
        <v>27.92</v>
      </c>
      <c r="G805" s="12" t="s">
        <v>17</v>
      </c>
      <c r="H805" s="12" t="str">
        <f t="shared" si="19"/>
        <v>Morning</v>
      </c>
      <c r="I805" s="12" t="str">
        <f t="shared" si="20"/>
        <v>Mon</v>
      </c>
      <c r="J805" s="12" t="str">
        <f t="shared" si="21"/>
        <v>Jun</v>
      </c>
      <c r="K805" s="12">
        <f t="shared" si="22"/>
        <v>1</v>
      </c>
      <c r="L805" s="12">
        <f t="shared" si="23"/>
        <v>6</v>
      </c>
    </row>
    <row r="806" spans="1:12" x14ac:dyDescent="0.3">
      <c r="A806" s="6">
        <v>45460</v>
      </c>
      <c r="B806" s="7">
        <v>45460.425059479167</v>
      </c>
      <c r="C806" s="8">
        <f t="shared" si="18"/>
        <v>10</v>
      </c>
      <c r="D806" s="8" t="s">
        <v>4</v>
      </c>
      <c r="E806" s="8" t="s">
        <v>328</v>
      </c>
      <c r="F806" s="9">
        <v>27.92</v>
      </c>
      <c r="G806" s="8" t="s">
        <v>34</v>
      </c>
      <c r="H806" s="8" t="str">
        <f t="shared" si="19"/>
        <v>Morning</v>
      </c>
      <c r="I806" s="8" t="str">
        <f t="shared" si="20"/>
        <v>Mon</v>
      </c>
      <c r="J806" s="8" t="str">
        <f t="shared" si="21"/>
        <v>Jun</v>
      </c>
      <c r="K806" s="8">
        <f t="shared" si="22"/>
        <v>1</v>
      </c>
      <c r="L806" s="8">
        <f t="shared" si="23"/>
        <v>6</v>
      </c>
    </row>
    <row r="807" spans="1:12" x14ac:dyDescent="0.3">
      <c r="A807" s="10">
        <v>45460</v>
      </c>
      <c r="B807" s="11">
        <v>45460.426129340274</v>
      </c>
      <c r="C807" s="12">
        <f t="shared" si="18"/>
        <v>10</v>
      </c>
      <c r="D807" s="12" t="s">
        <v>4</v>
      </c>
      <c r="E807" s="12" t="s">
        <v>328</v>
      </c>
      <c r="F807" s="13">
        <v>27.92</v>
      </c>
      <c r="G807" s="12" t="s">
        <v>34</v>
      </c>
      <c r="H807" s="12" t="str">
        <f t="shared" si="19"/>
        <v>Morning</v>
      </c>
      <c r="I807" s="12" t="str">
        <f t="shared" si="20"/>
        <v>Mon</v>
      </c>
      <c r="J807" s="12" t="str">
        <f t="shared" si="21"/>
        <v>Jun</v>
      </c>
      <c r="K807" s="12">
        <f t="shared" si="22"/>
        <v>1</v>
      </c>
      <c r="L807" s="12">
        <f t="shared" si="23"/>
        <v>6</v>
      </c>
    </row>
    <row r="808" spans="1:12" x14ac:dyDescent="0.3">
      <c r="A808" s="6">
        <v>45460</v>
      </c>
      <c r="B808" s="7">
        <v>45460.455458425924</v>
      </c>
      <c r="C808" s="8">
        <f t="shared" si="18"/>
        <v>10</v>
      </c>
      <c r="D808" s="8" t="s">
        <v>4</v>
      </c>
      <c r="E808" s="8" t="s">
        <v>62</v>
      </c>
      <c r="F808" s="9">
        <v>37.72</v>
      </c>
      <c r="G808" s="8" t="s">
        <v>49</v>
      </c>
      <c r="H808" s="8" t="str">
        <f t="shared" si="19"/>
        <v>Morning</v>
      </c>
      <c r="I808" s="8" t="str">
        <f t="shared" si="20"/>
        <v>Mon</v>
      </c>
      <c r="J808" s="8" t="str">
        <f t="shared" si="21"/>
        <v>Jun</v>
      </c>
      <c r="K808" s="8">
        <f t="shared" si="22"/>
        <v>1</v>
      </c>
      <c r="L808" s="8">
        <f t="shared" si="23"/>
        <v>6</v>
      </c>
    </row>
    <row r="809" spans="1:12" x14ac:dyDescent="0.3">
      <c r="A809" s="10">
        <v>45460</v>
      </c>
      <c r="B809" s="11">
        <v>45460.619159502312</v>
      </c>
      <c r="C809" s="12">
        <f t="shared" si="18"/>
        <v>14</v>
      </c>
      <c r="D809" s="12" t="s">
        <v>4</v>
      </c>
      <c r="E809" s="12" t="s">
        <v>184</v>
      </c>
      <c r="F809" s="13">
        <v>37.72</v>
      </c>
      <c r="G809" s="12" t="s">
        <v>49</v>
      </c>
      <c r="H809" s="12" t="str">
        <f t="shared" si="19"/>
        <v>Afternoon</v>
      </c>
      <c r="I809" s="12" t="str">
        <f t="shared" si="20"/>
        <v>Mon</v>
      </c>
      <c r="J809" s="12" t="str">
        <f t="shared" si="21"/>
        <v>Jun</v>
      </c>
      <c r="K809" s="12">
        <f t="shared" si="22"/>
        <v>1</v>
      </c>
      <c r="L809" s="12">
        <f t="shared" si="23"/>
        <v>6</v>
      </c>
    </row>
    <row r="810" spans="1:12" x14ac:dyDescent="0.3">
      <c r="A810" s="6">
        <v>45460</v>
      </c>
      <c r="B810" s="7">
        <v>45460.701544456017</v>
      </c>
      <c r="C810" s="8">
        <f t="shared" si="18"/>
        <v>16</v>
      </c>
      <c r="D810" s="8" t="s">
        <v>4</v>
      </c>
      <c r="E810" s="8" t="s">
        <v>29</v>
      </c>
      <c r="F810" s="9">
        <v>37.72</v>
      </c>
      <c r="G810" s="8" t="s">
        <v>49</v>
      </c>
      <c r="H810" s="8" t="str">
        <f t="shared" si="19"/>
        <v>Afternoon</v>
      </c>
      <c r="I810" s="8" t="str">
        <f t="shared" si="20"/>
        <v>Mon</v>
      </c>
      <c r="J810" s="8" t="str">
        <f t="shared" si="21"/>
        <v>Jun</v>
      </c>
      <c r="K810" s="8">
        <f t="shared" si="22"/>
        <v>1</v>
      </c>
      <c r="L810" s="8">
        <f t="shared" si="23"/>
        <v>6</v>
      </c>
    </row>
    <row r="811" spans="1:12" x14ac:dyDescent="0.3">
      <c r="A811" s="10">
        <v>45460</v>
      </c>
      <c r="B811" s="11">
        <v>45460.702211087962</v>
      </c>
      <c r="C811" s="12">
        <f t="shared" si="18"/>
        <v>16</v>
      </c>
      <c r="D811" s="12" t="s">
        <v>4</v>
      </c>
      <c r="E811" s="12" t="s">
        <v>29</v>
      </c>
      <c r="F811" s="13">
        <v>37.72</v>
      </c>
      <c r="G811" s="12" t="s">
        <v>49</v>
      </c>
      <c r="H811" s="12" t="str">
        <f t="shared" si="19"/>
        <v>Afternoon</v>
      </c>
      <c r="I811" s="12" t="str">
        <f t="shared" si="20"/>
        <v>Mon</v>
      </c>
      <c r="J811" s="12" t="str">
        <f t="shared" si="21"/>
        <v>Jun</v>
      </c>
      <c r="K811" s="12">
        <f t="shared" si="22"/>
        <v>1</v>
      </c>
      <c r="L811" s="12">
        <f t="shared" si="23"/>
        <v>6</v>
      </c>
    </row>
    <row r="812" spans="1:12" x14ac:dyDescent="0.3">
      <c r="A812" s="6">
        <v>45460</v>
      </c>
      <c r="B812" s="7">
        <v>45460.703198333336</v>
      </c>
      <c r="C812" s="8">
        <f t="shared" si="18"/>
        <v>16</v>
      </c>
      <c r="D812" s="8" t="s">
        <v>4</v>
      </c>
      <c r="E812" s="8" t="s">
        <v>29</v>
      </c>
      <c r="F812" s="9">
        <v>27.92</v>
      </c>
      <c r="G812" s="8" t="s">
        <v>17</v>
      </c>
      <c r="H812" s="8" t="str">
        <f t="shared" si="19"/>
        <v>Afternoon</v>
      </c>
      <c r="I812" s="8" t="str">
        <f t="shared" si="20"/>
        <v>Mon</v>
      </c>
      <c r="J812" s="8" t="str">
        <f t="shared" si="21"/>
        <v>Jun</v>
      </c>
      <c r="K812" s="8">
        <f t="shared" si="22"/>
        <v>1</v>
      </c>
      <c r="L812" s="8">
        <f t="shared" si="23"/>
        <v>6</v>
      </c>
    </row>
    <row r="813" spans="1:12" x14ac:dyDescent="0.3">
      <c r="A813" s="10">
        <v>45460</v>
      </c>
      <c r="B813" s="11">
        <v>45460.785643877316</v>
      </c>
      <c r="C813" s="12">
        <f t="shared" si="18"/>
        <v>18</v>
      </c>
      <c r="D813" s="12" t="s">
        <v>4</v>
      </c>
      <c r="E813" s="12" t="s">
        <v>329</v>
      </c>
      <c r="F813" s="13">
        <v>27.92</v>
      </c>
      <c r="G813" s="12" t="s">
        <v>17</v>
      </c>
      <c r="H813" s="12" t="str">
        <f t="shared" si="19"/>
        <v>Night</v>
      </c>
      <c r="I813" s="12" t="str">
        <f t="shared" si="20"/>
        <v>Mon</v>
      </c>
      <c r="J813" s="12" t="str">
        <f t="shared" si="21"/>
        <v>Jun</v>
      </c>
      <c r="K813" s="12">
        <f t="shared" si="22"/>
        <v>1</v>
      </c>
      <c r="L813" s="12">
        <f t="shared" si="23"/>
        <v>6</v>
      </c>
    </row>
    <row r="814" spans="1:12" x14ac:dyDescent="0.3">
      <c r="A814" s="6">
        <v>45460</v>
      </c>
      <c r="B814" s="7">
        <v>45460.88624403935</v>
      </c>
      <c r="C814" s="8">
        <f t="shared" si="18"/>
        <v>21</v>
      </c>
      <c r="D814" s="8" t="s">
        <v>4</v>
      </c>
      <c r="E814" s="8" t="s">
        <v>25</v>
      </c>
      <c r="F814" s="9">
        <v>32.82</v>
      </c>
      <c r="G814" s="8" t="s">
        <v>20</v>
      </c>
      <c r="H814" s="8" t="str">
        <f t="shared" si="19"/>
        <v>Night</v>
      </c>
      <c r="I814" s="8" t="str">
        <f t="shared" si="20"/>
        <v>Mon</v>
      </c>
      <c r="J814" s="8" t="str">
        <f t="shared" si="21"/>
        <v>Jun</v>
      </c>
      <c r="K814" s="8">
        <f t="shared" si="22"/>
        <v>1</v>
      </c>
      <c r="L814" s="8">
        <f t="shared" si="23"/>
        <v>6</v>
      </c>
    </row>
    <row r="815" spans="1:12" x14ac:dyDescent="0.3">
      <c r="A815" s="10">
        <v>45461</v>
      </c>
      <c r="B815" s="11">
        <v>45461.586182002313</v>
      </c>
      <c r="C815" s="12">
        <f t="shared" si="18"/>
        <v>14</v>
      </c>
      <c r="D815" s="12" t="s">
        <v>4</v>
      </c>
      <c r="E815" s="12" t="s">
        <v>319</v>
      </c>
      <c r="F815" s="13">
        <v>27.92</v>
      </c>
      <c r="G815" s="12" t="s">
        <v>17</v>
      </c>
      <c r="H815" s="12" t="str">
        <f t="shared" si="19"/>
        <v>Afternoon</v>
      </c>
      <c r="I815" s="12" t="str">
        <f t="shared" si="20"/>
        <v>Tue</v>
      </c>
      <c r="J815" s="12" t="str">
        <f t="shared" si="21"/>
        <v>Jun</v>
      </c>
      <c r="K815" s="12">
        <f t="shared" si="22"/>
        <v>2</v>
      </c>
      <c r="L815" s="12">
        <f t="shared" si="23"/>
        <v>6</v>
      </c>
    </row>
    <row r="816" spans="1:12" x14ac:dyDescent="0.3">
      <c r="A816" s="6">
        <v>45461</v>
      </c>
      <c r="B816" s="7">
        <v>45461.586948067132</v>
      </c>
      <c r="C816" s="8">
        <f t="shared" si="18"/>
        <v>14</v>
      </c>
      <c r="D816" s="8" t="s">
        <v>4</v>
      </c>
      <c r="E816" s="8" t="s">
        <v>319</v>
      </c>
      <c r="F816" s="9">
        <v>37.72</v>
      </c>
      <c r="G816" s="8" t="s">
        <v>49</v>
      </c>
      <c r="H816" s="8" t="str">
        <f t="shared" si="19"/>
        <v>Afternoon</v>
      </c>
      <c r="I816" s="8" t="str">
        <f t="shared" si="20"/>
        <v>Tue</v>
      </c>
      <c r="J816" s="8" t="str">
        <f t="shared" si="21"/>
        <v>Jun</v>
      </c>
      <c r="K816" s="8">
        <f t="shared" si="22"/>
        <v>2</v>
      </c>
      <c r="L816" s="8">
        <f t="shared" si="23"/>
        <v>6</v>
      </c>
    </row>
    <row r="817" spans="1:12" x14ac:dyDescent="0.3">
      <c r="A817" s="10">
        <v>45461</v>
      </c>
      <c r="B817" s="11">
        <v>45461.806025127313</v>
      </c>
      <c r="C817" s="12">
        <f t="shared" si="18"/>
        <v>19</v>
      </c>
      <c r="D817" s="12" t="s">
        <v>4</v>
      </c>
      <c r="E817" s="12" t="s">
        <v>174</v>
      </c>
      <c r="F817" s="13">
        <v>37.72</v>
      </c>
      <c r="G817" s="12" t="s">
        <v>49</v>
      </c>
      <c r="H817" s="12" t="str">
        <f t="shared" si="19"/>
        <v>Night</v>
      </c>
      <c r="I817" s="12" t="str">
        <f t="shared" si="20"/>
        <v>Tue</v>
      </c>
      <c r="J817" s="12" t="str">
        <f t="shared" si="21"/>
        <v>Jun</v>
      </c>
      <c r="K817" s="12">
        <f t="shared" si="22"/>
        <v>2</v>
      </c>
      <c r="L817" s="12">
        <f t="shared" si="23"/>
        <v>6</v>
      </c>
    </row>
    <row r="818" spans="1:12" x14ac:dyDescent="0.3">
      <c r="A818" s="6">
        <v>45461</v>
      </c>
      <c r="B818" s="7">
        <v>45461.806700138892</v>
      </c>
      <c r="C818" s="8">
        <f t="shared" si="18"/>
        <v>19</v>
      </c>
      <c r="D818" s="8" t="s">
        <v>4</v>
      </c>
      <c r="E818" s="8" t="s">
        <v>174</v>
      </c>
      <c r="F818" s="9">
        <v>37.72</v>
      </c>
      <c r="G818" s="8" t="s">
        <v>49</v>
      </c>
      <c r="H818" s="8" t="str">
        <f t="shared" si="19"/>
        <v>Night</v>
      </c>
      <c r="I818" s="8" t="str">
        <f t="shared" si="20"/>
        <v>Tue</v>
      </c>
      <c r="J818" s="8" t="str">
        <f t="shared" si="21"/>
        <v>Jun</v>
      </c>
      <c r="K818" s="8">
        <f t="shared" si="22"/>
        <v>2</v>
      </c>
      <c r="L818" s="8">
        <f t="shared" si="23"/>
        <v>6</v>
      </c>
    </row>
    <row r="819" spans="1:12" x14ac:dyDescent="0.3">
      <c r="A819" s="10">
        <v>45461</v>
      </c>
      <c r="B819" s="11">
        <v>45461.858211770836</v>
      </c>
      <c r="C819" s="12">
        <f t="shared" si="18"/>
        <v>20</v>
      </c>
      <c r="D819" s="12" t="s">
        <v>4</v>
      </c>
      <c r="E819" s="12" t="s">
        <v>330</v>
      </c>
      <c r="F819" s="13">
        <v>27.92</v>
      </c>
      <c r="G819" s="12" t="s">
        <v>34</v>
      </c>
      <c r="H819" s="12" t="str">
        <f t="shared" si="19"/>
        <v>Night</v>
      </c>
      <c r="I819" s="12" t="str">
        <f t="shared" si="20"/>
        <v>Tue</v>
      </c>
      <c r="J819" s="12" t="str">
        <f t="shared" si="21"/>
        <v>Jun</v>
      </c>
      <c r="K819" s="12">
        <f t="shared" si="22"/>
        <v>2</v>
      </c>
      <c r="L819" s="12">
        <f t="shared" si="23"/>
        <v>6</v>
      </c>
    </row>
    <row r="820" spans="1:12" x14ac:dyDescent="0.3">
      <c r="A820" s="6">
        <v>45461</v>
      </c>
      <c r="B820" s="7">
        <v>45461.889462106483</v>
      </c>
      <c r="C820" s="8">
        <f t="shared" si="18"/>
        <v>21</v>
      </c>
      <c r="D820" s="8" t="s">
        <v>4</v>
      </c>
      <c r="E820" s="8" t="s">
        <v>29</v>
      </c>
      <c r="F820" s="9">
        <v>32.82</v>
      </c>
      <c r="G820" s="8" t="s">
        <v>20</v>
      </c>
      <c r="H820" s="8" t="str">
        <f t="shared" si="19"/>
        <v>Night</v>
      </c>
      <c r="I820" s="8" t="str">
        <f t="shared" si="20"/>
        <v>Tue</v>
      </c>
      <c r="J820" s="8" t="str">
        <f t="shared" si="21"/>
        <v>Jun</v>
      </c>
      <c r="K820" s="8">
        <f t="shared" si="22"/>
        <v>2</v>
      </c>
      <c r="L820" s="8">
        <f t="shared" si="23"/>
        <v>6</v>
      </c>
    </row>
    <row r="821" spans="1:12" x14ac:dyDescent="0.3">
      <c r="A821" s="10">
        <v>45461</v>
      </c>
      <c r="B821" s="11">
        <v>45461.890492106482</v>
      </c>
      <c r="C821" s="12">
        <f t="shared" si="18"/>
        <v>21</v>
      </c>
      <c r="D821" s="12" t="s">
        <v>4</v>
      </c>
      <c r="E821" s="12" t="s">
        <v>29</v>
      </c>
      <c r="F821" s="13">
        <v>32.82</v>
      </c>
      <c r="G821" s="12" t="s">
        <v>20</v>
      </c>
      <c r="H821" s="12" t="str">
        <f t="shared" si="19"/>
        <v>Night</v>
      </c>
      <c r="I821" s="12" t="str">
        <f t="shared" si="20"/>
        <v>Tue</v>
      </c>
      <c r="J821" s="12" t="str">
        <f t="shared" si="21"/>
        <v>Jun</v>
      </c>
      <c r="K821" s="12">
        <f t="shared" si="22"/>
        <v>2</v>
      </c>
      <c r="L821" s="12">
        <f t="shared" si="23"/>
        <v>6</v>
      </c>
    </row>
    <row r="822" spans="1:12" x14ac:dyDescent="0.3">
      <c r="A822" s="6">
        <v>45462</v>
      </c>
      <c r="B822" s="7">
        <v>45462.32453510417</v>
      </c>
      <c r="C822" s="8">
        <f t="shared" si="18"/>
        <v>7</v>
      </c>
      <c r="D822" s="8" t="s">
        <v>4</v>
      </c>
      <c r="E822" s="8" t="s">
        <v>331</v>
      </c>
      <c r="F822" s="9">
        <v>37.72</v>
      </c>
      <c r="G822" s="8" t="s">
        <v>13</v>
      </c>
      <c r="H822" s="8" t="str">
        <f t="shared" si="19"/>
        <v>Morning</v>
      </c>
      <c r="I822" s="8" t="str">
        <f t="shared" si="20"/>
        <v>Wed</v>
      </c>
      <c r="J822" s="8" t="str">
        <f t="shared" si="21"/>
        <v>Jun</v>
      </c>
      <c r="K822" s="8">
        <f t="shared" si="22"/>
        <v>3</v>
      </c>
      <c r="L822" s="8">
        <f t="shared" si="23"/>
        <v>6</v>
      </c>
    </row>
    <row r="823" spans="1:12" x14ac:dyDescent="0.3">
      <c r="A823" s="10">
        <v>45462</v>
      </c>
      <c r="B823" s="11">
        <v>45462.345769768515</v>
      </c>
      <c r="C823" s="12">
        <f t="shared" si="18"/>
        <v>8</v>
      </c>
      <c r="D823" s="12" t="s">
        <v>4</v>
      </c>
      <c r="E823" s="12" t="s">
        <v>161</v>
      </c>
      <c r="F823" s="13">
        <v>27.92</v>
      </c>
      <c r="G823" s="12" t="s">
        <v>34</v>
      </c>
      <c r="H823" s="12" t="str">
        <f t="shared" si="19"/>
        <v>Morning</v>
      </c>
      <c r="I823" s="12" t="str">
        <f t="shared" si="20"/>
        <v>Wed</v>
      </c>
      <c r="J823" s="12" t="str">
        <f t="shared" si="21"/>
        <v>Jun</v>
      </c>
      <c r="K823" s="12">
        <f t="shared" si="22"/>
        <v>3</v>
      </c>
      <c r="L823" s="12">
        <f t="shared" si="23"/>
        <v>6</v>
      </c>
    </row>
    <row r="824" spans="1:12" x14ac:dyDescent="0.3">
      <c r="A824" s="6">
        <v>45462</v>
      </c>
      <c r="B824" s="7">
        <v>45462.454172361111</v>
      </c>
      <c r="C824" s="8">
        <f t="shared" si="18"/>
        <v>10</v>
      </c>
      <c r="D824" s="8" t="s">
        <v>4</v>
      </c>
      <c r="E824" s="8" t="s">
        <v>332</v>
      </c>
      <c r="F824" s="9">
        <v>27.92</v>
      </c>
      <c r="G824" s="8" t="s">
        <v>17</v>
      </c>
      <c r="H824" s="8" t="str">
        <f t="shared" si="19"/>
        <v>Morning</v>
      </c>
      <c r="I824" s="8" t="str">
        <f t="shared" si="20"/>
        <v>Wed</v>
      </c>
      <c r="J824" s="8" t="str">
        <f t="shared" si="21"/>
        <v>Jun</v>
      </c>
      <c r="K824" s="8">
        <f t="shared" si="22"/>
        <v>3</v>
      </c>
      <c r="L824" s="8">
        <f t="shared" si="23"/>
        <v>6</v>
      </c>
    </row>
    <row r="825" spans="1:12" x14ac:dyDescent="0.3">
      <c r="A825" s="10">
        <v>45462</v>
      </c>
      <c r="B825" s="11">
        <v>45462.466294062498</v>
      </c>
      <c r="C825" s="12">
        <f t="shared" si="18"/>
        <v>11</v>
      </c>
      <c r="D825" s="12" t="s">
        <v>4</v>
      </c>
      <c r="E825" s="12" t="s">
        <v>333</v>
      </c>
      <c r="F825" s="13">
        <v>37.72</v>
      </c>
      <c r="G825" s="12" t="s">
        <v>13</v>
      </c>
      <c r="H825" s="12" t="str">
        <f t="shared" si="19"/>
        <v>Morning</v>
      </c>
      <c r="I825" s="12" t="str">
        <f t="shared" si="20"/>
        <v>Wed</v>
      </c>
      <c r="J825" s="12" t="str">
        <f t="shared" si="21"/>
        <v>Jun</v>
      </c>
      <c r="K825" s="12">
        <f t="shared" si="22"/>
        <v>3</v>
      </c>
      <c r="L825" s="12">
        <f t="shared" si="23"/>
        <v>6</v>
      </c>
    </row>
    <row r="826" spans="1:12" x14ac:dyDescent="0.3">
      <c r="A826" s="6">
        <v>45462</v>
      </c>
      <c r="B826" s="7">
        <v>45462.467030231484</v>
      </c>
      <c r="C826" s="8">
        <f t="shared" si="18"/>
        <v>11</v>
      </c>
      <c r="D826" s="8" t="s">
        <v>4</v>
      </c>
      <c r="E826" s="8" t="s">
        <v>333</v>
      </c>
      <c r="F826" s="9">
        <v>37.72</v>
      </c>
      <c r="G826" s="8" t="s">
        <v>24</v>
      </c>
      <c r="H826" s="8" t="str">
        <f t="shared" si="19"/>
        <v>Morning</v>
      </c>
      <c r="I826" s="8" t="str">
        <f t="shared" si="20"/>
        <v>Wed</v>
      </c>
      <c r="J826" s="8" t="str">
        <f t="shared" si="21"/>
        <v>Jun</v>
      </c>
      <c r="K826" s="8">
        <f t="shared" si="22"/>
        <v>3</v>
      </c>
      <c r="L826" s="8">
        <f t="shared" si="23"/>
        <v>6</v>
      </c>
    </row>
    <row r="827" spans="1:12" x14ac:dyDescent="0.3">
      <c r="A827" s="10">
        <v>45462</v>
      </c>
      <c r="B827" s="11">
        <v>45462.598336319446</v>
      </c>
      <c r="C827" s="12">
        <f t="shared" si="18"/>
        <v>14</v>
      </c>
      <c r="D827" s="12" t="s">
        <v>4</v>
      </c>
      <c r="E827" s="12" t="s">
        <v>184</v>
      </c>
      <c r="F827" s="13">
        <v>32.82</v>
      </c>
      <c r="G827" s="12" t="s">
        <v>20</v>
      </c>
      <c r="H827" s="12" t="str">
        <f t="shared" si="19"/>
        <v>Afternoon</v>
      </c>
      <c r="I827" s="12" t="str">
        <f t="shared" si="20"/>
        <v>Wed</v>
      </c>
      <c r="J827" s="12" t="str">
        <f t="shared" si="21"/>
        <v>Jun</v>
      </c>
      <c r="K827" s="12">
        <f t="shared" si="22"/>
        <v>3</v>
      </c>
      <c r="L827" s="12">
        <f t="shared" si="23"/>
        <v>6</v>
      </c>
    </row>
    <row r="828" spans="1:12" x14ac:dyDescent="0.3">
      <c r="A828" s="6">
        <v>45462</v>
      </c>
      <c r="B828" s="7">
        <v>45462.769947187502</v>
      </c>
      <c r="C828" s="8">
        <f t="shared" si="18"/>
        <v>18</v>
      </c>
      <c r="D828" s="8" t="s">
        <v>4</v>
      </c>
      <c r="E828" s="8" t="s">
        <v>173</v>
      </c>
      <c r="F828" s="9">
        <v>37.72</v>
      </c>
      <c r="G828" s="8" t="s">
        <v>49</v>
      </c>
      <c r="H828" s="8" t="str">
        <f t="shared" si="19"/>
        <v>Night</v>
      </c>
      <c r="I828" s="8" t="str">
        <f t="shared" si="20"/>
        <v>Wed</v>
      </c>
      <c r="J828" s="8" t="str">
        <f t="shared" si="21"/>
        <v>Jun</v>
      </c>
      <c r="K828" s="8">
        <f t="shared" si="22"/>
        <v>3</v>
      </c>
      <c r="L828" s="8">
        <f t="shared" si="23"/>
        <v>6</v>
      </c>
    </row>
    <row r="829" spans="1:12" x14ac:dyDescent="0.3">
      <c r="A829" s="10">
        <v>45462</v>
      </c>
      <c r="B829" s="11">
        <v>45462.770821307873</v>
      </c>
      <c r="C829" s="12">
        <f t="shared" si="18"/>
        <v>18</v>
      </c>
      <c r="D829" s="12" t="s">
        <v>4</v>
      </c>
      <c r="E829" s="12" t="s">
        <v>173</v>
      </c>
      <c r="F829" s="13">
        <v>37.72</v>
      </c>
      <c r="G829" s="12" t="s">
        <v>13</v>
      </c>
      <c r="H829" s="12" t="str">
        <f t="shared" si="19"/>
        <v>Night</v>
      </c>
      <c r="I829" s="12" t="str">
        <f t="shared" si="20"/>
        <v>Wed</v>
      </c>
      <c r="J829" s="12" t="str">
        <f t="shared" si="21"/>
        <v>Jun</v>
      </c>
      <c r="K829" s="12">
        <f t="shared" si="22"/>
        <v>3</v>
      </c>
      <c r="L829" s="12">
        <f t="shared" si="23"/>
        <v>6</v>
      </c>
    </row>
    <row r="830" spans="1:12" x14ac:dyDescent="0.3">
      <c r="A830" s="6">
        <v>45462</v>
      </c>
      <c r="B830" s="7">
        <v>45462.813556631947</v>
      </c>
      <c r="C830" s="8">
        <f t="shared" si="18"/>
        <v>19</v>
      </c>
      <c r="D830" s="8" t="s">
        <v>4</v>
      </c>
      <c r="E830" s="8" t="s">
        <v>25</v>
      </c>
      <c r="F830" s="9">
        <v>32.82</v>
      </c>
      <c r="G830" s="8" t="s">
        <v>20</v>
      </c>
      <c r="H830" s="8" t="str">
        <f t="shared" si="19"/>
        <v>Night</v>
      </c>
      <c r="I830" s="8" t="str">
        <f t="shared" si="20"/>
        <v>Wed</v>
      </c>
      <c r="J830" s="8" t="str">
        <f t="shared" si="21"/>
        <v>Jun</v>
      </c>
      <c r="K830" s="8">
        <f t="shared" si="22"/>
        <v>3</v>
      </c>
      <c r="L830" s="8">
        <f t="shared" si="23"/>
        <v>6</v>
      </c>
    </row>
    <row r="831" spans="1:12" x14ac:dyDescent="0.3">
      <c r="A831" s="10">
        <v>45462</v>
      </c>
      <c r="B831" s="11">
        <v>45462.895132928243</v>
      </c>
      <c r="C831" s="12">
        <f t="shared" si="18"/>
        <v>21</v>
      </c>
      <c r="D831" s="12" t="s">
        <v>4</v>
      </c>
      <c r="E831" s="12" t="s">
        <v>212</v>
      </c>
      <c r="F831" s="13">
        <v>37.72</v>
      </c>
      <c r="G831" s="12" t="s">
        <v>49</v>
      </c>
      <c r="H831" s="12" t="str">
        <f t="shared" si="19"/>
        <v>Night</v>
      </c>
      <c r="I831" s="12" t="str">
        <f t="shared" si="20"/>
        <v>Wed</v>
      </c>
      <c r="J831" s="12" t="str">
        <f t="shared" si="21"/>
        <v>Jun</v>
      </c>
      <c r="K831" s="12">
        <f t="shared" si="22"/>
        <v>3</v>
      </c>
      <c r="L831" s="12">
        <f t="shared" si="23"/>
        <v>6</v>
      </c>
    </row>
    <row r="832" spans="1:12" x14ac:dyDescent="0.3">
      <c r="A832" s="6">
        <v>45462</v>
      </c>
      <c r="B832" s="7">
        <v>45462.895873657406</v>
      </c>
      <c r="C832" s="8">
        <f t="shared" si="18"/>
        <v>21</v>
      </c>
      <c r="D832" s="8" t="s">
        <v>4</v>
      </c>
      <c r="E832" s="8" t="s">
        <v>212</v>
      </c>
      <c r="F832" s="9">
        <v>32.82</v>
      </c>
      <c r="G832" s="8" t="s">
        <v>20</v>
      </c>
      <c r="H832" s="8" t="str">
        <f t="shared" si="19"/>
        <v>Night</v>
      </c>
      <c r="I832" s="8" t="str">
        <f t="shared" si="20"/>
        <v>Wed</v>
      </c>
      <c r="J832" s="8" t="str">
        <f t="shared" si="21"/>
        <v>Jun</v>
      </c>
      <c r="K832" s="8">
        <f t="shared" si="22"/>
        <v>3</v>
      </c>
      <c r="L832" s="8">
        <f t="shared" si="23"/>
        <v>6</v>
      </c>
    </row>
    <row r="833" spans="1:12" x14ac:dyDescent="0.3">
      <c r="A833" s="10">
        <v>45463</v>
      </c>
      <c r="B833" s="11">
        <v>45463.451463576392</v>
      </c>
      <c r="C833" s="12">
        <f t="shared" si="18"/>
        <v>10</v>
      </c>
      <c r="D833" s="12" t="s">
        <v>4</v>
      </c>
      <c r="E833" s="12" t="s">
        <v>117</v>
      </c>
      <c r="F833" s="13">
        <v>37.72</v>
      </c>
      <c r="G833" s="12" t="s">
        <v>13</v>
      </c>
      <c r="H833" s="12" t="str">
        <f t="shared" si="19"/>
        <v>Morning</v>
      </c>
      <c r="I833" s="12" t="str">
        <f t="shared" si="20"/>
        <v>Thu</v>
      </c>
      <c r="J833" s="12" t="str">
        <f t="shared" si="21"/>
        <v>Jun</v>
      </c>
      <c r="K833" s="12">
        <f t="shared" si="22"/>
        <v>4</v>
      </c>
      <c r="L833" s="12">
        <f t="shared" si="23"/>
        <v>6</v>
      </c>
    </row>
    <row r="834" spans="1:12" x14ac:dyDescent="0.3">
      <c r="A834" s="6">
        <v>45463</v>
      </c>
      <c r="B834" s="7">
        <v>45463.790996319447</v>
      </c>
      <c r="C834" s="8">
        <f t="shared" si="18"/>
        <v>18</v>
      </c>
      <c r="D834" s="8" t="s">
        <v>4</v>
      </c>
      <c r="E834" s="8" t="s">
        <v>334</v>
      </c>
      <c r="F834" s="9">
        <v>37.72</v>
      </c>
      <c r="G834" s="8" t="s">
        <v>13</v>
      </c>
      <c r="H834" s="8" t="str">
        <f t="shared" si="19"/>
        <v>Night</v>
      </c>
      <c r="I834" s="8" t="str">
        <f t="shared" si="20"/>
        <v>Thu</v>
      </c>
      <c r="J834" s="8" t="str">
        <f t="shared" si="21"/>
        <v>Jun</v>
      </c>
      <c r="K834" s="8">
        <f t="shared" si="22"/>
        <v>4</v>
      </c>
      <c r="L834" s="8">
        <f t="shared" si="23"/>
        <v>6</v>
      </c>
    </row>
    <row r="835" spans="1:12" x14ac:dyDescent="0.3">
      <c r="A835" s="10">
        <v>45463</v>
      </c>
      <c r="B835" s="11">
        <v>45463.791669409722</v>
      </c>
      <c r="C835" s="12">
        <f t="shared" si="18"/>
        <v>19</v>
      </c>
      <c r="D835" s="12" t="s">
        <v>4</v>
      </c>
      <c r="E835" s="12" t="s">
        <v>334</v>
      </c>
      <c r="F835" s="13">
        <v>37.72</v>
      </c>
      <c r="G835" s="12" t="s">
        <v>13</v>
      </c>
      <c r="H835" s="12" t="str">
        <f t="shared" si="19"/>
        <v>Night</v>
      </c>
      <c r="I835" s="12" t="str">
        <f t="shared" si="20"/>
        <v>Thu</v>
      </c>
      <c r="J835" s="12" t="str">
        <f t="shared" si="21"/>
        <v>Jun</v>
      </c>
      <c r="K835" s="12">
        <f t="shared" si="22"/>
        <v>4</v>
      </c>
      <c r="L835" s="12">
        <f t="shared" si="23"/>
        <v>6</v>
      </c>
    </row>
    <row r="836" spans="1:12" x14ac:dyDescent="0.3">
      <c r="A836" s="6">
        <v>45463</v>
      </c>
      <c r="B836" s="7">
        <v>45463.90219922454</v>
      </c>
      <c r="C836" s="8">
        <f t="shared" si="18"/>
        <v>21</v>
      </c>
      <c r="D836" s="8" t="s">
        <v>4</v>
      </c>
      <c r="E836" s="8" t="s">
        <v>277</v>
      </c>
      <c r="F836" s="9">
        <v>37.72</v>
      </c>
      <c r="G836" s="8" t="s">
        <v>13</v>
      </c>
      <c r="H836" s="8" t="str">
        <f t="shared" si="19"/>
        <v>Night</v>
      </c>
      <c r="I836" s="8" t="str">
        <f t="shared" si="20"/>
        <v>Thu</v>
      </c>
      <c r="J836" s="8" t="str">
        <f t="shared" si="21"/>
        <v>Jun</v>
      </c>
      <c r="K836" s="8">
        <f t="shared" si="22"/>
        <v>4</v>
      </c>
      <c r="L836" s="8">
        <f t="shared" si="23"/>
        <v>6</v>
      </c>
    </row>
    <row r="837" spans="1:12" x14ac:dyDescent="0.3">
      <c r="A837" s="10">
        <v>45463</v>
      </c>
      <c r="B837" s="11">
        <v>45463.915052708333</v>
      </c>
      <c r="C837" s="12">
        <f t="shared" si="18"/>
        <v>21</v>
      </c>
      <c r="D837" s="12" t="s">
        <v>4</v>
      </c>
      <c r="E837" s="12" t="s">
        <v>25</v>
      </c>
      <c r="F837" s="13">
        <v>37.72</v>
      </c>
      <c r="G837" s="12" t="s">
        <v>13</v>
      </c>
      <c r="H837" s="12" t="str">
        <f t="shared" si="19"/>
        <v>Night</v>
      </c>
      <c r="I837" s="12" t="str">
        <f t="shared" si="20"/>
        <v>Thu</v>
      </c>
      <c r="J837" s="12" t="str">
        <f t="shared" si="21"/>
        <v>Jun</v>
      </c>
      <c r="K837" s="12">
        <f t="shared" si="22"/>
        <v>4</v>
      </c>
      <c r="L837" s="12">
        <f t="shared" si="23"/>
        <v>6</v>
      </c>
    </row>
    <row r="838" spans="1:12" x14ac:dyDescent="0.3">
      <c r="A838" s="6">
        <v>45463</v>
      </c>
      <c r="B838" s="7">
        <v>45463.916175902777</v>
      </c>
      <c r="C838" s="8">
        <f t="shared" si="18"/>
        <v>21</v>
      </c>
      <c r="D838" s="8" t="s">
        <v>4</v>
      </c>
      <c r="E838" s="8" t="s">
        <v>25</v>
      </c>
      <c r="F838" s="9">
        <v>32.82</v>
      </c>
      <c r="G838" s="8" t="s">
        <v>20</v>
      </c>
      <c r="H838" s="8" t="str">
        <f t="shared" si="19"/>
        <v>Night</v>
      </c>
      <c r="I838" s="8" t="str">
        <f t="shared" si="20"/>
        <v>Thu</v>
      </c>
      <c r="J838" s="8" t="str">
        <f t="shared" si="21"/>
        <v>Jun</v>
      </c>
      <c r="K838" s="8">
        <f t="shared" si="22"/>
        <v>4</v>
      </c>
      <c r="L838" s="8">
        <f t="shared" si="23"/>
        <v>6</v>
      </c>
    </row>
    <row r="839" spans="1:12" x14ac:dyDescent="0.3">
      <c r="A839" s="10">
        <v>45464</v>
      </c>
      <c r="B839" s="11">
        <v>45464.416619560187</v>
      </c>
      <c r="C839" s="12">
        <f t="shared" si="18"/>
        <v>9</v>
      </c>
      <c r="D839" s="12" t="s">
        <v>4</v>
      </c>
      <c r="E839" s="12" t="s">
        <v>331</v>
      </c>
      <c r="F839" s="13">
        <v>37.72</v>
      </c>
      <c r="G839" s="12" t="s">
        <v>13</v>
      </c>
      <c r="H839" s="12" t="str">
        <f t="shared" si="19"/>
        <v>Morning</v>
      </c>
      <c r="I839" s="12" t="str">
        <f t="shared" si="20"/>
        <v>Fri</v>
      </c>
      <c r="J839" s="12" t="str">
        <f t="shared" si="21"/>
        <v>Jun</v>
      </c>
      <c r="K839" s="12">
        <f t="shared" si="22"/>
        <v>5</v>
      </c>
      <c r="L839" s="12">
        <f t="shared" si="23"/>
        <v>6</v>
      </c>
    </row>
    <row r="840" spans="1:12" x14ac:dyDescent="0.3">
      <c r="A840" s="6">
        <v>45464</v>
      </c>
      <c r="B840" s="7">
        <v>45464.417826192126</v>
      </c>
      <c r="C840" s="8">
        <f t="shared" si="18"/>
        <v>10</v>
      </c>
      <c r="D840" s="8" t="s">
        <v>4</v>
      </c>
      <c r="E840" s="8" t="s">
        <v>335</v>
      </c>
      <c r="F840" s="9">
        <v>27.92</v>
      </c>
      <c r="G840" s="8" t="s">
        <v>17</v>
      </c>
      <c r="H840" s="8" t="str">
        <f t="shared" si="19"/>
        <v>Morning</v>
      </c>
      <c r="I840" s="8" t="str">
        <f t="shared" si="20"/>
        <v>Fri</v>
      </c>
      <c r="J840" s="8" t="str">
        <f t="shared" si="21"/>
        <v>Jun</v>
      </c>
      <c r="K840" s="8">
        <f t="shared" si="22"/>
        <v>5</v>
      </c>
      <c r="L840" s="8">
        <f t="shared" si="23"/>
        <v>6</v>
      </c>
    </row>
    <row r="841" spans="1:12" x14ac:dyDescent="0.3">
      <c r="A841" s="10">
        <v>45464</v>
      </c>
      <c r="B841" s="11">
        <v>45464.55508583333</v>
      </c>
      <c r="C841" s="12">
        <f t="shared" si="18"/>
        <v>13</v>
      </c>
      <c r="D841" s="12" t="s">
        <v>4</v>
      </c>
      <c r="E841" s="12" t="s">
        <v>29</v>
      </c>
      <c r="F841" s="13">
        <v>32.82</v>
      </c>
      <c r="G841" s="12" t="s">
        <v>20</v>
      </c>
      <c r="H841" s="12" t="str">
        <f t="shared" si="19"/>
        <v>Afternoon</v>
      </c>
      <c r="I841" s="12" t="str">
        <f t="shared" si="20"/>
        <v>Fri</v>
      </c>
      <c r="J841" s="12" t="str">
        <f t="shared" si="21"/>
        <v>Jun</v>
      </c>
      <c r="K841" s="12">
        <f t="shared" si="22"/>
        <v>5</v>
      </c>
      <c r="L841" s="12">
        <f t="shared" si="23"/>
        <v>6</v>
      </c>
    </row>
    <row r="842" spans="1:12" x14ac:dyDescent="0.3">
      <c r="A842" s="6">
        <v>45464</v>
      </c>
      <c r="B842" s="7">
        <v>45464.555920289349</v>
      </c>
      <c r="C842" s="8">
        <f t="shared" si="18"/>
        <v>13</v>
      </c>
      <c r="D842" s="8" t="s">
        <v>4</v>
      </c>
      <c r="E842" s="8" t="s">
        <v>29</v>
      </c>
      <c r="F842" s="9">
        <v>32.82</v>
      </c>
      <c r="G842" s="8" t="s">
        <v>20</v>
      </c>
      <c r="H842" s="8" t="str">
        <f t="shared" si="19"/>
        <v>Afternoon</v>
      </c>
      <c r="I842" s="8" t="str">
        <f t="shared" si="20"/>
        <v>Fri</v>
      </c>
      <c r="J842" s="8" t="str">
        <f t="shared" si="21"/>
        <v>Jun</v>
      </c>
      <c r="K842" s="8">
        <f t="shared" si="22"/>
        <v>5</v>
      </c>
      <c r="L842" s="8">
        <f t="shared" si="23"/>
        <v>6</v>
      </c>
    </row>
    <row r="843" spans="1:12" x14ac:dyDescent="0.3">
      <c r="A843" s="10">
        <v>45464</v>
      </c>
      <c r="B843" s="11">
        <v>45464.75851925926</v>
      </c>
      <c r="C843" s="12">
        <f t="shared" si="18"/>
        <v>18</v>
      </c>
      <c r="D843" s="12" t="s">
        <v>4</v>
      </c>
      <c r="E843" s="12" t="s">
        <v>336</v>
      </c>
      <c r="F843" s="13">
        <v>23.02</v>
      </c>
      <c r="G843" s="12" t="s">
        <v>41</v>
      </c>
      <c r="H843" s="12" t="str">
        <f t="shared" si="19"/>
        <v>Night</v>
      </c>
      <c r="I843" s="12" t="str">
        <f t="shared" si="20"/>
        <v>Fri</v>
      </c>
      <c r="J843" s="12" t="str">
        <f t="shared" si="21"/>
        <v>Jun</v>
      </c>
      <c r="K843" s="12">
        <f t="shared" si="22"/>
        <v>5</v>
      </c>
      <c r="L843" s="12">
        <f t="shared" si="23"/>
        <v>6</v>
      </c>
    </row>
    <row r="844" spans="1:12" x14ac:dyDescent="0.3">
      <c r="A844" s="6">
        <v>45464</v>
      </c>
      <c r="B844" s="7">
        <v>45464.812808460651</v>
      </c>
      <c r="C844" s="8">
        <f t="shared" si="18"/>
        <v>19</v>
      </c>
      <c r="D844" s="8" t="s">
        <v>4</v>
      </c>
      <c r="E844" s="8" t="s">
        <v>25</v>
      </c>
      <c r="F844" s="9">
        <v>37.72</v>
      </c>
      <c r="G844" s="8" t="s">
        <v>13</v>
      </c>
      <c r="H844" s="8" t="str">
        <f t="shared" si="19"/>
        <v>Night</v>
      </c>
      <c r="I844" s="8" t="str">
        <f t="shared" si="20"/>
        <v>Fri</v>
      </c>
      <c r="J844" s="8" t="str">
        <f t="shared" si="21"/>
        <v>Jun</v>
      </c>
      <c r="K844" s="8">
        <f t="shared" si="22"/>
        <v>5</v>
      </c>
      <c r="L844" s="8">
        <f t="shared" si="23"/>
        <v>6</v>
      </c>
    </row>
    <row r="845" spans="1:12" x14ac:dyDescent="0.3">
      <c r="A845" s="10">
        <v>45464</v>
      </c>
      <c r="B845" s="11">
        <v>45464.824377326389</v>
      </c>
      <c r="C845" s="12">
        <f t="shared" si="18"/>
        <v>19</v>
      </c>
      <c r="D845" s="12" t="s">
        <v>4</v>
      </c>
      <c r="E845" s="12" t="s">
        <v>174</v>
      </c>
      <c r="F845" s="13">
        <v>37.72</v>
      </c>
      <c r="G845" s="12" t="s">
        <v>49</v>
      </c>
      <c r="H845" s="12" t="str">
        <f t="shared" si="19"/>
        <v>Night</v>
      </c>
      <c r="I845" s="12" t="str">
        <f t="shared" si="20"/>
        <v>Fri</v>
      </c>
      <c r="J845" s="12" t="str">
        <f t="shared" si="21"/>
        <v>Jun</v>
      </c>
      <c r="K845" s="12">
        <f t="shared" si="22"/>
        <v>5</v>
      </c>
      <c r="L845" s="12">
        <f t="shared" si="23"/>
        <v>6</v>
      </c>
    </row>
    <row r="846" spans="1:12" x14ac:dyDescent="0.3">
      <c r="A846" s="6">
        <v>45464</v>
      </c>
      <c r="B846" s="7">
        <v>45464.825077696762</v>
      </c>
      <c r="C846" s="8">
        <f t="shared" si="18"/>
        <v>19</v>
      </c>
      <c r="D846" s="8" t="s">
        <v>4</v>
      </c>
      <c r="E846" s="8" t="s">
        <v>174</v>
      </c>
      <c r="F846" s="9">
        <v>37.72</v>
      </c>
      <c r="G846" s="8" t="s">
        <v>49</v>
      </c>
      <c r="H846" s="8" t="str">
        <f t="shared" si="19"/>
        <v>Night</v>
      </c>
      <c r="I846" s="8" t="str">
        <f t="shared" si="20"/>
        <v>Fri</v>
      </c>
      <c r="J846" s="8" t="str">
        <f t="shared" si="21"/>
        <v>Jun</v>
      </c>
      <c r="K846" s="8">
        <f t="shared" si="22"/>
        <v>5</v>
      </c>
      <c r="L846" s="8">
        <f t="shared" si="23"/>
        <v>6</v>
      </c>
    </row>
    <row r="847" spans="1:12" x14ac:dyDescent="0.3">
      <c r="A847" s="10">
        <v>45464</v>
      </c>
      <c r="B847" s="11">
        <v>45464.826325289352</v>
      </c>
      <c r="C847" s="12">
        <f t="shared" si="18"/>
        <v>19</v>
      </c>
      <c r="D847" s="12" t="s">
        <v>4</v>
      </c>
      <c r="E847" s="12" t="s">
        <v>200</v>
      </c>
      <c r="F847" s="13">
        <v>37.72</v>
      </c>
      <c r="G847" s="12" t="s">
        <v>49</v>
      </c>
      <c r="H847" s="12" t="str">
        <f t="shared" si="19"/>
        <v>Night</v>
      </c>
      <c r="I847" s="12" t="str">
        <f t="shared" si="20"/>
        <v>Fri</v>
      </c>
      <c r="J847" s="12" t="str">
        <f t="shared" si="21"/>
        <v>Jun</v>
      </c>
      <c r="K847" s="12">
        <f t="shared" si="22"/>
        <v>5</v>
      </c>
      <c r="L847" s="12">
        <f t="shared" si="23"/>
        <v>6</v>
      </c>
    </row>
    <row r="848" spans="1:12" x14ac:dyDescent="0.3">
      <c r="A848" s="6">
        <v>45464</v>
      </c>
      <c r="B848" s="7">
        <v>45464.827085775461</v>
      </c>
      <c r="C848" s="8">
        <f t="shared" si="18"/>
        <v>19</v>
      </c>
      <c r="D848" s="8" t="s">
        <v>4</v>
      </c>
      <c r="E848" s="8" t="s">
        <v>200</v>
      </c>
      <c r="F848" s="9">
        <v>37.72</v>
      </c>
      <c r="G848" s="8" t="s">
        <v>49</v>
      </c>
      <c r="H848" s="8" t="str">
        <f t="shared" si="19"/>
        <v>Night</v>
      </c>
      <c r="I848" s="8" t="str">
        <f t="shared" si="20"/>
        <v>Fri</v>
      </c>
      <c r="J848" s="8" t="str">
        <f t="shared" si="21"/>
        <v>Jun</v>
      </c>
      <c r="K848" s="8">
        <f t="shared" si="22"/>
        <v>5</v>
      </c>
      <c r="L848" s="8">
        <f t="shared" si="23"/>
        <v>6</v>
      </c>
    </row>
    <row r="849" spans="1:12" x14ac:dyDescent="0.3">
      <c r="A849" s="10">
        <v>45464</v>
      </c>
      <c r="B849" s="11">
        <v>45464.827995081017</v>
      </c>
      <c r="C849" s="12">
        <f t="shared" si="18"/>
        <v>19</v>
      </c>
      <c r="D849" s="12" t="s">
        <v>4</v>
      </c>
      <c r="E849" s="12" t="s">
        <v>200</v>
      </c>
      <c r="F849" s="13">
        <v>27.92</v>
      </c>
      <c r="G849" s="12" t="s">
        <v>17</v>
      </c>
      <c r="H849" s="12" t="str">
        <f t="shared" si="19"/>
        <v>Night</v>
      </c>
      <c r="I849" s="12" t="str">
        <f t="shared" si="20"/>
        <v>Fri</v>
      </c>
      <c r="J849" s="12" t="str">
        <f t="shared" si="21"/>
        <v>Jun</v>
      </c>
      <c r="K849" s="12">
        <f t="shared" si="22"/>
        <v>5</v>
      </c>
      <c r="L849" s="12">
        <f t="shared" si="23"/>
        <v>6</v>
      </c>
    </row>
    <row r="850" spans="1:12" x14ac:dyDescent="0.3">
      <c r="A850" s="6">
        <v>45464</v>
      </c>
      <c r="B850" s="7">
        <v>45464.830290995371</v>
      </c>
      <c r="C850" s="8">
        <f t="shared" si="18"/>
        <v>19</v>
      </c>
      <c r="D850" s="8" t="s">
        <v>4</v>
      </c>
      <c r="E850" s="8" t="s">
        <v>331</v>
      </c>
      <c r="F850" s="9">
        <v>32.82</v>
      </c>
      <c r="G850" s="8" t="s">
        <v>20</v>
      </c>
      <c r="H850" s="8" t="str">
        <f t="shared" si="19"/>
        <v>Night</v>
      </c>
      <c r="I850" s="8" t="str">
        <f t="shared" si="20"/>
        <v>Fri</v>
      </c>
      <c r="J850" s="8" t="str">
        <f t="shared" si="21"/>
        <v>Jun</v>
      </c>
      <c r="K850" s="8">
        <f t="shared" si="22"/>
        <v>5</v>
      </c>
      <c r="L850" s="8">
        <f t="shared" si="23"/>
        <v>6</v>
      </c>
    </row>
    <row r="851" spans="1:12" x14ac:dyDescent="0.3">
      <c r="A851" s="10">
        <v>45465</v>
      </c>
      <c r="B851" s="11">
        <v>45465.360998530094</v>
      </c>
      <c r="C851" s="12">
        <f t="shared" si="18"/>
        <v>8</v>
      </c>
      <c r="D851" s="12" t="s">
        <v>4</v>
      </c>
      <c r="E851" s="12" t="s">
        <v>161</v>
      </c>
      <c r="F851" s="13">
        <v>27.92</v>
      </c>
      <c r="G851" s="12" t="s">
        <v>34</v>
      </c>
      <c r="H851" s="12" t="str">
        <f t="shared" si="19"/>
        <v>Morning</v>
      </c>
      <c r="I851" s="12" t="str">
        <f t="shared" si="20"/>
        <v>Sat</v>
      </c>
      <c r="J851" s="12" t="str">
        <f t="shared" si="21"/>
        <v>Jun</v>
      </c>
      <c r="K851" s="12">
        <f t="shared" si="22"/>
        <v>6</v>
      </c>
      <c r="L851" s="12">
        <f t="shared" si="23"/>
        <v>6</v>
      </c>
    </row>
    <row r="852" spans="1:12" x14ac:dyDescent="0.3">
      <c r="A852" s="6">
        <v>45465</v>
      </c>
      <c r="B852" s="7">
        <v>45465.401259016202</v>
      </c>
      <c r="C852" s="8">
        <f t="shared" si="18"/>
        <v>9</v>
      </c>
      <c r="D852" s="8" t="s">
        <v>4</v>
      </c>
      <c r="E852" s="8" t="s">
        <v>331</v>
      </c>
      <c r="F852" s="9">
        <v>32.82</v>
      </c>
      <c r="G852" s="8" t="s">
        <v>20</v>
      </c>
      <c r="H852" s="8" t="str">
        <f t="shared" si="19"/>
        <v>Morning</v>
      </c>
      <c r="I852" s="8" t="str">
        <f t="shared" si="20"/>
        <v>Sat</v>
      </c>
      <c r="J852" s="8" t="str">
        <f t="shared" si="21"/>
        <v>Jun</v>
      </c>
      <c r="K852" s="8">
        <f t="shared" si="22"/>
        <v>6</v>
      </c>
      <c r="L852" s="8">
        <f t="shared" si="23"/>
        <v>6</v>
      </c>
    </row>
    <row r="853" spans="1:12" x14ac:dyDescent="0.3">
      <c r="A853" s="10">
        <v>45465</v>
      </c>
      <c r="B853" s="11">
        <v>45465.53698542824</v>
      </c>
      <c r="C853" s="12">
        <f t="shared" si="18"/>
        <v>12</v>
      </c>
      <c r="D853" s="12" t="s">
        <v>4</v>
      </c>
      <c r="E853" s="12" t="s">
        <v>337</v>
      </c>
      <c r="F853" s="13">
        <v>32.82</v>
      </c>
      <c r="G853" s="12" t="s">
        <v>20</v>
      </c>
      <c r="H853" s="12" t="str">
        <f t="shared" si="19"/>
        <v>Afternoon</v>
      </c>
      <c r="I853" s="12" t="str">
        <f t="shared" si="20"/>
        <v>Sat</v>
      </c>
      <c r="J853" s="12" t="str">
        <f t="shared" si="21"/>
        <v>Jun</v>
      </c>
      <c r="K853" s="12">
        <f t="shared" si="22"/>
        <v>6</v>
      </c>
      <c r="L853" s="12">
        <f t="shared" si="23"/>
        <v>6</v>
      </c>
    </row>
    <row r="854" spans="1:12" x14ac:dyDescent="0.3">
      <c r="A854" s="6">
        <v>45465</v>
      </c>
      <c r="B854" s="7">
        <v>45465.650927511575</v>
      </c>
      <c r="C854" s="8">
        <f t="shared" si="18"/>
        <v>15</v>
      </c>
      <c r="D854" s="8" t="s">
        <v>4</v>
      </c>
      <c r="E854" s="8" t="s">
        <v>25</v>
      </c>
      <c r="F854" s="9">
        <v>37.72</v>
      </c>
      <c r="G854" s="8" t="s">
        <v>13</v>
      </c>
      <c r="H854" s="8" t="str">
        <f t="shared" si="19"/>
        <v>Afternoon</v>
      </c>
      <c r="I854" s="8" t="str">
        <f t="shared" si="20"/>
        <v>Sat</v>
      </c>
      <c r="J854" s="8" t="str">
        <f t="shared" si="21"/>
        <v>Jun</v>
      </c>
      <c r="K854" s="8">
        <f t="shared" si="22"/>
        <v>6</v>
      </c>
      <c r="L854" s="8">
        <f t="shared" si="23"/>
        <v>6</v>
      </c>
    </row>
    <row r="855" spans="1:12" x14ac:dyDescent="0.3">
      <c r="A855" s="10">
        <v>45465</v>
      </c>
      <c r="B855" s="11">
        <v>45465.923877291665</v>
      </c>
      <c r="C855" s="12">
        <f t="shared" si="18"/>
        <v>22</v>
      </c>
      <c r="D855" s="12" t="s">
        <v>4</v>
      </c>
      <c r="E855" s="12" t="s">
        <v>338</v>
      </c>
      <c r="F855" s="13">
        <v>37.72</v>
      </c>
      <c r="G855" s="12" t="s">
        <v>49</v>
      </c>
      <c r="H855" s="12" t="str">
        <f t="shared" si="19"/>
        <v>Night</v>
      </c>
      <c r="I855" s="12" t="str">
        <f t="shared" si="20"/>
        <v>Sat</v>
      </c>
      <c r="J855" s="12" t="str">
        <f t="shared" si="21"/>
        <v>Jun</v>
      </c>
      <c r="K855" s="12">
        <f t="shared" si="22"/>
        <v>6</v>
      </c>
      <c r="L855" s="12">
        <f t="shared" si="23"/>
        <v>6</v>
      </c>
    </row>
    <row r="856" spans="1:12" x14ac:dyDescent="0.3">
      <c r="A856" s="6">
        <v>45466</v>
      </c>
      <c r="B856" s="7">
        <v>45466.758349606484</v>
      </c>
      <c r="C856" s="8">
        <f t="shared" si="18"/>
        <v>18</v>
      </c>
      <c r="D856" s="8" t="s">
        <v>4</v>
      </c>
      <c r="E856" s="8" t="s">
        <v>29</v>
      </c>
      <c r="F856" s="9">
        <v>32.82</v>
      </c>
      <c r="G856" s="8" t="s">
        <v>20</v>
      </c>
      <c r="H856" s="8" t="str">
        <f t="shared" si="19"/>
        <v>Night</v>
      </c>
      <c r="I856" s="8" t="str">
        <f t="shared" si="20"/>
        <v>Sun</v>
      </c>
      <c r="J856" s="8" t="str">
        <f t="shared" si="21"/>
        <v>Jun</v>
      </c>
      <c r="K856" s="8">
        <f t="shared" si="22"/>
        <v>7</v>
      </c>
      <c r="L856" s="8">
        <f t="shared" si="23"/>
        <v>6</v>
      </c>
    </row>
    <row r="857" spans="1:12" x14ac:dyDescent="0.3">
      <c r="A857" s="10">
        <v>45466</v>
      </c>
      <c r="B857" s="11">
        <v>45466.759613865739</v>
      </c>
      <c r="C857" s="12">
        <f t="shared" si="18"/>
        <v>18</v>
      </c>
      <c r="D857" s="12" t="s">
        <v>4</v>
      </c>
      <c r="E857" s="12" t="s">
        <v>29</v>
      </c>
      <c r="F857" s="13">
        <v>32.82</v>
      </c>
      <c r="G857" s="12" t="s">
        <v>20</v>
      </c>
      <c r="H857" s="12" t="str">
        <f t="shared" si="19"/>
        <v>Night</v>
      </c>
      <c r="I857" s="12" t="str">
        <f t="shared" si="20"/>
        <v>Sun</v>
      </c>
      <c r="J857" s="12" t="str">
        <f t="shared" si="21"/>
        <v>Jun</v>
      </c>
      <c r="K857" s="12">
        <f t="shared" si="22"/>
        <v>7</v>
      </c>
      <c r="L857" s="12">
        <f t="shared" si="23"/>
        <v>6</v>
      </c>
    </row>
    <row r="858" spans="1:12" x14ac:dyDescent="0.3">
      <c r="A858" s="6">
        <v>45466</v>
      </c>
      <c r="B858" s="7">
        <v>45466.879710138892</v>
      </c>
      <c r="C858" s="8">
        <f t="shared" si="18"/>
        <v>21</v>
      </c>
      <c r="D858" s="8" t="s">
        <v>4</v>
      </c>
      <c r="E858" s="8" t="s">
        <v>339</v>
      </c>
      <c r="F858" s="9">
        <v>37.72</v>
      </c>
      <c r="G858" s="8" t="s">
        <v>49</v>
      </c>
      <c r="H858" s="8" t="str">
        <f t="shared" si="19"/>
        <v>Night</v>
      </c>
      <c r="I858" s="8" t="str">
        <f t="shared" si="20"/>
        <v>Sun</v>
      </c>
      <c r="J858" s="8" t="str">
        <f t="shared" si="21"/>
        <v>Jun</v>
      </c>
      <c r="K858" s="8">
        <f t="shared" si="22"/>
        <v>7</v>
      </c>
      <c r="L858" s="8">
        <f t="shared" si="23"/>
        <v>6</v>
      </c>
    </row>
    <row r="859" spans="1:12" x14ac:dyDescent="0.3">
      <c r="A859" s="10">
        <v>45466</v>
      </c>
      <c r="B859" s="11">
        <v>45466.89522943287</v>
      </c>
      <c r="C859" s="12">
        <f t="shared" si="18"/>
        <v>21</v>
      </c>
      <c r="D859" s="12" t="s">
        <v>4</v>
      </c>
      <c r="E859" s="12" t="s">
        <v>340</v>
      </c>
      <c r="F859" s="13">
        <v>37.72</v>
      </c>
      <c r="G859" s="12" t="s">
        <v>13</v>
      </c>
      <c r="H859" s="12" t="str">
        <f t="shared" si="19"/>
        <v>Night</v>
      </c>
      <c r="I859" s="12" t="str">
        <f t="shared" si="20"/>
        <v>Sun</v>
      </c>
      <c r="J859" s="12" t="str">
        <f t="shared" si="21"/>
        <v>Jun</v>
      </c>
      <c r="K859" s="12">
        <f t="shared" si="22"/>
        <v>7</v>
      </c>
      <c r="L859" s="12">
        <f t="shared" si="23"/>
        <v>6</v>
      </c>
    </row>
    <row r="860" spans="1:12" x14ac:dyDescent="0.3">
      <c r="A860" s="6">
        <v>45466</v>
      </c>
      <c r="B860" s="7">
        <v>45466.896254340281</v>
      </c>
      <c r="C860" s="8">
        <f t="shared" si="18"/>
        <v>21</v>
      </c>
      <c r="D860" s="8" t="s">
        <v>4</v>
      </c>
      <c r="E860" s="8" t="s">
        <v>340</v>
      </c>
      <c r="F860" s="9">
        <v>37.72</v>
      </c>
      <c r="G860" s="8" t="s">
        <v>49</v>
      </c>
      <c r="H860" s="8" t="str">
        <f t="shared" si="19"/>
        <v>Night</v>
      </c>
      <c r="I860" s="8" t="str">
        <f t="shared" si="20"/>
        <v>Sun</v>
      </c>
      <c r="J860" s="8" t="str">
        <f t="shared" si="21"/>
        <v>Jun</v>
      </c>
      <c r="K860" s="8">
        <f t="shared" si="22"/>
        <v>7</v>
      </c>
      <c r="L860" s="8">
        <f t="shared" si="23"/>
        <v>6</v>
      </c>
    </row>
    <row r="861" spans="1:12" x14ac:dyDescent="0.3">
      <c r="A861" s="10">
        <v>45467</v>
      </c>
      <c r="B861" s="11">
        <v>45467.489351145836</v>
      </c>
      <c r="C861" s="12">
        <f t="shared" si="18"/>
        <v>11</v>
      </c>
      <c r="D861" s="12" t="s">
        <v>4</v>
      </c>
      <c r="E861" s="12" t="s">
        <v>184</v>
      </c>
      <c r="F861" s="13">
        <v>32.82</v>
      </c>
      <c r="G861" s="12" t="s">
        <v>20</v>
      </c>
      <c r="H861" s="12" t="str">
        <f t="shared" si="19"/>
        <v>Morning</v>
      </c>
      <c r="I861" s="12" t="str">
        <f t="shared" si="20"/>
        <v>Mon</v>
      </c>
      <c r="J861" s="12" t="str">
        <f t="shared" si="21"/>
        <v>Jun</v>
      </c>
      <c r="K861" s="12">
        <f t="shared" si="22"/>
        <v>1</v>
      </c>
      <c r="L861" s="12">
        <f t="shared" si="23"/>
        <v>6</v>
      </c>
    </row>
    <row r="862" spans="1:12" x14ac:dyDescent="0.3">
      <c r="A862" s="6">
        <v>45467</v>
      </c>
      <c r="B862" s="7">
        <v>45467.492778287036</v>
      </c>
      <c r="C862" s="8">
        <f t="shared" si="18"/>
        <v>11</v>
      </c>
      <c r="D862" s="8" t="s">
        <v>4</v>
      </c>
      <c r="E862" s="8" t="s">
        <v>200</v>
      </c>
      <c r="F862" s="9">
        <v>37.72</v>
      </c>
      <c r="G862" s="8" t="s">
        <v>49</v>
      </c>
      <c r="H862" s="8" t="str">
        <f t="shared" si="19"/>
        <v>Morning</v>
      </c>
      <c r="I862" s="8" t="str">
        <f t="shared" si="20"/>
        <v>Mon</v>
      </c>
      <c r="J862" s="8" t="str">
        <f t="shared" si="21"/>
        <v>Jun</v>
      </c>
      <c r="K862" s="8">
        <f t="shared" si="22"/>
        <v>1</v>
      </c>
      <c r="L862" s="8">
        <f t="shared" si="23"/>
        <v>6</v>
      </c>
    </row>
    <row r="863" spans="1:12" x14ac:dyDescent="0.3">
      <c r="A863" s="10">
        <v>45467</v>
      </c>
      <c r="B863" s="11">
        <v>45467.49356574074</v>
      </c>
      <c r="C863" s="12">
        <f t="shared" si="18"/>
        <v>11</v>
      </c>
      <c r="D863" s="12" t="s">
        <v>4</v>
      </c>
      <c r="E863" s="12" t="s">
        <v>200</v>
      </c>
      <c r="F863" s="13">
        <v>37.72</v>
      </c>
      <c r="G863" s="12" t="s">
        <v>49</v>
      </c>
      <c r="H863" s="12" t="str">
        <f t="shared" si="19"/>
        <v>Morning</v>
      </c>
      <c r="I863" s="12" t="str">
        <f t="shared" si="20"/>
        <v>Mon</v>
      </c>
      <c r="J863" s="12" t="str">
        <f t="shared" si="21"/>
        <v>Jun</v>
      </c>
      <c r="K863" s="12">
        <f t="shared" si="22"/>
        <v>1</v>
      </c>
      <c r="L863" s="12">
        <f t="shared" si="23"/>
        <v>6</v>
      </c>
    </row>
    <row r="864" spans="1:12" x14ac:dyDescent="0.3">
      <c r="A864" s="6">
        <v>45467</v>
      </c>
      <c r="B864" s="7">
        <v>45467.626724479167</v>
      </c>
      <c r="C864" s="8">
        <f t="shared" si="18"/>
        <v>15</v>
      </c>
      <c r="D864" s="8" t="s">
        <v>4</v>
      </c>
      <c r="E864" s="8" t="s">
        <v>341</v>
      </c>
      <c r="F864" s="9">
        <v>37.72</v>
      </c>
      <c r="G864" s="8" t="s">
        <v>13</v>
      </c>
      <c r="H864" s="8" t="str">
        <f t="shared" si="19"/>
        <v>Afternoon</v>
      </c>
      <c r="I864" s="8" t="str">
        <f t="shared" si="20"/>
        <v>Mon</v>
      </c>
      <c r="J864" s="8" t="str">
        <f t="shared" si="21"/>
        <v>Jun</v>
      </c>
      <c r="K864" s="8">
        <f t="shared" si="22"/>
        <v>1</v>
      </c>
      <c r="L864" s="8">
        <f t="shared" si="23"/>
        <v>6</v>
      </c>
    </row>
    <row r="865" spans="1:12" x14ac:dyDescent="0.3">
      <c r="A865" s="10">
        <v>45467</v>
      </c>
      <c r="B865" s="11">
        <v>45467.698617743059</v>
      </c>
      <c r="C865" s="12">
        <f t="shared" si="18"/>
        <v>16</v>
      </c>
      <c r="D865" s="12" t="s">
        <v>4</v>
      </c>
      <c r="E865" s="12" t="s">
        <v>223</v>
      </c>
      <c r="F865" s="13">
        <v>37.72</v>
      </c>
      <c r="G865" s="12" t="s">
        <v>49</v>
      </c>
      <c r="H865" s="12" t="str">
        <f t="shared" si="19"/>
        <v>Afternoon</v>
      </c>
      <c r="I865" s="12" t="str">
        <f t="shared" si="20"/>
        <v>Mon</v>
      </c>
      <c r="J865" s="12" t="str">
        <f t="shared" si="21"/>
        <v>Jun</v>
      </c>
      <c r="K865" s="12">
        <f t="shared" si="22"/>
        <v>1</v>
      </c>
      <c r="L865" s="12">
        <f t="shared" si="23"/>
        <v>6</v>
      </c>
    </row>
    <row r="866" spans="1:12" x14ac:dyDescent="0.3">
      <c r="A866" s="6">
        <v>45467</v>
      </c>
      <c r="B866" s="7">
        <v>45467.699310289354</v>
      </c>
      <c r="C866" s="8">
        <f t="shared" si="18"/>
        <v>16</v>
      </c>
      <c r="D866" s="8" t="s">
        <v>4</v>
      </c>
      <c r="E866" s="8" t="s">
        <v>223</v>
      </c>
      <c r="F866" s="9">
        <v>37.72</v>
      </c>
      <c r="G866" s="8" t="s">
        <v>49</v>
      </c>
      <c r="H866" s="8" t="str">
        <f t="shared" si="19"/>
        <v>Afternoon</v>
      </c>
      <c r="I866" s="8" t="str">
        <f t="shared" si="20"/>
        <v>Mon</v>
      </c>
      <c r="J866" s="8" t="str">
        <f t="shared" si="21"/>
        <v>Jun</v>
      </c>
      <c r="K866" s="8">
        <f t="shared" si="22"/>
        <v>1</v>
      </c>
      <c r="L866" s="8">
        <f t="shared" si="23"/>
        <v>6</v>
      </c>
    </row>
    <row r="867" spans="1:12" x14ac:dyDescent="0.3">
      <c r="A867" s="10">
        <v>45468</v>
      </c>
      <c r="B867" s="11">
        <v>45468.346808379632</v>
      </c>
      <c r="C867" s="12">
        <f t="shared" si="18"/>
        <v>8</v>
      </c>
      <c r="D867" s="12" t="s">
        <v>4</v>
      </c>
      <c r="E867" s="12" t="s">
        <v>342</v>
      </c>
      <c r="F867" s="13">
        <v>37.72</v>
      </c>
      <c r="G867" s="12" t="s">
        <v>13</v>
      </c>
      <c r="H867" s="12" t="str">
        <f t="shared" si="19"/>
        <v>Morning</v>
      </c>
      <c r="I867" s="12" t="str">
        <f t="shared" si="20"/>
        <v>Tue</v>
      </c>
      <c r="J867" s="12" t="str">
        <f t="shared" si="21"/>
        <v>Jun</v>
      </c>
      <c r="K867" s="12">
        <f t="shared" si="22"/>
        <v>2</v>
      </c>
      <c r="L867" s="12">
        <f t="shared" si="23"/>
        <v>6</v>
      </c>
    </row>
    <row r="868" spans="1:12" x14ac:dyDescent="0.3">
      <c r="A868" s="6">
        <v>45468</v>
      </c>
      <c r="B868" s="7">
        <v>45468.436416759258</v>
      </c>
      <c r="C868" s="8">
        <f t="shared" si="18"/>
        <v>10</v>
      </c>
      <c r="D868" s="8" t="s">
        <v>4</v>
      </c>
      <c r="E868" s="8" t="s">
        <v>29</v>
      </c>
      <c r="F868" s="9">
        <v>32.82</v>
      </c>
      <c r="G868" s="8" t="s">
        <v>20</v>
      </c>
      <c r="H868" s="8" t="str">
        <f t="shared" si="19"/>
        <v>Morning</v>
      </c>
      <c r="I868" s="8" t="str">
        <f t="shared" si="20"/>
        <v>Tue</v>
      </c>
      <c r="J868" s="8" t="str">
        <f t="shared" si="21"/>
        <v>Jun</v>
      </c>
      <c r="K868" s="8">
        <f t="shared" si="22"/>
        <v>2</v>
      </c>
      <c r="L868" s="8">
        <f t="shared" si="23"/>
        <v>6</v>
      </c>
    </row>
    <row r="869" spans="1:12" x14ac:dyDescent="0.3">
      <c r="A869" s="10">
        <v>45468</v>
      </c>
      <c r="B869" s="11">
        <v>45468.437296412034</v>
      </c>
      <c r="C869" s="12">
        <f t="shared" si="18"/>
        <v>10</v>
      </c>
      <c r="D869" s="12" t="s">
        <v>4</v>
      </c>
      <c r="E869" s="12" t="s">
        <v>60</v>
      </c>
      <c r="F869" s="13">
        <v>32.82</v>
      </c>
      <c r="G869" s="12" t="s">
        <v>20</v>
      </c>
      <c r="H869" s="12" t="str">
        <f t="shared" si="19"/>
        <v>Morning</v>
      </c>
      <c r="I869" s="12" t="str">
        <f t="shared" si="20"/>
        <v>Tue</v>
      </c>
      <c r="J869" s="12" t="str">
        <f t="shared" si="21"/>
        <v>Jun</v>
      </c>
      <c r="K869" s="12">
        <f t="shared" si="22"/>
        <v>2</v>
      </c>
      <c r="L869" s="12">
        <f t="shared" si="23"/>
        <v>6</v>
      </c>
    </row>
    <row r="870" spans="1:12" x14ac:dyDescent="0.3">
      <c r="A870" s="6">
        <v>45468</v>
      </c>
      <c r="B870" s="7">
        <v>45468.482549722219</v>
      </c>
      <c r="C870" s="8">
        <f t="shared" si="18"/>
        <v>11</v>
      </c>
      <c r="D870" s="8" t="s">
        <v>4</v>
      </c>
      <c r="E870" s="8" t="s">
        <v>223</v>
      </c>
      <c r="F870" s="9">
        <v>37.72</v>
      </c>
      <c r="G870" s="8" t="s">
        <v>49</v>
      </c>
      <c r="H870" s="8" t="str">
        <f t="shared" si="19"/>
        <v>Morning</v>
      </c>
      <c r="I870" s="8" t="str">
        <f t="shared" si="20"/>
        <v>Tue</v>
      </c>
      <c r="J870" s="8" t="str">
        <f t="shared" si="21"/>
        <v>Jun</v>
      </c>
      <c r="K870" s="8">
        <f t="shared" si="22"/>
        <v>2</v>
      </c>
      <c r="L870" s="8">
        <f t="shared" si="23"/>
        <v>6</v>
      </c>
    </row>
    <row r="871" spans="1:12" x14ac:dyDescent="0.3">
      <c r="A871" s="10">
        <v>45469</v>
      </c>
      <c r="B871" s="11">
        <v>45469.397936412039</v>
      </c>
      <c r="C871" s="12">
        <f t="shared" si="18"/>
        <v>9</v>
      </c>
      <c r="D871" s="12" t="s">
        <v>4</v>
      </c>
      <c r="E871" s="12" t="s">
        <v>343</v>
      </c>
      <c r="F871" s="13">
        <v>37.72</v>
      </c>
      <c r="G871" s="12" t="s">
        <v>13</v>
      </c>
      <c r="H871" s="12" t="str">
        <f t="shared" si="19"/>
        <v>Morning</v>
      </c>
      <c r="I871" s="12" t="str">
        <f t="shared" si="20"/>
        <v>Wed</v>
      </c>
      <c r="J871" s="12" t="str">
        <f t="shared" si="21"/>
        <v>Jun</v>
      </c>
      <c r="K871" s="12">
        <f t="shared" si="22"/>
        <v>3</v>
      </c>
      <c r="L871" s="12">
        <f t="shared" si="23"/>
        <v>6</v>
      </c>
    </row>
    <row r="872" spans="1:12" x14ac:dyDescent="0.3">
      <c r="A872" s="6">
        <v>45469</v>
      </c>
      <c r="B872" s="7">
        <v>45469.689229780095</v>
      </c>
      <c r="C872" s="8">
        <f t="shared" si="18"/>
        <v>16</v>
      </c>
      <c r="D872" s="8" t="s">
        <v>4</v>
      </c>
      <c r="E872" s="8" t="s">
        <v>344</v>
      </c>
      <c r="F872" s="9">
        <v>23.02</v>
      </c>
      <c r="G872" s="8" t="s">
        <v>41</v>
      </c>
      <c r="H872" s="8" t="str">
        <f t="shared" si="19"/>
        <v>Afternoon</v>
      </c>
      <c r="I872" s="8" t="str">
        <f t="shared" si="20"/>
        <v>Wed</v>
      </c>
      <c r="J872" s="8" t="str">
        <f t="shared" si="21"/>
        <v>Jun</v>
      </c>
      <c r="K872" s="8">
        <f t="shared" si="22"/>
        <v>3</v>
      </c>
      <c r="L872" s="8">
        <f t="shared" si="23"/>
        <v>6</v>
      </c>
    </row>
    <row r="873" spans="1:12" x14ac:dyDescent="0.3">
      <c r="A873" s="10">
        <v>45469</v>
      </c>
      <c r="B873" s="11">
        <v>45469.690296377317</v>
      </c>
      <c r="C873" s="12">
        <f t="shared" si="18"/>
        <v>16</v>
      </c>
      <c r="D873" s="12" t="s">
        <v>4</v>
      </c>
      <c r="E873" s="12" t="s">
        <v>345</v>
      </c>
      <c r="F873" s="13">
        <v>27.92</v>
      </c>
      <c r="G873" s="12" t="s">
        <v>17</v>
      </c>
      <c r="H873" s="12" t="str">
        <f t="shared" si="19"/>
        <v>Afternoon</v>
      </c>
      <c r="I873" s="12" t="str">
        <f t="shared" si="20"/>
        <v>Wed</v>
      </c>
      <c r="J873" s="12" t="str">
        <f t="shared" si="21"/>
        <v>Jun</v>
      </c>
      <c r="K873" s="12">
        <f t="shared" si="22"/>
        <v>3</v>
      </c>
      <c r="L873" s="12">
        <f t="shared" si="23"/>
        <v>6</v>
      </c>
    </row>
    <row r="874" spans="1:12" x14ac:dyDescent="0.3">
      <c r="A874" s="6">
        <v>45469</v>
      </c>
      <c r="B874" s="7">
        <v>45469.890200185182</v>
      </c>
      <c r="C874" s="8">
        <f t="shared" si="18"/>
        <v>21</v>
      </c>
      <c r="D874" s="8" t="s">
        <v>4</v>
      </c>
      <c r="E874" s="8" t="s">
        <v>25</v>
      </c>
      <c r="F874" s="9">
        <v>37.72</v>
      </c>
      <c r="G874" s="8" t="s">
        <v>13</v>
      </c>
      <c r="H874" s="8" t="str">
        <f t="shared" si="19"/>
        <v>Night</v>
      </c>
      <c r="I874" s="8" t="str">
        <f t="shared" si="20"/>
        <v>Wed</v>
      </c>
      <c r="J874" s="8" t="str">
        <f t="shared" si="21"/>
        <v>Jun</v>
      </c>
      <c r="K874" s="8">
        <f t="shared" si="22"/>
        <v>3</v>
      </c>
      <c r="L874" s="8">
        <f t="shared" si="23"/>
        <v>6</v>
      </c>
    </row>
    <row r="875" spans="1:12" x14ac:dyDescent="0.3">
      <c r="A875" s="10">
        <v>45469</v>
      </c>
      <c r="B875" s="11">
        <v>45469.893759340281</v>
      </c>
      <c r="C875" s="12">
        <f t="shared" si="18"/>
        <v>21</v>
      </c>
      <c r="D875" s="12" t="s">
        <v>4</v>
      </c>
      <c r="E875" s="12" t="s">
        <v>25</v>
      </c>
      <c r="F875" s="13">
        <v>37.72</v>
      </c>
      <c r="G875" s="12" t="s">
        <v>49</v>
      </c>
      <c r="H875" s="12" t="str">
        <f t="shared" si="19"/>
        <v>Night</v>
      </c>
      <c r="I875" s="12" t="str">
        <f t="shared" si="20"/>
        <v>Wed</v>
      </c>
      <c r="J875" s="12" t="str">
        <f t="shared" si="21"/>
        <v>Jun</v>
      </c>
      <c r="K875" s="12">
        <f t="shared" si="22"/>
        <v>3</v>
      </c>
      <c r="L875" s="12">
        <f t="shared" si="23"/>
        <v>6</v>
      </c>
    </row>
    <row r="876" spans="1:12" x14ac:dyDescent="0.3">
      <c r="A876" s="6">
        <v>45469</v>
      </c>
      <c r="B876" s="7">
        <v>45469.894613032404</v>
      </c>
      <c r="C876" s="8">
        <f t="shared" si="18"/>
        <v>21</v>
      </c>
      <c r="D876" s="8" t="s">
        <v>4</v>
      </c>
      <c r="E876" s="8" t="s">
        <v>226</v>
      </c>
      <c r="F876" s="9">
        <v>32.82</v>
      </c>
      <c r="G876" s="8" t="s">
        <v>20</v>
      </c>
      <c r="H876" s="8" t="str">
        <f t="shared" si="19"/>
        <v>Night</v>
      </c>
      <c r="I876" s="8" t="str">
        <f t="shared" si="20"/>
        <v>Wed</v>
      </c>
      <c r="J876" s="8" t="str">
        <f t="shared" si="21"/>
        <v>Jun</v>
      </c>
      <c r="K876" s="8">
        <f t="shared" si="22"/>
        <v>3</v>
      </c>
      <c r="L876" s="8">
        <f t="shared" si="23"/>
        <v>6</v>
      </c>
    </row>
    <row r="877" spans="1:12" x14ac:dyDescent="0.3">
      <c r="A877" s="10">
        <v>45470</v>
      </c>
      <c r="B877" s="11">
        <v>45470.385916354164</v>
      </c>
      <c r="C877" s="12">
        <f t="shared" si="18"/>
        <v>9</v>
      </c>
      <c r="D877" s="12" t="s">
        <v>4</v>
      </c>
      <c r="E877" s="12" t="s">
        <v>346</v>
      </c>
      <c r="F877" s="13">
        <v>32.82</v>
      </c>
      <c r="G877" s="12" t="s">
        <v>20</v>
      </c>
      <c r="H877" s="12" t="str">
        <f t="shared" si="19"/>
        <v>Morning</v>
      </c>
      <c r="I877" s="12" t="str">
        <f t="shared" si="20"/>
        <v>Thu</v>
      </c>
      <c r="J877" s="12" t="str">
        <f t="shared" si="21"/>
        <v>Jun</v>
      </c>
      <c r="K877" s="12">
        <f t="shared" si="22"/>
        <v>4</v>
      </c>
      <c r="L877" s="12">
        <f t="shared" si="23"/>
        <v>6</v>
      </c>
    </row>
    <row r="878" spans="1:12" x14ac:dyDescent="0.3">
      <c r="A878" s="6">
        <v>45470</v>
      </c>
      <c r="B878" s="7">
        <v>45470.674861111111</v>
      </c>
      <c r="C878" s="8">
        <f t="shared" si="18"/>
        <v>16</v>
      </c>
      <c r="D878" s="8" t="s">
        <v>4</v>
      </c>
      <c r="E878" s="8" t="s">
        <v>347</v>
      </c>
      <c r="F878" s="9">
        <v>27.92</v>
      </c>
      <c r="G878" s="8" t="s">
        <v>34</v>
      </c>
      <c r="H878" s="8" t="str">
        <f t="shared" si="19"/>
        <v>Afternoon</v>
      </c>
      <c r="I878" s="8" t="str">
        <f t="shared" si="20"/>
        <v>Thu</v>
      </c>
      <c r="J878" s="8" t="str">
        <f t="shared" si="21"/>
        <v>Jun</v>
      </c>
      <c r="K878" s="8">
        <f t="shared" si="22"/>
        <v>4</v>
      </c>
      <c r="L878" s="8">
        <f t="shared" si="23"/>
        <v>6</v>
      </c>
    </row>
    <row r="879" spans="1:12" x14ac:dyDescent="0.3">
      <c r="A879" s="10">
        <v>45470</v>
      </c>
      <c r="B879" s="11">
        <v>45470.905594583332</v>
      </c>
      <c r="C879" s="12">
        <f t="shared" si="18"/>
        <v>21</v>
      </c>
      <c r="D879" s="12" t="s">
        <v>4</v>
      </c>
      <c r="E879" s="12" t="s">
        <v>348</v>
      </c>
      <c r="F879" s="13">
        <v>32.82</v>
      </c>
      <c r="G879" s="12" t="s">
        <v>20</v>
      </c>
      <c r="H879" s="12" t="str">
        <f t="shared" si="19"/>
        <v>Night</v>
      </c>
      <c r="I879" s="12" t="str">
        <f t="shared" si="20"/>
        <v>Thu</v>
      </c>
      <c r="J879" s="12" t="str">
        <f t="shared" si="21"/>
        <v>Jun</v>
      </c>
      <c r="K879" s="12">
        <f t="shared" si="22"/>
        <v>4</v>
      </c>
      <c r="L879" s="12">
        <f t="shared" si="23"/>
        <v>6</v>
      </c>
    </row>
    <row r="880" spans="1:12" x14ac:dyDescent="0.3">
      <c r="A880" s="6">
        <v>45470</v>
      </c>
      <c r="B880" s="7">
        <v>45470.910088159719</v>
      </c>
      <c r="C880" s="8">
        <f t="shared" si="18"/>
        <v>21</v>
      </c>
      <c r="D880" s="8" t="s">
        <v>4</v>
      </c>
      <c r="E880" s="8" t="s">
        <v>349</v>
      </c>
      <c r="F880" s="9">
        <v>37.72</v>
      </c>
      <c r="G880" s="8" t="s">
        <v>49</v>
      </c>
      <c r="H880" s="8" t="str">
        <f t="shared" si="19"/>
        <v>Night</v>
      </c>
      <c r="I880" s="8" t="str">
        <f t="shared" si="20"/>
        <v>Thu</v>
      </c>
      <c r="J880" s="8" t="str">
        <f t="shared" si="21"/>
        <v>Jun</v>
      </c>
      <c r="K880" s="8">
        <f t="shared" si="22"/>
        <v>4</v>
      </c>
      <c r="L880" s="8">
        <f t="shared" si="23"/>
        <v>6</v>
      </c>
    </row>
    <row r="881" spans="1:12" x14ac:dyDescent="0.3">
      <c r="A881" s="10">
        <v>45471</v>
      </c>
      <c r="B881" s="11">
        <v>45471.339294490739</v>
      </c>
      <c r="C881" s="12">
        <f t="shared" si="18"/>
        <v>8</v>
      </c>
      <c r="D881" s="12" t="s">
        <v>4</v>
      </c>
      <c r="E881" s="12" t="s">
        <v>161</v>
      </c>
      <c r="F881" s="13">
        <v>27.92</v>
      </c>
      <c r="G881" s="12" t="s">
        <v>34</v>
      </c>
      <c r="H881" s="12" t="str">
        <f t="shared" si="19"/>
        <v>Morning</v>
      </c>
      <c r="I881" s="12" t="str">
        <f t="shared" si="20"/>
        <v>Fri</v>
      </c>
      <c r="J881" s="12" t="str">
        <f t="shared" si="21"/>
        <v>Jun</v>
      </c>
      <c r="K881" s="12">
        <f t="shared" si="22"/>
        <v>5</v>
      </c>
      <c r="L881" s="12">
        <f t="shared" si="23"/>
        <v>6</v>
      </c>
    </row>
    <row r="882" spans="1:12" x14ac:dyDescent="0.3">
      <c r="A882" s="6">
        <v>45471</v>
      </c>
      <c r="B882" s="7">
        <v>45471.744374918984</v>
      </c>
      <c r="C882" s="8">
        <f t="shared" si="18"/>
        <v>17</v>
      </c>
      <c r="D882" s="8" t="s">
        <v>4</v>
      </c>
      <c r="E882" s="8" t="s">
        <v>294</v>
      </c>
      <c r="F882" s="9">
        <v>23.02</v>
      </c>
      <c r="G882" s="8" t="s">
        <v>41</v>
      </c>
      <c r="H882" s="8" t="str">
        <f t="shared" si="19"/>
        <v>Night</v>
      </c>
      <c r="I882" s="8" t="str">
        <f t="shared" si="20"/>
        <v>Fri</v>
      </c>
      <c r="J882" s="8" t="str">
        <f t="shared" si="21"/>
        <v>Jun</v>
      </c>
      <c r="K882" s="8">
        <f t="shared" si="22"/>
        <v>5</v>
      </c>
      <c r="L882" s="8">
        <f t="shared" si="23"/>
        <v>6</v>
      </c>
    </row>
    <row r="883" spans="1:12" x14ac:dyDescent="0.3">
      <c r="A883" s="10">
        <v>45471</v>
      </c>
      <c r="B883" s="11">
        <v>45471.910363136572</v>
      </c>
      <c r="C883" s="12">
        <f t="shared" si="18"/>
        <v>21</v>
      </c>
      <c r="D883" s="12" t="s">
        <v>4</v>
      </c>
      <c r="E883" s="12" t="s">
        <v>350</v>
      </c>
      <c r="F883" s="13">
        <v>32.82</v>
      </c>
      <c r="G883" s="12" t="s">
        <v>20</v>
      </c>
      <c r="H883" s="12" t="str">
        <f t="shared" si="19"/>
        <v>Night</v>
      </c>
      <c r="I883" s="12" t="str">
        <f t="shared" si="20"/>
        <v>Fri</v>
      </c>
      <c r="J883" s="12" t="str">
        <f t="shared" si="21"/>
        <v>Jun</v>
      </c>
      <c r="K883" s="12">
        <f t="shared" si="22"/>
        <v>5</v>
      </c>
      <c r="L883" s="12">
        <f t="shared" si="23"/>
        <v>6</v>
      </c>
    </row>
    <row r="884" spans="1:12" x14ac:dyDescent="0.3">
      <c r="A884" s="6">
        <v>45471</v>
      </c>
      <c r="B884" s="7">
        <v>45471.911132719906</v>
      </c>
      <c r="C884" s="8">
        <f t="shared" si="18"/>
        <v>21</v>
      </c>
      <c r="D884" s="8" t="s">
        <v>4</v>
      </c>
      <c r="E884" s="8" t="s">
        <v>351</v>
      </c>
      <c r="F884" s="9">
        <v>37.72</v>
      </c>
      <c r="G884" s="8" t="s">
        <v>13</v>
      </c>
      <c r="H884" s="8" t="str">
        <f t="shared" si="19"/>
        <v>Night</v>
      </c>
      <c r="I884" s="8" t="str">
        <f t="shared" si="20"/>
        <v>Fri</v>
      </c>
      <c r="J884" s="8" t="str">
        <f t="shared" si="21"/>
        <v>Jun</v>
      </c>
      <c r="K884" s="8">
        <f t="shared" si="22"/>
        <v>5</v>
      </c>
      <c r="L884" s="8">
        <f t="shared" si="23"/>
        <v>6</v>
      </c>
    </row>
    <row r="885" spans="1:12" x14ac:dyDescent="0.3">
      <c r="A885" s="10">
        <v>45471</v>
      </c>
      <c r="B885" s="11">
        <v>45471.936342314817</v>
      </c>
      <c r="C885" s="12">
        <f t="shared" si="18"/>
        <v>22</v>
      </c>
      <c r="D885" s="12" t="s">
        <v>4</v>
      </c>
      <c r="E885" s="12" t="s">
        <v>352</v>
      </c>
      <c r="F885" s="13">
        <v>37.72</v>
      </c>
      <c r="G885" s="12" t="s">
        <v>49</v>
      </c>
      <c r="H885" s="12" t="str">
        <f t="shared" si="19"/>
        <v>Night</v>
      </c>
      <c r="I885" s="12" t="str">
        <f t="shared" si="20"/>
        <v>Fri</v>
      </c>
      <c r="J885" s="12" t="str">
        <f t="shared" si="21"/>
        <v>Jun</v>
      </c>
      <c r="K885" s="12">
        <f t="shared" si="22"/>
        <v>5</v>
      </c>
      <c r="L885" s="12">
        <f t="shared" si="23"/>
        <v>6</v>
      </c>
    </row>
    <row r="886" spans="1:12" x14ac:dyDescent="0.3">
      <c r="A886" s="6">
        <v>45472</v>
      </c>
      <c r="B886" s="7">
        <v>45472.407758148147</v>
      </c>
      <c r="C886" s="8">
        <f t="shared" si="18"/>
        <v>9</v>
      </c>
      <c r="D886" s="8" t="s">
        <v>4</v>
      </c>
      <c r="E886" s="8" t="s">
        <v>117</v>
      </c>
      <c r="F886" s="9">
        <v>32.82</v>
      </c>
      <c r="G886" s="8" t="s">
        <v>20</v>
      </c>
      <c r="H886" s="8" t="str">
        <f t="shared" si="19"/>
        <v>Morning</v>
      </c>
      <c r="I886" s="8" t="str">
        <f t="shared" si="20"/>
        <v>Sat</v>
      </c>
      <c r="J886" s="8" t="str">
        <f t="shared" si="21"/>
        <v>Jun</v>
      </c>
      <c r="K886" s="8">
        <f t="shared" si="22"/>
        <v>6</v>
      </c>
      <c r="L886" s="8">
        <f t="shared" si="23"/>
        <v>6</v>
      </c>
    </row>
    <row r="887" spans="1:12" x14ac:dyDescent="0.3">
      <c r="A887" s="10">
        <v>45472</v>
      </c>
      <c r="B887" s="11">
        <v>45472.486337754628</v>
      </c>
      <c r="C887" s="12">
        <f t="shared" si="18"/>
        <v>11</v>
      </c>
      <c r="D887" s="12" t="s">
        <v>4</v>
      </c>
      <c r="E887" s="12" t="s">
        <v>353</v>
      </c>
      <c r="F887" s="13">
        <v>32.82</v>
      </c>
      <c r="G887" s="12" t="s">
        <v>20</v>
      </c>
      <c r="H887" s="12" t="str">
        <f t="shared" si="19"/>
        <v>Morning</v>
      </c>
      <c r="I887" s="12" t="str">
        <f t="shared" si="20"/>
        <v>Sat</v>
      </c>
      <c r="J887" s="12" t="str">
        <f t="shared" si="21"/>
        <v>Jun</v>
      </c>
      <c r="K887" s="12">
        <f t="shared" si="22"/>
        <v>6</v>
      </c>
      <c r="L887" s="12">
        <f t="shared" si="23"/>
        <v>6</v>
      </c>
    </row>
    <row r="888" spans="1:12" x14ac:dyDescent="0.3">
      <c r="A888" s="6">
        <v>45472</v>
      </c>
      <c r="B888" s="7">
        <v>45472.487113530093</v>
      </c>
      <c r="C888" s="8">
        <f t="shared" si="18"/>
        <v>11</v>
      </c>
      <c r="D888" s="8" t="s">
        <v>4</v>
      </c>
      <c r="E888" s="8" t="s">
        <v>353</v>
      </c>
      <c r="F888" s="9">
        <v>32.82</v>
      </c>
      <c r="G888" s="8" t="s">
        <v>20</v>
      </c>
      <c r="H888" s="8" t="str">
        <f t="shared" si="19"/>
        <v>Morning</v>
      </c>
      <c r="I888" s="8" t="str">
        <f t="shared" si="20"/>
        <v>Sat</v>
      </c>
      <c r="J888" s="8" t="str">
        <f t="shared" si="21"/>
        <v>Jun</v>
      </c>
      <c r="K888" s="8">
        <f t="shared" si="22"/>
        <v>6</v>
      </c>
      <c r="L888" s="8">
        <f t="shared" si="23"/>
        <v>6</v>
      </c>
    </row>
    <row r="889" spans="1:12" x14ac:dyDescent="0.3">
      <c r="A889" s="10">
        <v>45472</v>
      </c>
      <c r="B889" s="11">
        <v>45472.521115254633</v>
      </c>
      <c r="C889" s="12">
        <f t="shared" si="18"/>
        <v>12</v>
      </c>
      <c r="D889" s="12" t="s">
        <v>4</v>
      </c>
      <c r="E889" s="12" t="s">
        <v>354</v>
      </c>
      <c r="F889" s="13">
        <v>37.72</v>
      </c>
      <c r="G889" s="12" t="s">
        <v>49</v>
      </c>
      <c r="H889" s="12" t="str">
        <f t="shared" si="19"/>
        <v>Afternoon</v>
      </c>
      <c r="I889" s="12" t="str">
        <f t="shared" si="20"/>
        <v>Sat</v>
      </c>
      <c r="J889" s="12" t="str">
        <f t="shared" si="21"/>
        <v>Jun</v>
      </c>
      <c r="K889" s="12">
        <f t="shared" si="22"/>
        <v>6</v>
      </c>
      <c r="L889" s="12">
        <f t="shared" si="23"/>
        <v>6</v>
      </c>
    </row>
    <row r="890" spans="1:12" x14ac:dyDescent="0.3">
      <c r="A890" s="6">
        <v>45472</v>
      </c>
      <c r="B890" s="7">
        <v>45472.522020625001</v>
      </c>
      <c r="C890" s="8">
        <f t="shared" si="18"/>
        <v>12</v>
      </c>
      <c r="D890" s="8" t="s">
        <v>4</v>
      </c>
      <c r="E890" s="8" t="s">
        <v>354</v>
      </c>
      <c r="F890" s="9">
        <v>37.72</v>
      </c>
      <c r="G890" s="8" t="s">
        <v>49</v>
      </c>
      <c r="H890" s="8" t="str">
        <f t="shared" si="19"/>
        <v>Afternoon</v>
      </c>
      <c r="I890" s="8" t="str">
        <f t="shared" si="20"/>
        <v>Sat</v>
      </c>
      <c r="J890" s="8" t="str">
        <f t="shared" si="21"/>
        <v>Jun</v>
      </c>
      <c r="K890" s="8">
        <f t="shared" si="22"/>
        <v>6</v>
      </c>
      <c r="L890" s="8">
        <f t="shared" si="23"/>
        <v>6</v>
      </c>
    </row>
    <row r="891" spans="1:12" x14ac:dyDescent="0.3">
      <c r="A891" s="10">
        <v>45472</v>
      </c>
      <c r="B891" s="11">
        <v>45472.724809988424</v>
      </c>
      <c r="C891" s="12">
        <f t="shared" si="18"/>
        <v>17</v>
      </c>
      <c r="D891" s="12" t="s">
        <v>4</v>
      </c>
      <c r="E891" s="12" t="s">
        <v>355</v>
      </c>
      <c r="F891" s="13">
        <v>37.72</v>
      </c>
      <c r="G891" s="12" t="s">
        <v>49</v>
      </c>
      <c r="H891" s="12" t="str">
        <f t="shared" si="19"/>
        <v>Night</v>
      </c>
      <c r="I891" s="12" t="str">
        <f t="shared" si="20"/>
        <v>Sat</v>
      </c>
      <c r="J891" s="12" t="str">
        <f t="shared" si="21"/>
        <v>Jun</v>
      </c>
      <c r="K891" s="12">
        <f t="shared" si="22"/>
        <v>6</v>
      </c>
      <c r="L891" s="12">
        <f t="shared" si="23"/>
        <v>6</v>
      </c>
    </row>
    <row r="892" spans="1:12" x14ac:dyDescent="0.3">
      <c r="A892" s="6">
        <v>45472</v>
      </c>
      <c r="B892" s="7">
        <v>45472.725606215281</v>
      </c>
      <c r="C892" s="8">
        <f t="shared" si="18"/>
        <v>17</v>
      </c>
      <c r="D892" s="8" t="s">
        <v>4</v>
      </c>
      <c r="E892" s="8" t="s">
        <v>355</v>
      </c>
      <c r="F892" s="9">
        <v>37.72</v>
      </c>
      <c r="G892" s="8" t="s">
        <v>15</v>
      </c>
      <c r="H892" s="8" t="str">
        <f t="shared" si="19"/>
        <v>Night</v>
      </c>
      <c r="I892" s="8" t="str">
        <f t="shared" si="20"/>
        <v>Sat</v>
      </c>
      <c r="J892" s="8" t="str">
        <f t="shared" si="21"/>
        <v>Jun</v>
      </c>
      <c r="K892" s="8">
        <f t="shared" si="22"/>
        <v>6</v>
      </c>
      <c r="L892" s="8">
        <f t="shared" si="23"/>
        <v>6</v>
      </c>
    </row>
    <row r="893" spans="1:12" x14ac:dyDescent="0.3">
      <c r="A893" s="10">
        <v>45472</v>
      </c>
      <c r="B893" s="11">
        <v>45472.894009826392</v>
      </c>
      <c r="C893" s="12">
        <f t="shared" si="18"/>
        <v>21</v>
      </c>
      <c r="D893" s="12" t="s">
        <v>4</v>
      </c>
      <c r="E893" s="12" t="s">
        <v>25</v>
      </c>
      <c r="F893" s="13">
        <v>37.72</v>
      </c>
      <c r="G893" s="12" t="s">
        <v>13</v>
      </c>
      <c r="H893" s="12" t="str">
        <f t="shared" si="19"/>
        <v>Night</v>
      </c>
      <c r="I893" s="12" t="str">
        <f t="shared" si="20"/>
        <v>Sat</v>
      </c>
      <c r="J893" s="12" t="str">
        <f t="shared" si="21"/>
        <v>Jun</v>
      </c>
      <c r="K893" s="12">
        <f t="shared" si="22"/>
        <v>6</v>
      </c>
      <c r="L893" s="12">
        <f t="shared" si="23"/>
        <v>6</v>
      </c>
    </row>
    <row r="894" spans="1:12" x14ac:dyDescent="0.3">
      <c r="A894" s="6">
        <v>45473</v>
      </c>
      <c r="B894" s="7">
        <v>45473.43622502315</v>
      </c>
      <c r="C894" s="8">
        <f t="shared" si="18"/>
        <v>10</v>
      </c>
      <c r="D894" s="8" t="s">
        <v>4</v>
      </c>
      <c r="E894" s="8" t="s">
        <v>356</v>
      </c>
      <c r="F894" s="9">
        <v>37.72</v>
      </c>
      <c r="G894" s="8" t="s">
        <v>13</v>
      </c>
      <c r="H894" s="8" t="str">
        <f t="shared" si="19"/>
        <v>Morning</v>
      </c>
      <c r="I894" s="8" t="str">
        <f t="shared" si="20"/>
        <v>Sun</v>
      </c>
      <c r="J894" s="8" t="str">
        <f t="shared" si="21"/>
        <v>Jun</v>
      </c>
      <c r="K894" s="8">
        <f t="shared" si="22"/>
        <v>7</v>
      </c>
      <c r="L894" s="8">
        <f t="shared" si="23"/>
        <v>6</v>
      </c>
    </row>
    <row r="895" spans="1:12" x14ac:dyDescent="0.3">
      <c r="A895" s="10">
        <v>45473</v>
      </c>
      <c r="B895" s="11">
        <v>45473.545724768519</v>
      </c>
      <c r="C895" s="12">
        <f t="shared" si="18"/>
        <v>13</v>
      </c>
      <c r="D895" s="12" t="s">
        <v>4</v>
      </c>
      <c r="E895" s="12" t="s">
        <v>357</v>
      </c>
      <c r="F895" s="13">
        <v>23.02</v>
      </c>
      <c r="G895" s="12" t="s">
        <v>41</v>
      </c>
      <c r="H895" s="12" t="str">
        <f t="shared" si="19"/>
        <v>Afternoon</v>
      </c>
      <c r="I895" s="12" t="str">
        <f t="shared" si="20"/>
        <v>Sun</v>
      </c>
      <c r="J895" s="12" t="str">
        <f t="shared" si="21"/>
        <v>Jun</v>
      </c>
      <c r="K895" s="12">
        <f t="shared" si="22"/>
        <v>7</v>
      </c>
      <c r="L895" s="12">
        <f t="shared" si="23"/>
        <v>6</v>
      </c>
    </row>
    <row r="896" spans="1:12" x14ac:dyDescent="0.3">
      <c r="A896" s="6">
        <v>45473</v>
      </c>
      <c r="B896" s="7">
        <v>45473.7046490625</v>
      </c>
      <c r="C896" s="8">
        <f t="shared" si="18"/>
        <v>16</v>
      </c>
      <c r="D896" s="8" t="s">
        <v>4</v>
      </c>
      <c r="E896" s="8" t="s">
        <v>25</v>
      </c>
      <c r="F896" s="9">
        <v>37.72</v>
      </c>
      <c r="G896" s="8" t="s">
        <v>15</v>
      </c>
      <c r="H896" s="8" t="str">
        <f t="shared" si="19"/>
        <v>Afternoon</v>
      </c>
      <c r="I896" s="8" t="str">
        <f t="shared" si="20"/>
        <v>Sun</v>
      </c>
      <c r="J896" s="8" t="str">
        <f t="shared" si="21"/>
        <v>Jun</v>
      </c>
      <c r="K896" s="8">
        <f t="shared" si="22"/>
        <v>7</v>
      </c>
      <c r="L896" s="8">
        <f t="shared" si="23"/>
        <v>6</v>
      </c>
    </row>
    <row r="897" spans="1:12" x14ac:dyDescent="0.3">
      <c r="A897" s="10">
        <v>45473</v>
      </c>
      <c r="B897" s="11">
        <v>45473.877890578704</v>
      </c>
      <c r="C897" s="12">
        <f t="shared" si="18"/>
        <v>21</v>
      </c>
      <c r="D897" s="12" t="s">
        <v>4</v>
      </c>
      <c r="E897" s="12" t="s">
        <v>117</v>
      </c>
      <c r="F897" s="13">
        <v>32.82</v>
      </c>
      <c r="G897" s="12" t="s">
        <v>20</v>
      </c>
      <c r="H897" s="12" t="str">
        <f t="shared" si="19"/>
        <v>Night</v>
      </c>
      <c r="I897" s="12" t="str">
        <f t="shared" si="20"/>
        <v>Sun</v>
      </c>
      <c r="J897" s="12" t="str">
        <f t="shared" si="21"/>
        <v>Jun</v>
      </c>
      <c r="K897" s="12">
        <f t="shared" si="22"/>
        <v>7</v>
      </c>
      <c r="L897" s="12">
        <f t="shared" si="23"/>
        <v>6</v>
      </c>
    </row>
    <row r="898" spans="1:12" x14ac:dyDescent="0.3">
      <c r="A898" s="6">
        <v>45474</v>
      </c>
      <c r="B898" s="7">
        <v>45474.755170833334</v>
      </c>
      <c r="C898" s="8">
        <f t="shared" si="18"/>
        <v>18</v>
      </c>
      <c r="D898" s="8" t="s">
        <v>4</v>
      </c>
      <c r="E898" s="8" t="s">
        <v>29</v>
      </c>
      <c r="F898" s="9">
        <v>23.02</v>
      </c>
      <c r="G898" s="8" t="s">
        <v>41</v>
      </c>
      <c r="H898" s="8" t="str">
        <f t="shared" si="19"/>
        <v>Night</v>
      </c>
      <c r="I898" s="8" t="str">
        <f t="shared" si="20"/>
        <v>Mon</v>
      </c>
      <c r="J898" s="8" t="str">
        <f t="shared" si="21"/>
        <v>Jul</v>
      </c>
      <c r="K898" s="8">
        <f t="shared" si="22"/>
        <v>1</v>
      </c>
      <c r="L898" s="8">
        <f t="shared" si="23"/>
        <v>7</v>
      </c>
    </row>
    <row r="899" spans="1:12" x14ac:dyDescent="0.3">
      <c r="A899" s="10">
        <v>45474</v>
      </c>
      <c r="B899" s="11">
        <v>45474.789488935188</v>
      </c>
      <c r="C899" s="12">
        <f t="shared" si="18"/>
        <v>18</v>
      </c>
      <c r="D899" s="12" t="s">
        <v>4</v>
      </c>
      <c r="E899" s="12" t="s">
        <v>358</v>
      </c>
      <c r="F899" s="13">
        <v>37.72</v>
      </c>
      <c r="G899" s="12" t="s">
        <v>49</v>
      </c>
      <c r="H899" s="12" t="str">
        <f t="shared" si="19"/>
        <v>Night</v>
      </c>
      <c r="I899" s="12" t="str">
        <f t="shared" si="20"/>
        <v>Mon</v>
      </c>
      <c r="J899" s="12" t="str">
        <f t="shared" si="21"/>
        <v>Jul</v>
      </c>
      <c r="K899" s="12">
        <f t="shared" si="22"/>
        <v>1</v>
      </c>
      <c r="L899" s="12">
        <f t="shared" si="23"/>
        <v>7</v>
      </c>
    </row>
    <row r="900" spans="1:12" x14ac:dyDescent="0.3">
      <c r="A900" s="6">
        <v>45474</v>
      </c>
      <c r="B900" s="7">
        <v>45474.790211423613</v>
      </c>
      <c r="C900" s="8">
        <f t="shared" si="18"/>
        <v>18</v>
      </c>
      <c r="D900" s="8" t="s">
        <v>4</v>
      </c>
      <c r="E900" s="8" t="s">
        <v>359</v>
      </c>
      <c r="F900" s="9">
        <v>37.72</v>
      </c>
      <c r="G900" s="8" t="s">
        <v>49</v>
      </c>
      <c r="H900" s="8" t="str">
        <f t="shared" si="19"/>
        <v>Night</v>
      </c>
      <c r="I900" s="8" t="str">
        <f t="shared" si="20"/>
        <v>Mon</v>
      </c>
      <c r="J900" s="8" t="str">
        <f t="shared" si="21"/>
        <v>Jul</v>
      </c>
      <c r="K900" s="8">
        <f t="shared" si="22"/>
        <v>1</v>
      </c>
      <c r="L900" s="8">
        <f t="shared" si="23"/>
        <v>7</v>
      </c>
    </row>
    <row r="901" spans="1:12" x14ac:dyDescent="0.3">
      <c r="A901" s="10">
        <v>45475</v>
      </c>
      <c r="B901" s="11">
        <v>45475.446458993058</v>
      </c>
      <c r="C901" s="12">
        <f t="shared" si="18"/>
        <v>10</v>
      </c>
      <c r="D901" s="12" t="s">
        <v>4</v>
      </c>
      <c r="E901" s="12" t="s">
        <v>324</v>
      </c>
      <c r="F901" s="13">
        <v>32.82</v>
      </c>
      <c r="G901" s="12" t="s">
        <v>20</v>
      </c>
      <c r="H901" s="12" t="str">
        <f t="shared" si="19"/>
        <v>Morning</v>
      </c>
      <c r="I901" s="12" t="str">
        <f t="shared" si="20"/>
        <v>Tue</v>
      </c>
      <c r="J901" s="12" t="str">
        <f t="shared" si="21"/>
        <v>Jul</v>
      </c>
      <c r="K901" s="12">
        <f t="shared" si="22"/>
        <v>2</v>
      </c>
      <c r="L901" s="12">
        <f t="shared" si="23"/>
        <v>7</v>
      </c>
    </row>
    <row r="902" spans="1:12" x14ac:dyDescent="0.3">
      <c r="A902" s="6">
        <v>45475</v>
      </c>
      <c r="B902" s="7">
        <v>45475.447923807871</v>
      </c>
      <c r="C902" s="8">
        <f t="shared" si="18"/>
        <v>10</v>
      </c>
      <c r="D902" s="8" t="s">
        <v>4</v>
      </c>
      <c r="E902" s="8" t="s">
        <v>324</v>
      </c>
      <c r="F902" s="9">
        <v>27.92</v>
      </c>
      <c r="G902" s="8" t="s">
        <v>17</v>
      </c>
      <c r="H902" s="8" t="str">
        <f t="shared" si="19"/>
        <v>Morning</v>
      </c>
      <c r="I902" s="8" t="str">
        <f t="shared" si="20"/>
        <v>Tue</v>
      </c>
      <c r="J902" s="8" t="str">
        <f t="shared" si="21"/>
        <v>Jul</v>
      </c>
      <c r="K902" s="8">
        <f t="shared" si="22"/>
        <v>2</v>
      </c>
      <c r="L902" s="8">
        <f t="shared" si="23"/>
        <v>7</v>
      </c>
    </row>
    <row r="903" spans="1:12" x14ac:dyDescent="0.3">
      <c r="A903" s="10">
        <v>45475</v>
      </c>
      <c r="B903" s="11">
        <v>45475.53339329861</v>
      </c>
      <c r="C903" s="12">
        <f t="shared" si="18"/>
        <v>12</v>
      </c>
      <c r="D903" s="12" t="s">
        <v>4</v>
      </c>
      <c r="E903" s="12" t="s">
        <v>37</v>
      </c>
      <c r="F903" s="13">
        <v>37.72</v>
      </c>
      <c r="G903" s="12" t="s">
        <v>13</v>
      </c>
      <c r="H903" s="12" t="str">
        <f t="shared" si="19"/>
        <v>Afternoon</v>
      </c>
      <c r="I903" s="12" t="str">
        <f t="shared" si="20"/>
        <v>Tue</v>
      </c>
      <c r="J903" s="12" t="str">
        <f t="shared" si="21"/>
        <v>Jul</v>
      </c>
      <c r="K903" s="12">
        <f t="shared" si="22"/>
        <v>2</v>
      </c>
      <c r="L903" s="12">
        <f t="shared" si="23"/>
        <v>7</v>
      </c>
    </row>
    <row r="904" spans="1:12" x14ac:dyDescent="0.3">
      <c r="A904" s="6">
        <v>45475</v>
      </c>
      <c r="B904" s="7">
        <v>45475.585569803239</v>
      </c>
      <c r="C904" s="8">
        <f t="shared" si="18"/>
        <v>14</v>
      </c>
      <c r="D904" s="8" t="s">
        <v>4</v>
      </c>
      <c r="E904" s="8" t="s">
        <v>360</v>
      </c>
      <c r="F904" s="9">
        <v>27.92</v>
      </c>
      <c r="G904" s="8" t="s">
        <v>17</v>
      </c>
      <c r="H904" s="8" t="str">
        <f t="shared" si="19"/>
        <v>Afternoon</v>
      </c>
      <c r="I904" s="8" t="str">
        <f t="shared" si="20"/>
        <v>Tue</v>
      </c>
      <c r="J904" s="8" t="str">
        <f t="shared" si="21"/>
        <v>Jul</v>
      </c>
      <c r="K904" s="8">
        <f t="shared" si="22"/>
        <v>2</v>
      </c>
      <c r="L904" s="8">
        <f t="shared" si="23"/>
        <v>7</v>
      </c>
    </row>
    <row r="905" spans="1:12" x14ac:dyDescent="0.3">
      <c r="A905" s="10">
        <v>45475</v>
      </c>
      <c r="B905" s="11">
        <v>45475.688476122683</v>
      </c>
      <c r="C905" s="12">
        <f t="shared" si="18"/>
        <v>16</v>
      </c>
      <c r="D905" s="12" t="s">
        <v>4</v>
      </c>
      <c r="E905" s="12" t="s">
        <v>361</v>
      </c>
      <c r="F905" s="13">
        <v>32.82</v>
      </c>
      <c r="G905" s="12" t="s">
        <v>20</v>
      </c>
      <c r="H905" s="12" t="str">
        <f t="shared" si="19"/>
        <v>Afternoon</v>
      </c>
      <c r="I905" s="12" t="str">
        <f t="shared" si="20"/>
        <v>Tue</v>
      </c>
      <c r="J905" s="12" t="str">
        <f t="shared" si="21"/>
        <v>Jul</v>
      </c>
      <c r="K905" s="12">
        <f t="shared" si="22"/>
        <v>2</v>
      </c>
      <c r="L905" s="12">
        <f t="shared" si="23"/>
        <v>7</v>
      </c>
    </row>
    <row r="906" spans="1:12" x14ac:dyDescent="0.3">
      <c r="A906" s="6">
        <v>45475</v>
      </c>
      <c r="B906" s="7">
        <v>45475.918328425927</v>
      </c>
      <c r="C906" s="8">
        <f t="shared" si="18"/>
        <v>22</v>
      </c>
      <c r="D906" s="8" t="s">
        <v>4</v>
      </c>
      <c r="E906" s="8" t="s">
        <v>349</v>
      </c>
      <c r="F906" s="9">
        <v>32.82</v>
      </c>
      <c r="G906" s="8" t="s">
        <v>20</v>
      </c>
      <c r="H906" s="8" t="str">
        <f t="shared" si="19"/>
        <v>Night</v>
      </c>
      <c r="I906" s="8" t="str">
        <f t="shared" si="20"/>
        <v>Tue</v>
      </c>
      <c r="J906" s="8" t="str">
        <f t="shared" si="21"/>
        <v>Jul</v>
      </c>
      <c r="K906" s="8">
        <f t="shared" si="22"/>
        <v>2</v>
      </c>
      <c r="L906" s="8">
        <f t="shared" si="23"/>
        <v>7</v>
      </c>
    </row>
    <row r="907" spans="1:12" x14ac:dyDescent="0.3">
      <c r="A907" s="10">
        <v>45476</v>
      </c>
      <c r="B907" s="11">
        <v>45476.577256192133</v>
      </c>
      <c r="C907" s="12">
        <f t="shared" si="18"/>
        <v>13</v>
      </c>
      <c r="D907" s="12" t="s">
        <v>4</v>
      </c>
      <c r="E907" s="12" t="s">
        <v>29</v>
      </c>
      <c r="F907" s="13">
        <v>32.82</v>
      </c>
      <c r="G907" s="12" t="s">
        <v>20</v>
      </c>
      <c r="H907" s="12" t="str">
        <f t="shared" si="19"/>
        <v>Afternoon</v>
      </c>
      <c r="I907" s="12" t="str">
        <f t="shared" si="20"/>
        <v>Wed</v>
      </c>
      <c r="J907" s="12" t="str">
        <f t="shared" si="21"/>
        <v>Jul</v>
      </c>
      <c r="K907" s="12">
        <f t="shared" si="22"/>
        <v>3</v>
      </c>
      <c r="L907" s="12">
        <f t="shared" si="23"/>
        <v>7</v>
      </c>
    </row>
    <row r="908" spans="1:12" x14ac:dyDescent="0.3">
      <c r="A908" s="6">
        <v>45476</v>
      </c>
      <c r="B908" s="7">
        <v>45476.667552708335</v>
      </c>
      <c r="C908" s="8">
        <f t="shared" si="18"/>
        <v>16</v>
      </c>
      <c r="D908" s="8" t="s">
        <v>4</v>
      </c>
      <c r="E908" s="8" t="s">
        <v>362</v>
      </c>
      <c r="F908" s="9">
        <v>37.72</v>
      </c>
      <c r="G908" s="8" t="s">
        <v>49</v>
      </c>
      <c r="H908" s="8" t="str">
        <f t="shared" si="19"/>
        <v>Afternoon</v>
      </c>
      <c r="I908" s="8" t="str">
        <f t="shared" si="20"/>
        <v>Wed</v>
      </c>
      <c r="J908" s="8" t="str">
        <f t="shared" si="21"/>
        <v>Jul</v>
      </c>
      <c r="K908" s="8">
        <f t="shared" si="22"/>
        <v>3</v>
      </c>
      <c r="L908" s="8">
        <f t="shared" si="23"/>
        <v>7</v>
      </c>
    </row>
    <row r="909" spans="1:12" x14ac:dyDescent="0.3">
      <c r="A909" s="10">
        <v>45476</v>
      </c>
      <c r="B909" s="11">
        <v>45476.70168082176</v>
      </c>
      <c r="C909" s="12">
        <f t="shared" si="18"/>
        <v>16</v>
      </c>
      <c r="D909" s="12" t="s">
        <v>4</v>
      </c>
      <c r="E909" s="12" t="s">
        <v>363</v>
      </c>
      <c r="F909" s="13">
        <v>37.72</v>
      </c>
      <c r="G909" s="12" t="s">
        <v>49</v>
      </c>
      <c r="H909" s="12" t="str">
        <f t="shared" si="19"/>
        <v>Afternoon</v>
      </c>
      <c r="I909" s="12" t="str">
        <f t="shared" si="20"/>
        <v>Wed</v>
      </c>
      <c r="J909" s="12" t="str">
        <f t="shared" si="21"/>
        <v>Jul</v>
      </c>
      <c r="K909" s="12">
        <f t="shared" si="22"/>
        <v>3</v>
      </c>
      <c r="L909" s="12">
        <f t="shared" si="23"/>
        <v>7</v>
      </c>
    </row>
    <row r="910" spans="1:12" x14ac:dyDescent="0.3">
      <c r="A910" s="6">
        <v>45476</v>
      </c>
      <c r="B910" s="7">
        <v>45476.703652986114</v>
      </c>
      <c r="C910" s="8">
        <f t="shared" si="18"/>
        <v>16</v>
      </c>
      <c r="D910" s="8" t="s">
        <v>4</v>
      </c>
      <c r="E910" s="8" t="s">
        <v>290</v>
      </c>
      <c r="F910" s="9">
        <v>32.82</v>
      </c>
      <c r="G910" s="8" t="s">
        <v>20</v>
      </c>
      <c r="H910" s="8" t="str">
        <f t="shared" si="19"/>
        <v>Afternoon</v>
      </c>
      <c r="I910" s="8" t="str">
        <f t="shared" si="20"/>
        <v>Wed</v>
      </c>
      <c r="J910" s="8" t="str">
        <f t="shared" si="21"/>
        <v>Jul</v>
      </c>
      <c r="K910" s="8">
        <f t="shared" si="22"/>
        <v>3</v>
      </c>
      <c r="L910" s="8">
        <f t="shared" si="23"/>
        <v>7</v>
      </c>
    </row>
    <row r="911" spans="1:12" x14ac:dyDescent="0.3">
      <c r="A911" s="10">
        <v>45476</v>
      </c>
      <c r="B911" s="11">
        <v>45476.70443179398</v>
      </c>
      <c r="C911" s="12">
        <f t="shared" si="18"/>
        <v>16</v>
      </c>
      <c r="D911" s="12" t="s">
        <v>4</v>
      </c>
      <c r="E911" s="12" t="s">
        <v>364</v>
      </c>
      <c r="F911" s="13">
        <v>32.82</v>
      </c>
      <c r="G911" s="12" t="s">
        <v>20</v>
      </c>
      <c r="H911" s="12" t="str">
        <f t="shared" si="19"/>
        <v>Afternoon</v>
      </c>
      <c r="I911" s="12" t="str">
        <f t="shared" si="20"/>
        <v>Wed</v>
      </c>
      <c r="J911" s="12" t="str">
        <f t="shared" si="21"/>
        <v>Jul</v>
      </c>
      <c r="K911" s="12">
        <f t="shared" si="22"/>
        <v>3</v>
      </c>
      <c r="L911" s="12">
        <f t="shared" si="23"/>
        <v>7</v>
      </c>
    </row>
    <row r="912" spans="1:12" x14ac:dyDescent="0.3">
      <c r="A912" s="6">
        <v>45476</v>
      </c>
      <c r="B912" s="7">
        <v>45476.705224803241</v>
      </c>
      <c r="C912" s="8">
        <f t="shared" si="18"/>
        <v>16</v>
      </c>
      <c r="D912" s="8" t="s">
        <v>4</v>
      </c>
      <c r="E912" s="8" t="s">
        <v>290</v>
      </c>
      <c r="F912" s="9">
        <v>37.72</v>
      </c>
      <c r="G912" s="8" t="s">
        <v>13</v>
      </c>
      <c r="H912" s="8" t="str">
        <f t="shared" si="19"/>
        <v>Afternoon</v>
      </c>
      <c r="I912" s="8" t="str">
        <f t="shared" si="20"/>
        <v>Wed</v>
      </c>
      <c r="J912" s="8" t="str">
        <f t="shared" si="21"/>
        <v>Jul</v>
      </c>
      <c r="K912" s="8">
        <f t="shared" si="22"/>
        <v>3</v>
      </c>
      <c r="L912" s="8">
        <f t="shared" si="23"/>
        <v>7</v>
      </c>
    </row>
    <row r="913" spans="1:12" x14ac:dyDescent="0.3">
      <c r="A913" s="10">
        <v>45476</v>
      </c>
      <c r="B913" s="11">
        <v>45476.707934953702</v>
      </c>
      <c r="C913" s="12">
        <f t="shared" si="18"/>
        <v>16</v>
      </c>
      <c r="D913" s="12" t="s">
        <v>4</v>
      </c>
      <c r="E913" s="12" t="s">
        <v>365</v>
      </c>
      <c r="F913" s="13">
        <v>23.02</v>
      </c>
      <c r="G913" s="12" t="s">
        <v>41</v>
      </c>
      <c r="H913" s="12" t="str">
        <f t="shared" si="19"/>
        <v>Afternoon</v>
      </c>
      <c r="I913" s="12" t="str">
        <f t="shared" si="20"/>
        <v>Wed</v>
      </c>
      <c r="J913" s="12" t="str">
        <f t="shared" si="21"/>
        <v>Jul</v>
      </c>
      <c r="K913" s="12">
        <f t="shared" si="22"/>
        <v>3</v>
      </c>
      <c r="L913" s="12">
        <f t="shared" si="23"/>
        <v>7</v>
      </c>
    </row>
    <row r="914" spans="1:12" x14ac:dyDescent="0.3">
      <c r="A914" s="6">
        <v>45476</v>
      </c>
      <c r="B914" s="7">
        <v>45476.749326701392</v>
      </c>
      <c r="C914" s="8">
        <f t="shared" si="18"/>
        <v>17</v>
      </c>
      <c r="D914" s="8" t="s">
        <v>4</v>
      </c>
      <c r="E914" s="8" t="s">
        <v>366</v>
      </c>
      <c r="F914" s="9">
        <v>37.72</v>
      </c>
      <c r="G914" s="8" t="s">
        <v>49</v>
      </c>
      <c r="H914" s="8" t="str">
        <f t="shared" si="19"/>
        <v>Night</v>
      </c>
      <c r="I914" s="8" t="str">
        <f t="shared" si="20"/>
        <v>Wed</v>
      </c>
      <c r="J914" s="8" t="str">
        <f t="shared" si="21"/>
        <v>Jul</v>
      </c>
      <c r="K914" s="8">
        <f t="shared" si="22"/>
        <v>3</v>
      </c>
      <c r="L914" s="8">
        <f t="shared" si="23"/>
        <v>7</v>
      </c>
    </row>
    <row r="915" spans="1:12" x14ac:dyDescent="0.3">
      <c r="A915" s="10">
        <v>45476</v>
      </c>
      <c r="B915" s="11">
        <v>45476.795939074073</v>
      </c>
      <c r="C915" s="12">
        <f t="shared" si="18"/>
        <v>19</v>
      </c>
      <c r="D915" s="12" t="s">
        <v>4</v>
      </c>
      <c r="E915" s="12" t="s">
        <v>25</v>
      </c>
      <c r="F915" s="13">
        <v>37.72</v>
      </c>
      <c r="G915" s="12" t="s">
        <v>13</v>
      </c>
      <c r="H915" s="12" t="str">
        <f t="shared" si="19"/>
        <v>Night</v>
      </c>
      <c r="I915" s="12" t="str">
        <f t="shared" si="20"/>
        <v>Wed</v>
      </c>
      <c r="J915" s="12" t="str">
        <f t="shared" si="21"/>
        <v>Jul</v>
      </c>
      <c r="K915" s="12">
        <f t="shared" si="22"/>
        <v>3</v>
      </c>
      <c r="L915" s="12">
        <f t="shared" si="23"/>
        <v>7</v>
      </c>
    </row>
    <row r="916" spans="1:12" x14ac:dyDescent="0.3">
      <c r="A916" s="6">
        <v>45477</v>
      </c>
      <c r="B916" s="7">
        <v>45477.43499681713</v>
      </c>
      <c r="C916" s="8">
        <f t="shared" si="18"/>
        <v>10</v>
      </c>
      <c r="D916" s="8" t="s">
        <v>4</v>
      </c>
      <c r="E916" s="8" t="s">
        <v>163</v>
      </c>
      <c r="F916" s="9">
        <v>32.82</v>
      </c>
      <c r="G916" s="8" t="s">
        <v>20</v>
      </c>
      <c r="H916" s="8" t="str">
        <f t="shared" si="19"/>
        <v>Morning</v>
      </c>
      <c r="I916" s="8" t="str">
        <f t="shared" si="20"/>
        <v>Thu</v>
      </c>
      <c r="J916" s="8" t="str">
        <f t="shared" si="21"/>
        <v>Jul</v>
      </c>
      <c r="K916" s="8">
        <f t="shared" si="22"/>
        <v>4</v>
      </c>
      <c r="L916" s="8">
        <f t="shared" si="23"/>
        <v>7</v>
      </c>
    </row>
    <row r="917" spans="1:12" x14ac:dyDescent="0.3">
      <c r="A917" s="10">
        <v>45477</v>
      </c>
      <c r="B917" s="11">
        <v>45477.435766909723</v>
      </c>
      <c r="C917" s="12">
        <f t="shared" si="18"/>
        <v>10</v>
      </c>
      <c r="D917" s="12" t="s">
        <v>4</v>
      </c>
      <c r="E917" s="12" t="s">
        <v>29</v>
      </c>
      <c r="F917" s="13">
        <v>27.92</v>
      </c>
      <c r="G917" s="12" t="s">
        <v>17</v>
      </c>
      <c r="H917" s="12" t="str">
        <f t="shared" si="19"/>
        <v>Morning</v>
      </c>
      <c r="I917" s="12" t="str">
        <f t="shared" si="20"/>
        <v>Thu</v>
      </c>
      <c r="J917" s="12" t="str">
        <f t="shared" si="21"/>
        <v>Jul</v>
      </c>
      <c r="K917" s="12">
        <f t="shared" si="22"/>
        <v>4</v>
      </c>
      <c r="L917" s="12">
        <f t="shared" si="23"/>
        <v>7</v>
      </c>
    </row>
    <row r="918" spans="1:12" x14ac:dyDescent="0.3">
      <c r="A918" s="6">
        <v>45478</v>
      </c>
      <c r="B918" s="7">
        <v>45478.514220717596</v>
      </c>
      <c r="C918" s="8">
        <f t="shared" si="18"/>
        <v>12</v>
      </c>
      <c r="D918" s="8" t="s">
        <v>4</v>
      </c>
      <c r="E918" s="8" t="s">
        <v>78</v>
      </c>
      <c r="F918" s="9">
        <v>37.72</v>
      </c>
      <c r="G918" s="8" t="s">
        <v>24</v>
      </c>
      <c r="H918" s="8" t="str">
        <f t="shared" si="19"/>
        <v>Afternoon</v>
      </c>
      <c r="I918" s="8" t="str">
        <f t="shared" si="20"/>
        <v>Fri</v>
      </c>
      <c r="J918" s="8" t="str">
        <f t="shared" si="21"/>
        <v>Jul</v>
      </c>
      <c r="K918" s="8">
        <f t="shared" si="22"/>
        <v>5</v>
      </c>
      <c r="L918" s="8">
        <f t="shared" si="23"/>
        <v>7</v>
      </c>
    </row>
    <row r="919" spans="1:12" x14ac:dyDescent="0.3">
      <c r="A919" s="10">
        <v>45478</v>
      </c>
      <c r="B919" s="11">
        <v>45478.572027013892</v>
      </c>
      <c r="C919" s="12">
        <f t="shared" si="18"/>
        <v>13</v>
      </c>
      <c r="D919" s="12" t="s">
        <v>4</v>
      </c>
      <c r="E919" s="12" t="s">
        <v>60</v>
      </c>
      <c r="F919" s="13">
        <v>32.82</v>
      </c>
      <c r="G919" s="12" t="s">
        <v>20</v>
      </c>
      <c r="H919" s="12" t="str">
        <f t="shared" si="19"/>
        <v>Afternoon</v>
      </c>
      <c r="I919" s="12" t="str">
        <f t="shared" si="20"/>
        <v>Fri</v>
      </c>
      <c r="J919" s="12" t="str">
        <f t="shared" si="21"/>
        <v>Jul</v>
      </c>
      <c r="K919" s="12">
        <f t="shared" si="22"/>
        <v>5</v>
      </c>
      <c r="L919" s="12">
        <f t="shared" si="23"/>
        <v>7</v>
      </c>
    </row>
    <row r="920" spans="1:12" x14ac:dyDescent="0.3">
      <c r="A920" s="6">
        <v>45478</v>
      </c>
      <c r="B920" s="7">
        <v>45478.572729502317</v>
      </c>
      <c r="C920" s="8">
        <f t="shared" si="18"/>
        <v>13</v>
      </c>
      <c r="D920" s="8" t="s">
        <v>4</v>
      </c>
      <c r="E920" s="8" t="s">
        <v>367</v>
      </c>
      <c r="F920" s="9">
        <v>32.82</v>
      </c>
      <c r="G920" s="8" t="s">
        <v>20</v>
      </c>
      <c r="H920" s="8" t="str">
        <f t="shared" si="19"/>
        <v>Afternoon</v>
      </c>
      <c r="I920" s="8" t="str">
        <f t="shared" si="20"/>
        <v>Fri</v>
      </c>
      <c r="J920" s="8" t="str">
        <f t="shared" si="21"/>
        <v>Jul</v>
      </c>
      <c r="K920" s="8">
        <f t="shared" si="22"/>
        <v>5</v>
      </c>
      <c r="L920" s="8">
        <f t="shared" si="23"/>
        <v>7</v>
      </c>
    </row>
    <row r="921" spans="1:12" x14ac:dyDescent="0.3">
      <c r="A921" s="10">
        <v>45478</v>
      </c>
      <c r="B921" s="11">
        <v>45478.788846157404</v>
      </c>
      <c r="C921" s="12">
        <f t="shared" si="18"/>
        <v>18</v>
      </c>
      <c r="D921" s="12" t="s">
        <v>4</v>
      </c>
      <c r="E921" s="12" t="s">
        <v>368</v>
      </c>
      <c r="F921" s="13">
        <v>23.02</v>
      </c>
      <c r="G921" s="12" t="s">
        <v>41</v>
      </c>
      <c r="H921" s="12" t="str">
        <f t="shared" si="19"/>
        <v>Night</v>
      </c>
      <c r="I921" s="12" t="str">
        <f t="shared" si="20"/>
        <v>Fri</v>
      </c>
      <c r="J921" s="12" t="str">
        <f t="shared" si="21"/>
        <v>Jul</v>
      </c>
      <c r="K921" s="12">
        <f t="shared" si="22"/>
        <v>5</v>
      </c>
      <c r="L921" s="12">
        <f t="shared" si="23"/>
        <v>7</v>
      </c>
    </row>
    <row r="922" spans="1:12" x14ac:dyDescent="0.3">
      <c r="A922" s="6">
        <v>45478</v>
      </c>
      <c r="B922" s="7">
        <v>45478.829951527776</v>
      </c>
      <c r="C922" s="8">
        <f t="shared" si="18"/>
        <v>19</v>
      </c>
      <c r="D922" s="8" t="s">
        <v>4</v>
      </c>
      <c r="E922" s="8" t="s">
        <v>119</v>
      </c>
      <c r="F922" s="9">
        <v>27.92</v>
      </c>
      <c r="G922" s="8" t="s">
        <v>17</v>
      </c>
      <c r="H922" s="8" t="str">
        <f t="shared" si="19"/>
        <v>Night</v>
      </c>
      <c r="I922" s="8" t="str">
        <f t="shared" si="20"/>
        <v>Fri</v>
      </c>
      <c r="J922" s="8" t="str">
        <f t="shared" si="21"/>
        <v>Jul</v>
      </c>
      <c r="K922" s="8">
        <f t="shared" si="22"/>
        <v>5</v>
      </c>
      <c r="L922" s="8">
        <f t="shared" si="23"/>
        <v>7</v>
      </c>
    </row>
    <row r="923" spans="1:12" x14ac:dyDescent="0.3">
      <c r="A923" s="10">
        <v>45478</v>
      </c>
      <c r="B923" s="11">
        <v>45478.924959155091</v>
      </c>
      <c r="C923" s="12">
        <f t="shared" si="18"/>
        <v>22</v>
      </c>
      <c r="D923" s="12" t="s">
        <v>4</v>
      </c>
      <c r="E923" s="12" t="s">
        <v>369</v>
      </c>
      <c r="F923" s="13">
        <v>23.02</v>
      </c>
      <c r="G923" s="12" t="s">
        <v>41</v>
      </c>
      <c r="H923" s="12" t="str">
        <f t="shared" si="19"/>
        <v>Night</v>
      </c>
      <c r="I923" s="12" t="str">
        <f t="shared" si="20"/>
        <v>Fri</v>
      </c>
      <c r="J923" s="12" t="str">
        <f t="shared" si="21"/>
        <v>Jul</v>
      </c>
      <c r="K923" s="12">
        <f t="shared" si="22"/>
        <v>5</v>
      </c>
      <c r="L923" s="12">
        <f t="shared" si="23"/>
        <v>7</v>
      </c>
    </row>
    <row r="924" spans="1:12" x14ac:dyDescent="0.3">
      <c r="A924" s="6">
        <v>45478</v>
      </c>
      <c r="B924" s="7">
        <v>45478.929205138891</v>
      </c>
      <c r="C924" s="8">
        <f t="shared" si="18"/>
        <v>22</v>
      </c>
      <c r="D924" s="8" t="s">
        <v>4</v>
      </c>
      <c r="E924" s="8" t="s">
        <v>370</v>
      </c>
      <c r="F924" s="9">
        <v>27.92</v>
      </c>
      <c r="G924" s="8" t="s">
        <v>17</v>
      </c>
      <c r="H924" s="8" t="str">
        <f t="shared" si="19"/>
        <v>Night</v>
      </c>
      <c r="I924" s="8" t="str">
        <f t="shared" si="20"/>
        <v>Fri</v>
      </c>
      <c r="J924" s="8" t="str">
        <f t="shared" si="21"/>
        <v>Jul</v>
      </c>
      <c r="K924" s="8">
        <f t="shared" si="22"/>
        <v>5</v>
      </c>
      <c r="L924" s="8">
        <f t="shared" si="23"/>
        <v>7</v>
      </c>
    </row>
    <row r="925" spans="1:12" x14ac:dyDescent="0.3">
      <c r="A925" s="10">
        <v>45478</v>
      </c>
      <c r="B925" s="11">
        <v>45478.929825752311</v>
      </c>
      <c r="C925" s="12">
        <f t="shared" si="18"/>
        <v>22</v>
      </c>
      <c r="D925" s="12" t="s">
        <v>4</v>
      </c>
      <c r="E925" s="12" t="s">
        <v>370</v>
      </c>
      <c r="F925" s="13">
        <v>27.92</v>
      </c>
      <c r="G925" s="12" t="s">
        <v>17</v>
      </c>
      <c r="H925" s="12" t="str">
        <f t="shared" si="19"/>
        <v>Night</v>
      </c>
      <c r="I925" s="12" t="str">
        <f t="shared" si="20"/>
        <v>Fri</v>
      </c>
      <c r="J925" s="12" t="str">
        <f t="shared" si="21"/>
        <v>Jul</v>
      </c>
      <c r="K925" s="12">
        <f t="shared" si="22"/>
        <v>5</v>
      </c>
      <c r="L925" s="12">
        <f t="shared" si="23"/>
        <v>7</v>
      </c>
    </row>
    <row r="926" spans="1:12" x14ac:dyDescent="0.3">
      <c r="A926" s="6">
        <v>45478</v>
      </c>
      <c r="B926" s="7">
        <v>45478.930568854164</v>
      </c>
      <c r="C926" s="8">
        <f t="shared" si="18"/>
        <v>22</v>
      </c>
      <c r="D926" s="8" t="s">
        <v>4</v>
      </c>
      <c r="E926" s="8" t="s">
        <v>371</v>
      </c>
      <c r="F926" s="9">
        <v>37.72</v>
      </c>
      <c r="G926" s="8" t="s">
        <v>49</v>
      </c>
      <c r="H926" s="8" t="str">
        <f t="shared" si="19"/>
        <v>Night</v>
      </c>
      <c r="I926" s="8" t="str">
        <f t="shared" si="20"/>
        <v>Fri</v>
      </c>
      <c r="J926" s="8" t="str">
        <f t="shared" si="21"/>
        <v>Jul</v>
      </c>
      <c r="K926" s="8">
        <f t="shared" si="22"/>
        <v>5</v>
      </c>
      <c r="L926" s="8">
        <f t="shared" si="23"/>
        <v>7</v>
      </c>
    </row>
    <row r="927" spans="1:12" x14ac:dyDescent="0.3">
      <c r="A927" s="10">
        <v>45478</v>
      </c>
      <c r="B927" s="11">
        <v>45478.931359456015</v>
      </c>
      <c r="C927" s="12">
        <f t="shared" si="18"/>
        <v>22</v>
      </c>
      <c r="D927" s="12" t="s">
        <v>4</v>
      </c>
      <c r="E927" s="12" t="s">
        <v>371</v>
      </c>
      <c r="F927" s="13">
        <v>32.82</v>
      </c>
      <c r="G927" s="12" t="s">
        <v>20</v>
      </c>
      <c r="H927" s="12" t="str">
        <f t="shared" si="19"/>
        <v>Night</v>
      </c>
      <c r="I927" s="12" t="str">
        <f t="shared" si="20"/>
        <v>Fri</v>
      </c>
      <c r="J927" s="12" t="str">
        <f t="shared" si="21"/>
        <v>Jul</v>
      </c>
      <c r="K927" s="12">
        <f t="shared" si="22"/>
        <v>5</v>
      </c>
      <c r="L927" s="12">
        <f t="shared" si="23"/>
        <v>7</v>
      </c>
    </row>
    <row r="928" spans="1:12" x14ac:dyDescent="0.3">
      <c r="A928" s="6">
        <v>45479</v>
      </c>
      <c r="B928" s="7">
        <v>45479.436190115739</v>
      </c>
      <c r="C928" s="8">
        <f t="shared" si="18"/>
        <v>10</v>
      </c>
      <c r="D928" s="8" t="s">
        <v>4</v>
      </c>
      <c r="E928" s="8" t="s">
        <v>372</v>
      </c>
      <c r="F928" s="9">
        <v>37.72</v>
      </c>
      <c r="G928" s="8" t="s">
        <v>13</v>
      </c>
      <c r="H928" s="8" t="str">
        <f t="shared" si="19"/>
        <v>Morning</v>
      </c>
      <c r="I928" s="8" t="str">
        <f t="shared" si="20"/>
        <v>Sat</v>
      </c>
      <c r="J928" s="8" t="str">
        <f t="shared" si="21"/>
        <v>Jul</v>
      </c>
      <c r="K928" s="8">
        <f t="shared" si="22"/>
        <v>6</v>
      </c>
      <c r="L928" s="8">
        <f t="shared" si="23"/>
        <v>7</v>
      </c>
    </row>
    <row r="929" spans="1:12" x14ac:dyDescent="0.3">
      <c r="A929" s="10">
        <v>45479</v>
      </c>
      <c r="B929" s="11">
        <v>45479.719282893515</v>
      </c>
      <c r="C929" s="12">
        <f t="shared" si="18"/>
        <v>17</v>
      </c>
      <c r="D929" s="12" t="s">
        <v>4</v>
      </c>
      <c r="E929" s="12" t="s">
        <v>25</v>
      </c>
      <c r="F929" s="13">
        <v>32.82</v>
      </c>
      <c r="G929" s="12" t="s">
        <v>13</v>
      </c>
      <c r="H929" s="12" t="str">
        <f t="shared" si="19"/>
        <v>Night</v>
      </c>
      <c r="I929" s="12" t="str">
        <f t="shared" si="20"/>
        <v>Sat</v>
      </c>
      <c r="J929" s="12" t="str">
        <f t="shared" si="21"/>
        <v>Jul</v>
      </c>
      <c r="K929" s="12">
        <f t="shared" si="22"/>
        <v>6</v>
      </c>
      <c r="L929" s="12">
        <f t="shared" si="23"/>
        <v>7</v>
      </c>
    </row>
    <row r="930" spans="1:12" x14ac:dyDescent="0.3">
      <c r="A930" s="6">
        <v>45479</v>
      </c>
      <c r="B930" s="7">
        <v>45479.720150995374</v>
      </c>
      <c r="C930" s="8">
        <f t="shared" si="18"/>
        <v>17</v>
      </c>
      <c r="D930" s="8" t="s">
        <v>4</v>
      </c>
      <c r="E930" s="8" t="s">
        <v>25</v>
      </c>
      <c r="F930" s="9">
        <v>32.82</v>
      </c>
      <c r="G930" s="8" t="s">
        <v>13</v>
      </c>
      <c r="H930" s="8" t="str">
        <f t="shared" si="19"/>
        <v>Night</v>
      </c>
      <c r="I930" s="8" t="str">
        <f t="shared" si="20"/>
        <v>Sat</v>
      </c>
      <c r="J930" s="8" t="str">
        <f t="shared" si="21"/>
        <v>Jul</v>
      </c>
      <c r="K930" s="8">
        <f t="shared" si="22"/>
        <v>6</v>
      </c>
      <c r="L930" s="8">
        <f t="shared" si="23"/>
        <v>7</v>
      </c>
    </row>
    <row r="931" spans="1:12" x14ac:dyDescent="0.3">
      <c r="A931" s="10">
        <v>45479</v>
      </c>
      <c r="B931" s="11">
        <v>45479.798450312497</v>
      </c>
      <c r="C931" s="12">
        <f t="shared" si="18"/>
        <v>19</v>
      </c>
      <c r="D931" s="12" t="s">
        <v>4</v>
      </c>
      <c r="E931" s="12" t="s">
        <v>29</v>
      </c>
      <c r="F931" s="13">
        <v>32.82</v>
      </c>
      <c r="G931" s="12" t="s">
        <v>13</v>
      </c>
      <c r="H931" s="12" t="str">
        <f t="shared" si="19"/>
        <v>Night</v>
      </c>
      <c r="I931" s="12" t="str">
        <f t="shared" si="20"/>
        <v>Sat</v>
      </c>
      <c r="J931" s="12" t="str">
        <f t="shared" si="21"/>
        <v>Jul</v>
      </c>
      <c r="K931" s="12">
        <f t="shared" si="22"/>
        <v>6</v>
      </c>
      <c r="L931" s="12">
        <f t="shared" si="23"/>
        <v>7</v>
      </c>
    </row>
    <row r="932" spans="1:12" x14ac:dyDescent="0.3">
      <c r="A932" s="6">
        <v>45479</v>
      </c>
      <c r="B932" s="7">
        <v>45479.799069212961</v>
      </c>
      <c r="C932" s="8">
        <f t="shared" si="18"/>
        <v>19</v>
      </c>
      <c r="D932" s="8" t="s">
        <v>4</v>
      </c>
      <c r="E932" s="8" t="s">
        <v>29</v>
      </c>
      <c r="F932" s="9">
        <v>27.92</v>
      </c>
      <c r="G932" s="8" t="s">
        <v>20</v>
      </c>
      <c r="H932" s="8" t="str">
        <f t="shared" si="19"/>
        <v>Night</v>
      </c>
      <c r="I932" s="8" t="str">
        <f t="shared" si="20"/>
        <v>Sat</v>
      </c>
      <c r="J932" s="8" t="str">
        <f t="shared" si="21"/>
        <v>Jul</v>
      </c>
      <c r="K932" s="8">
        <f t="shared" si="22"/>
        <v>6</v>
      </c>
      <c r="L932" s="8">
        <f t="shared" si="23"/>
        <v>7</v>
      </c>
    </row>
    <row r="933" spans="1:12" x14ac:dyDescent="0.3">
      <c r="A933" s="10">
        <v>45480</v>
      </c>
      <c r="B933" s="11">
        <v>45480.378011215274</v>
      </c>
      <c r="C933" s="12">
        <f t="shared" si="18"/>
        <v>9</v>
      </c>
      <c r="D933" s="12" t="s">
        <v>4</v>
      </c>
      <c r="E933" s="12" t="s">
        <v>323</v>
      </c>
      <c r="F933" s="13">
        <v>32.82</v>
      </c>
      <c r="G933" s="12" t="s">
        <v>49</v>
      </c>
      <c r="H933" s="12" t="str">
        <f t="shared" si="19"/>
        <v>Morning</v>
      </c>
      <c r="I933" s="12" t="str">
        <f t="shared" si="20"/>
        <v>Sun</v>
      </c>
      <c r="J933" s="12" t="str">
        <f t="shared" si="21"/>
        <v>Jul</v>
      </c>
      <c r="K933" s="12">
        <f t="shared" si="22"/>
        <v>7</v>
      </c>
      <c r="L933" s="12">
        <f t="shared" si="23"/>
        <v>7</v>
      </c>
    </row>
    <row r="934" spans="1:12" x14ac:dyDescent="0.3">
      <c r="A934" s="6">
        <v>45480</v>
      </c>
      <c r="B934" s="7">
        <v>45480.385060474538</v>
      </c>
      <c r="C934" s="8">
        <f t="shared" si="18"/>
        <v>9</v>
      </c>
      <c r="D934" s="8" t="s">
        <v>4</v>
      </c>
      <c r="E934" s="8" t="s">
        <v>373</v>
      </c>
      <c r="F934" s="9">
        <v>27.92</v>
      </c>
      <c r="G934" s="8" t="s">
        <v>20</v>
      </c>
      <c r="H934" s="8" t="str">
        <f t="shared" si="19"/>
        <v>Morning</v>
      </c>
      <c r="I934" s="8" t="str">
        <f t="shared" si="20"/>
        <v>Sun</v>
      </c>
      <c r="J934" s="8" t="str">
        <f t="shared" si="21"/>
        <v>Jul</v>
      </c>
      <c r="K934" s="8">
        <f t="shared" si="22"/>
        <v>7</v>
      </c>
      <c r="L934" s="8">
        <f t="shared" si="23"/>
        <v>7</v>
      </c>
    </row>
    <row r="935" spans="1:12" x14ac:dyDescent="0.3">
      <c r="A935" s="10">
        <v>45480</v>
      </c>
      <c r="B935" s="11">
        <v>45480.385842766205</v>
      </c>
      <c r="C935" s="12">
        <f t="shared" si="18"/>
        <v>9</v>
      </c>
      <c r="D935" s="12" t="s">
        <v>4</v>
      </c>
      <c r="E935" s="12" t="s">
        <v>373</v>
      </c>
      <c r="F935" s="13">
        <v>27.92</v>
      </c>
      <c r="G935" s="12" t="s">
        <v>20</v>
      </c>
      <c r="H935" s="12" t="str">
        <f t="shared" si="19"/>
        <v>Morning</v>
      </c>
      <c r="I935" s="12" t="str">
        <f t="shared" si="20"/>
        <v>Sun</v>
      </c>
      <c r="J935" s="12" t="str">
        <f t="shared" si="21"/>
        <v>Jul</v>
      </c>
      <c r="K935" s="12">
        <f t="shared" si="22"/>
        <v>7</v>
      </c>
      <c r="L935" s="12">
        <f t="shared" si="23"/>
        <v>7</v>
      </c>
    </row>
    <row r="936" spans="1:12" x14ac:dyDescent="0.3">
      <c r="A936" s="6">
        <v>45480</v>
      </c>
      <c r="B936" s="7">
        <v>45480.395010138891</v>
      </c>
      <c r="C936" s="8">
        <f t="shared" si="18"/>
        <v>9</v>
      </c>
      <c r="D936" s="8" t="s">
        <v>4</v>
      </c>
      <c r="E936" s="8" t="s">
        <v>374</v>
      </c>
      <c r="F936" s="9">
        <v>32.82</v>
      </c>
      <c r="G936" s="8" t="s">
        <v>49</v>
      </c>
      <c r="H936" s="8" t="str">
        <f t="shared" si="19"/>
        <v>Morning</v>
      </c>
      <c r="I936" s="8" t="str">
        <f t="shared" si="20"/>
        <v>Sun</v>
      </c>
      <c r="J936" s="8" t="str">
        <f t="shared" si="21"/>
        <v>Jul</v>
      </c>
      <c r="K936" s="8">
        <f t="shared" si="22"/>
        <v>7</v>
      </c>
      <c r="L936" s="8">
        <f t="shared" si="23"/>
        <v>7</v>
      </c>
    </row>
    <row r="937" spans="1:12" x14ac:dyDescent="0.3">
      <c r="A937" s="10">
        <v>45480</v>
      </c>
      <c r="B937" s="11">
        <v>45480.395789224538</v>
      </c>
      <c r="C937" s="12">
        <f t="shared" si="18"/>
        <v>9</v>
      </c>
      <c r="D937" s="12" t="s">
        <v>4</v>
      </c>
      <c r="E937" s="12" t="s">
        <v>374</v>
      </c>
      <c r="F937" s="13">
        <v>32.82</v>
      </c>
      <c r="G937" s="12" t="s">
        <v>49</v>
      </c>
      <c r="H937" s="12" t="str">
        <f t="shared" si="19"/>
        <v>Morning</v>
      </c>
      <c r="I937" s="12" t="str">
        <f t="shared" si="20"/>
        <v>Sun</v>
      </c>
      <c r="J937" s="12" t="str">
        <f t="shared" si="21"/>
        <v>Jul</v>
      </c>
      <c r="K937" s="12">
        <f t="shared" si="22"/>
        <v>7</v>
      </c>
      <c r="L937" s="12">
        <f t="shared" si="23"/>
        <v>7</v>
      </c>
    </row>
    <row r="938" spans="1:12" x14ac:dyDescent="0.3">
      <c r="A938" s="6">
        <v>45480</v>
      </c>
      <c r="B938" s="7">
        <v>45480.622571678243</v>
      </c>
      <c r="C938" s="8">
        <f t="shared" si="18"/>
        <v>14</v>
      </c>
      <c r="D938" s="8" t="s">
        <v>4</v>
      </c>
      <c r="E938" s="8" t="s">
        <v>375</v>
      </c>
      <c r="F938" s="9">
        <v>32.82</v>
      </c>
      <c r="G938" s="8" t="s">
        <v>15</v>
      </c>
      <c r="H938" s="8" t="str">
        <f t="shared" si="19"/>
        <v>Afternoon</v>
      </c>
      <c r="I938" s="8" t="str">
        <f t="shared" si="20"/>
        <v>Sun</v>
      </c>
      <c r="J938" s="8" t="str">
        <f t="shared" si="21"/>
        <v>Jul</v>
      </c>
      <c r="K938" s="8">
        <f t="shared" si="22"/>
        <v>7</v>
      </c>
      <c r="L938" s="8">
        <f t="shared" si="23"/>
        <v>7</v>
      </c>
    </row>
    <row r="939" spans="1:12" x14ac:dyDescent="0.3">
      <c r="A939" s="10">
        <v>45480</v>
      </c>
      <c r="B939" s="11">
        <v>45480.623465405093</v>
      </c>
      <c r="C939" s="12">
        <f t="shared" si="18"/>
        <v>14</v>
      </c>
      <c r="D939" s="12" t="s">
        <v>4</v>
      </c>
      <c r="E939" s="12" t="s">
        <v>375</v>
      </c>
      <c r="F939" s="13">
        <v>32.82</v>
      </c>
      <c r="G939" s="12" t="s">
        <v>24</v>
      </c>
      <c r="H939" s="12" t="str">
        <f t="shared" si="19"/>
        <v>Afternoon</v>
      </c>
      <c r="I939" s="12" t="str">
        <f t="shared" si="20"/>
        <v>Sun</v>
      </c>
      <c r="J939" s="12" t="str">
        <f t="shared" si="21"/>
        <v>Jul</v>
      </c>
      <c r="K939" s="12">
        <f t="shared" si="22"/>
        <v>7</v>
      </c>
      <c r="L939" s="12">
        <f t="shared" si="23"/>
        <v>7</v>
      </c>
    </row>
    <row r="940" spans="1:12" x14ac:dyDescent="0.3">
      <c r="A940" s="6">
        <v>45480</v>
      </c>
      <c r="B940" s="7">
        <v>45480.713776435186</v>
      </c>
      <c r="C940" s="8">
        <f t="shared" si="18"/>
        <v>17</v>
      </c>
      <c r="D940" s="8" t="s">
        <v>4</v>
      </c>
      <c r="E940" s="8" t="s">
        <v>376</v>
      </c>
      <c r="F940" s="9">
        <v>32.82</v>
      </c>
      <c r="G940" s="8" t="s">
        <v>13</v>
      </c>
      <c r="H940" s="8" t="str">
        <f t="shared" si="19"/>
        <v>Night</v>
      </c>
      <c r="I940" s="8" t="str">
        <f t="shared" si="20"/>
        <v>Sun</v>
      </c>
      <c r="J940" s="8" t="str">
        <f t="shared" si="21"/>
        <v>Jul</v>
      </c>
      <c r="K940" s="8">
        <f t="shared" si="22"/>
        <v>7</v>
      </c>
      <c r="L940" s="8">
        <f t="shared" si="23"/>
        <v>7</v>
      </c>
    </row>
    <row r="941" spans="1:12" x14ac:dyDescent="0.3">
      <c r="A941" s="10">
        <v>45480</v>
      </c>
      <c r="B941" s="11">
        <v>45480.814897997683</v>
      </c>
      <c r="C941" s="12">
        <f t="shared" si="18"/>
        <v>19</v>
      </c>
      <c r="D941" s="12" t="s">
        <v>4</v>
      </c>
      <c r="E941" s="12" t="s">
        <v>377</v>
      </c>
      <c r="F941" s="13">
        <v>32.82</v>
      </c>
      <c r="G941" s="12" t="s">
        <v>49</v>
      </c>
      <c r="H941" s="12" t="str">
        <f t="shared" si="19"/>
        <v>Night</v>
      </c>
      <c r="I941" s="12" t="str">
        <f t="shared" si="20"/>
        <v>Sun</v>
      </c>
      <c r="J941" s="12" t="str">
        <f t="shared" si="21"/>
        <v>Jul</v>
      </c>
      <c r="K941" s="12">
        <f t="shared" si="22"/>
        <v>7</v>
      </c>
      <c r="L941" s="12">
        <f t="shared" si="23"/>
        <v>7</v>
      </c>
    </row>
    <row r="942" spans="1:12" x14ac:dyDescent="0.3">
      <c r="A942" s="6">
        <v>45480</v>
      </c>
      <c r="B942" s="7">
        <v>45480.834394131947</v>
      </c>
      <c r="C942" s="8">
        <f t="shared" si="18"/>
        <v>20</v>
      </c>
      <c r="D942" s="8" t="s">
        <v>4</v>
      </c>
      <c r="E942" s="8" t="s">
        <v>378</v>
      </c>
      <c r="F942" s="9">
        <v>32.82</v>
      </c>
      <c r="G942" s="8" t="s">
        <v>15</v>
      </c>
      <c r="H942" s="8" t="str">
        <f t="shared" si="19"/>
        <v>Night</v>
      </c>
      <c r="I942" s="8" t="str">
        <f t="shared" si="20"/>
        <v>Sun</v>
      </c>
      <c r="J942" s="8" t="str">
        <f t="shared" si="21"/>
        <v>Jul</v>
      </c>
      <c r="K942" s="8">
        <f t="shared" si="22"/>
        <v>7</v>
      </c>
      <c r="L942" s="8">
        <f t="shared" si="23"/>
        <v>7</v>
      </c>
    </row>
    <row r="943" spans="1:12" x14ac:dyDescent="0.3">
      <c r="A943" s="10">
        <v>45480</v>
      </c>
      <c r="B943" s="11">
        <v>45480.940002951385</v>
      </c>
      <c r="C943" s="12">
        <f t="shared" si="18"/>
        <v>22</v>
      </c>
      <c r="D943" s="12" t="s">
        <v>4</v>
      </c>
      <c r="E943" s="12" t="s">
        <v>379</v>
      </c>
      <c r="F943" s="13">
        <v>27.92</v>
      </c>
      <c r="G943" s="12" t="s">
        <v>20</v>
      </c>
      <c r="H943" s="12" t="str">
        <f t="shared" si="19"/>
        <v>Night</v>
      </c>
      <c r="I943" s="12" t="str">
        <f t="shared" si="20"/>
        <v>Sun</v>
      </c>
      <c r="J943" s="12" t="str">
        <f t="shared" si="21"/>
        <v>Jul</v>
      </c>
      <c r="K943" s="12">
        <f t="shared" si="22"/>
        <v>7</v>
      </c>
      <c r="L943" s="12">
        <f t="shared" si="23"/>
        <v>7</v>
      </c>
    </row>
    <row r="944" spans="1:12" x14ac:dyDescent="0.3">
      <c r="A944" s="6">
        <v>45481</v>
      </c>
      <c r="B944" s="7">
        <v>45481.314672731482</v>
      </c>
      <c r="C944" s="8">
        <f t="shared" si="18"/>
        <v>7</v>
      </c>
      <c r="D944" s="8" t="s">
        <v>4</v>
      </c>
      <c r="E944" s="8" t="s">
        <v>380</v>
      </c>
      <c r="F944" s="9">
        <v>32.82</v>
      </c>
      <c r="G944" s="8" t="s">
        <v>13</v>
      </c>
      <c r="H944" s="8" t="str">
        <f t="shared" si="19"/>
        <v>Morning</v>
      </c>
      <c r="I944" s="8" t="str">
        <f t="shared" si="20"/>
        <v>Mon</v>
      </c>
      <c r="J944" s="8" t="str">
        <f t="shared" si="21"/>
        <v>Jul</v>
      </c>
      <c r="K944" s="8">
        <f t="shared" si="22"/>
        <v>1</v>
      </c>
      <c r="L944" s="8">
        <f t="shared" si="23"/>
        <v>7</v>
      </c>
    </row>
    <row r="945" spans="1:12" x14ac:dyDescent="0.3">
      <c r="A945" s="10">
        <v>45481</v>
      </c>
      <c r="B945" s="11">
        <v>45481.501972465281</v>
      </c>
      <c r="C945" s="12">
        <f t="shared" si="18"/>
        <v>12</v>
      </c>
      <c r="D945" s="12" t="s">
        <v>4</v>
      </c>
      <c r="E945" s="12" t="s">
        <v>381</v>
      </c>
      <c r="F945" s="13">
        <v>23.02</v>
      </c>
      <c r="G945" s="12" t="s">
        <v>17</v>
      </c>
      <c r="H945" s="12" t="str">
        <f t="shared" si="19"/>
        <v>Afternoon</v>
      </c>
      <c r="I945" s="12" t="str">
        <f t="shared" si="20"/>
        <v>Mon</v>
      </c>
      <c r="J945" s="12" t="str">
        <f t="shared" si="21"/>
        <v>Jul</v>
      </c>
      <c r="K945" s="12">
        <f t="shared" si="22"/>
        <v>1</v>
      </c>
      <c r="L945" s="12">
        <f t="shared" si="23"/>
        <v>7</v>
      </c>
    </row>
    <row r="946" spans="1:12" x14ac:dyDescent="0.3">
      <c r="A946" s="6">
        <v>45481</v>
      </c>
      <c r="B946" s="7">
        <v>45481.611392939813</v>
      </c>
      <c r="C946" s="8">
        <f t="shared" si="18"/>
        <v>14</v>
      </c>
      <c r="D946" s="8" t="s">
        <v>4</v>
      </c>
      <c r="E946" s="8" t="s">
        <v>382</v>
      </c>
      <c r="F946" s="9">
        <v>23.02</v>
      </c>
      <c r="G946" s="8" t="s">
        <v>17</v>
      </c>
      <c r="H946" s="8" t="str">
        <f t="shared" si="19"/>
        <v>Afternoon</v>
      </c>
      <c r="I946" s="8" t="str">
        <f t="shared" si="20"/>
        <v>Mon</v>
      </c>
      <c r="J946" s="8" t="str">
        <f t="shared" si="21"/>
        <v>Jul</v>
      </c>
      <c r="K946" s="8">
        <f t="shared" si="22"/>
        <v>1</v>
      </c>
      <c r="L946" s="8">
        <f t="shared" si="23"/>
        <v>7</v>
      </c>
    </row>
    <row r="947" spans="1:12" x14ac:dyDescent="0.3">
      <c r="A947" s="10">
        <v>45481</v>
      </c>
      <c r="B947" s="11">
        <v>45481.812904814811</v>
      </c>
      <c r="C947" s="12">
        <f t="shared" si="18"/>
        <v>19</v>
      </c>
      <c r="D947" s="12" t="s">
        <v>4</v>
      </c>
      <c r="E947" s="12" t="s">
        <v>383</v>
      </c>
      <c r="F947" s="13">
        <v>27.92</v>
      </c>
      <c r="G947" s="12" t="s">
        <v>20</v>
      </c>
      <c r="H947" s="12" t="str">
        <f t="shared" si="19"/>
        <v>Night</v>
      </c>
      <c r="I947" s="12" t="str">
        <f t="shared" si="20"/>
        <v>Mon</v>
      </c>
      <c r="J947" s="12" t="str">
        <f t="shared" si="21"/>
        <v>Jul</v>
      </c>
      <c r="K947" s="12">
        <f t="shared" si="22"/>
        <v>1</v>
      </c>
      <c r="L947" s="12">
        <f t="shared" si="23"/>
        <v>7</v>
      </c>
    </row>
    <row r="948" spans="1:12" x14ac:dyDescent="0.3">
      <c r="A948" s="6">
        <v>45481</v>
      </c>
      <c r="B948" s="7">
        <v>45481.926923379629</v>
      </c>
      <c r="C948" s="8">
        <f t="shared" si="18"/>
        <v>22</v>
      </c>
      <c r="D948" s="8" t="s">
        <v>4</v>
      </c>
      <c r="E948" s="8" t="s">
        <v>37</v>
      </c>
      <c r="F948" s="9">
        <v>32.82</v>
      </c>
      <c r="G948" s="8" t="s">
        <v>13</v>
      </c>
      <c r="H948" s="8" t="str">
        <f t="shared" si="19"/>
        <v>Night</v>
      </c>
      <c r="I948" s="8" t="str">
        <f t="shared" si="20"/>
        <v>Mon</v>
      </c>
      <c r="J948" s="8" t="str">
        <f t="shared" si="21"/>
        <v>Jul</v>
      </c>
      <c r="K948" s="8">
        <f t="shared" si="22"/>
        <v>1</v>
      </c>
      <c r="L948" s="8">
        <f t="shared" si="23"/>
        <v>7</v>
      </c>
    </row>
    <row r="949" spans="1:12" x14ac:dyDescent="0.3">
      <c r="A949" s="10">
        <v>45482</v>
      </c>
      <c r="B949" s="11">
        <v>45482.435325671293</v>
      </c>
      <c r="C949" s="12">
        <f t="shared" si="18"/>
        <v>10</v>
      </c>
      <c r="D949" s="12" t="s">
        <v>4</v>
      </c>
      <c r="E949" s="12" t="s">
        <v>353</v>
      </c>
      <c r="F949" s="13">
        <v>27.92</v>
      </c>
      <c r="G949" s="12" t="s">
        <v>20</v>
      </c>
      <c r="H949" s="12" t="str">
        <f t="shared" si="19"/>
        <v>Morning</v>
      </c>
      <c r="I949" s="12" t="str">
        <f t="shared" si="20"/>
        <v>Tue</v>
      </c>
      <c r="J949" s="12" t="str">
        <f t="shared" si="21"/>
        <v>Jul</v>
      </c>
      <c r="K949" s="12">
        <f t="shared" si="22"/>
        <v>2</v>
      </c>
      <c r="L949" s="12">
        <f t="shared" si="23"/>
        <v>7</v>
      </c>
    </row>
    <row r="950" spans="1:12" x14ac:dyDescent="0.3">
      <c r="A950" s="6">
        <v>45482</v>
      </c>
      <c r="B950" s="7">
        <v>45482.444777395831</v>
      </c>
      <c r="C950" s="8">
        <f t="shared" si="18"/>
        <v>10</v>
      </c>
      <c r="D950" s="8" t="s">
        <v>4</v>
      </c>
      <c r="E950" s="8" t="s">
        <v>296</v>
      </c>
      <c r="F950" s="9">
        <v>27.92</v>
      </c>
      <c r="G950" s="8" t="s">
        <v>20</v>
      </c>
      <c r="H950" s="8" t="str">
        <f t="shared" si="19"/>
        <v>Morning</v>
      </c>
      <c r="I950" s="8" t="str">
        <f t="shared" si="20"/>
        <v>Tue</v>
      </c>
      <c r="J950" s="8" t="str">
        <f t="shared" si="21"/>
        <v>Jul</v>
      </c>
      <c r="K950" s="8">
        <f t="shared" si="22"/>
        <v>2</v>
      </c>
      <c r="L950" s="8">
        <f t="shared" si="23"/>
        <v>7</v>
      </c>
    </row>
    <row r="951" spans="1:12" x14ac:dyDescent="0.3">
      <c r="A951" s="10">
        <v>45482</v>
      </c>
      <c r="B951" s="11">
        <v>45482.473334525464</v>
      </c>
      <c r="C951" s="12">
        <f t="shared" si="18"/>
        <v>11</v>
      </c>
      <c r="D951" s="12" t="s">
        <v>4</v>
      </c>
      <c r="E951" s="12" t="s">
        <v>214</v>
      </c>
      <c r="F951" s="13">
        <v>27.92</v>
      </c>
      <c r="G951" s="12" t="s">
        <v>20</v>
      </c>
      <c r="H951" s="12" t="str">
        <f t="shared" si="19"/>
        <v>Morning</v>
      </c>
      <c r="I951" s="12" t="str">
        <f t="shared" si="20"/>
        <v>Tue</v>
      </c>
      <c r="J951" s="12" t="str">
        <f t="shared" si="21"/>
        <v>Jul</v>
      </c>
      <c r="K951" s="12">
        <f t="shared" si="22"/>
        <v>2</v>
      </c>
      <c r="L951" s="12">
        <f t="shared" si="23"/>
        <v>7</v>
      </c>
    </row>
    <row r="952" spans="1:12" x14ac:dyDescent="0.3">
      <c r="A952" s="6">
        <v>45482</v>
      </c>
      <c r="B952" s="7">
        <v>45482.474188703702</v>
      </c>
      <c r="C952" s="8">
        <f t="shared" si="18"/>
        <v>11</v>
      </c>
      <c r="D952" s="8" t="s">
        <v>4</v>
      </c>
      <c r="E952" s="8" t="s">
        <v>214</v>
      </c>
      <c r="F952" s="9">
        <v>32.82</v>
      </c>
      <c r="G952" s="8" t="s">
        <v>49</v>
      </c>
      <c r="H952" s="8" t="str">
        <f t="shared" si="19"/>
        <v>Morning</v>
      </c>
      <c r="I952" s="8" t="str">
        <f t="shared" si="20"/>
        <v>Tue</v>
      </c>
      <c r="J952" s="8" t="str">
        <f t="shared" si="21"/>
        <v>Jul</v>
      </c>
      <c r="K952" s="8">
        <f t="shared" si="22"/>
        <v>2</v>
      </c>
      <c r="L952" s="8">
        <f t="shared" si="23"/>
        <v>7</v>
      </c>
    </row>
    <row r="953" spans="1:12" x14ac:dyDescent="0.3">
      <c r="A953" s="10">
        <v>45482</v>
      </c>
      <c r="B953" s="11">
        <v>45482.696522395832</v>
      </c>
      <c r="C953" s="12">
        <f t="shared" si="18"/>
        <v>16</v>
      </c>
      <c r="D953" s="12" t="s">
        <v>4</v>
      </c>
      <c r="E953" s="12" t="s">
        <v>384</v>
      </c>
      <c r="F953" s="13">
        <v>27.92</v>
      </c>
      <c r="G953" s="12" t="s">
        <v>20</v>
      </c>
      <c r="H953" s="12" t="str">
        <f t="shared" si="19"/>
        <v>Afternoon</v>
      </c>
      <c r="I953" s="12" t="str">
        <f t="shared" si="20"/>
        <v>Tue</v>
      </c>
      <c r="J953" s="12" t="str">
        <f t="shared" si="21"/>
        <v>Jul</v>
      </c>
      <c r="K953" s="12">
        <f t="shared" si="22"/>
        <v>2</v>
      </c>
      <c r="L953" s="12">
        <f t="shared" si="23"/>
        <v>7</v>
      </c>
    </row>
    <row r="954" spans="1:12" x14ac:dyDescent="0.3">
      <c r="A954" s="6">
        <v>45483</v>
      </c>
      <c r="B954" s="7">
        <v>45483.465760300925</v>
      </c>
      <c r="C954" s="8">
        <f t="shared" si="18"/>
        <v>11</v>
      </c>
      <c r="D954" s="8" t="s">
        <v>4</v>
      </c>
      <c r="E954" s="8" t="s">
        <v>385</v>
      </c>
      <c r="F954" s="9">
        <v>23.02</v>
      </c>
      <c r="G954" s="8" t="s">
        <v>17</v>
      </c>
      <c r="H954" s="8" t="str">
        <f t="shared" si="19"/>
        <v>Morning</v>
      </c>
      <c r="I954" s="8" t="str">
        <f t="shared" si="20"/>
        <v>Wed</v>
      </c>
      <c r="J954" s="8" t="str">
        <f t="shared" si="21"/>
        <v>Jul</v>
      </c>
      <c r="K954" s="8">
        <f t="shared" si="22"/>
        <v>3</v>
      </c>
      <c r="L954" s="8">
        <f t="shared" si="23"/>
        <v>7</v>
      </c>
    </row>
    <row r="955" spans="1:12" x14ac:dyDescent="0.3">
      <c r="A955" s="10">
        <v>45483</v>
      </c>
      <c r="B955" s="11">
        <v>45483.520065497687</v>
      </c>
      <c r="C955" s="12">
        <f t="shared" si="18"/>
        <v>12</v>
      </c>
      <c r="D955" s="12" t="s">
        <v>4</v>
      </c>
      <c r="E955" s="12" t="s">
        <v>386</v>
      </c>
      <c r="F955" s="13">
        <v>27.92</v>
      </c>
      <c r="G955" s="12" t="s">
        <v>20</v>
      </c>
      <c r="H955" s="12" t="str">
        <f t="shared" si="19"/>
        <v>Afternoon</v>
      </c>
      <c r="I955" s="12" t="str">
        <f t="shared" si="20"/>
        <v>Wed</v>
      </c>
      <c r="J955" s="12" t="str">
        <f t="shared" si="21"/>
        <v>Jul</v>
      </c>
      <c r="K955" s="12">
        <f t="shared" si="22"/>
        <v>3</v>
      </c>
      <c r="L955" s="12">
        <f t="shared" si="23"/>
        <v>7</v>
      </c>
    </row>
    <row r="956" spans="1:12" x14ac:dyDescent="0.3">
      <c r="A956" s="6">
        <v>45483</v>
      </c>
      <c r="B956" s="7">
        <v>45483.925810752313</v>
      </c>
      <c r="C956" s="8">
        <f t="shared" si="18"/>
        <v>22</v>
      </c>
      <c r="D956" s="8" t="s">
        <v>4</v>
      </c>
      <c r="E956" s="8" t="s">
        <v>348</v>
      </c>
      <c r="F956" s="9">
        <v>32.82</v>
      </c>
      <c r="G956" s="8" t="s">
        <v>13</v>
      </c>
      <c r="H956" s="8" t="str">
        <f t="shared" si="19"/>
        <v>Night</v>
      </c>
      <c r="I956" s="8" t="str">
        <f t="shared" si="20"/>
        <v>Wed</v>
      </c>
      <c r="J956" s="8" t="str">
        <f t="shared" si="21"/>
        <v>Jul</v>
      </c>
      <c r="K956" s="8">
        <f t="shared" si="22"/>
        <v>3</v>
      </c>
      <c r="L956" s="8">
        <f t="shared" si="23"/>
        <v>7</v>
      </c>
    </row>
    <row r="957" spans="1:12" x14ac:dyDescent="0.3">
      <c r="A957" s="10">
        <v>45484</v>
      </c>
      <c r="B957" s="11">
        <v>45484.477402337965</v>
      </c>
      <c r="C957" s="12">
        <f t="shared" si="18"/>
        <v>11</v>
      </c>
      <c r="D957" s="12" t="s">
        <v>4</v>
      </c>
      <c r="E957" s="12" t="s">
        <v>387</v>
      </c>
      <c r="F957" s="13">
        <v>32.82</v>
      </c>
      <c r="G957" s="12" t="s">
        <v>15</v>
      </c>
      <c r="H957" s="12" t="str">
        <f t="shared" si="19"/>
        <v>Morning</v>
      </c>
      <c r="I957" s="12" t="str">
        <f t="shared" si="20"/>
        <v>Thu</v>
      </c>
      <c r="J957" s="12" t="str">
        <f t="shared" si="21"/>
        <v>Jul</v>
      </c>
      <c r="K957" s="12">
        <f t="shared" si="22"/>
        <v>4</v>
      </c>
      <c r="L957" s="12">
        <f t="shared" si="23"/>
        <v>7</v>
      </c>
    </row>
    <row r="958" spans="1:12" x14ac:dyDescent="0.3">
      <c r="A958" s="6">
        <v>45484</v>
      </c>
      <c r="B958" s="7">
        <v>45484.70021653935</v>
      </c>
      <c r="C958" s="8">
        <f t="shared" si="18"/>
        <v>16</v>
      </c>
      <c r="D958" s="8" t="s">
        <v>4</v>
      </c>
      <c r="E958" s="8" t="s">
        <v>388</v>
      </c>
      <c r="F958" s="9">
        <v>27.92</v>
      </c>
      <c r="G958" s="8" t="s">
        <v>20</v>
      </c>
      <c r="H958" s="8" t="str">
        <f t="shared" si="19"/>
        <v>Afternoon</v>
      </c>
      <c r="I958" s="8" t="str">
        <f t="shared" si="20"/>
        <v>Thu</v>
      </c>
      <c r="J958" s="8" t="str">
        <f t="shared" si="21"/>
        <v>Jul</v>
      </c>
      <c r="K958" s="8">
        <f t="shared" si="22"/>
        <v>4</v>
      </c>
      <c r="L958" s="8">
        <f t="shared" si="23"/>
        <v>7</v>
      </c>
    </row>
    <row r="959" spans="1:12" x14ac:dyDescent="0.3">
      <c r="A959" s="10">
        <v>45484</v>
      </c>
      <c r="B959" s="11">
        <v>45484.932102407409</v>
      </c>
      <c r="C959" s="12">
        <f t="shared" si="18"/>
        <v>22</v>
      </c>
      <c r="D959" s="12" t="s">
        <v>4</v>
      </c>
      <c r="E959" s="12" t="s">
        <v>389</v>
      </c>
      <c r="F959" s="13">
        <v>32.82</v>
      </c>
      <c r="G959" s="12" t="s">
        <v>13</v>
      </c>
      <c r="H959" s="12" t="str">
        <f t="shared" si="19"/>
        <v>Night</v>
      </c>
      <c r="I959" s="12" t="str">
        <f t="shared" si="20"/>
        <v>Thu</v>
      </c>
      <c r="J959" s="12" t="str">
        <f t="shared" si="21"/>
        <v>Jul</v>
      </c>
      <c r="K959" s="12">
        <f t="shared" si="22"/>
        <v>4</v>
      </c>
      <c r="L959" s="12">
        <f t="shared" si="23"/>
        <v>7</v>
      </c>
    </row>
    <row r="960" spans="1:12" x14ac:dyDescent="0.3">
      <c r="A960" s="6">
        <v>45484</v>
      </c>
      <c r="B960" s="7">
        <v>45484.938177557873</v>
      </c>
      <c r="C960" s="8">
        <f t="shared" si="18"/>
        <v>22</v>
      </c>
      <c r="D960" s="8" t="s">
        <v>4</v>
      </c>
      <c r="E960" s="8" t="s">
        <v>390</v>
      </c>
      <c r="F960" s="9">
        <v>23.02</v>
      </c>
      <c r="G960" s="8" t="s">
        <v>17</v>
      </c>
      <c r="H960" s="8" t="str">
        <f t="shared" si="19"/>
        <v>Night</v>
      </c>
      <c r="I960" s="8" t="str">
        <f t="shared" si="20"/>
        <v>Thu</v>
      </c>
      <c r="J960" s="8" t="str">
        <f t="shared" si="21"/>
        <v>Jul</v>
      </c>
      <c r="K960" s="8">
        <f t="shared" si="22"/>
        <v>4</v>
      </c>
      <c r="L960" s="8">
        <f t="shared" si="23"/>
        <v>7</v>
      </c>
    </row>
    <row r="961" spans="1:12" x14ac:dyDescent="0.3">
      <c r="A961" s="10">
        <v>45485</v>
      </c>
      <c r="B961" s="11">
        <v>45485.335619120371</v>
      </c>
      <c r="C961" s="12">
        <f t="shared" si="18"/>
        <v>8</v>
      </c>
      <c r="D961" s="12" t="s">
        <v>4</v>
      </c>
      <c r="E961" s="12" t="s">
        <v>391</v>
      </c>
      <c r="F961" s="13">
        <v>23.02</v>
      </c>
      <c r="G961" s="12" t="s">
        <v>34</v>
      </c>
      <c r="H961" s="12" t="str">
        <f t="shared" si="19"/>
        <v>Morning</v>
      </c>
      <c r="I961" s="12" t="str">
        <f t="shared" si="20"/>
        <v>Fri</v>
      </c>
      <c r="J961" s="12" t="str">
        <f t="shared" si="21"/>
        <v>Jul</v>
      </c>
      <c r="K961" s="12">
        <f t="shared" si="22"/>
        <v>5</v>
      </c>
      <c r="L961" s="12">
        <f t="shared" si="23"/>
        <v>7</v>
      </c>
    </row>
    <row r="962" spans="1:12" x14ac:dyDescent="0.3">
      <c r="A962" s="6">
        <v>45485</v>
      </c>
      <c r="B962" s="7">
        <v>45485.492053020833</v>
      </c>
      <c r="C962" s="8">
        <f t="shared" si="18"/>
        <v>11</v>
      </c>
      <c r="D962" s="8" t="s">
        <v>4</v>
      </c>
      <c r="E962" s="8" t="s">
        <v>392</v>
      </c>
      <c r="F962" s="9">
        <v>32.82</v>
      </c>
      <c r="G962" s="8" t="s">
        <v>15</v>
      </c>
      <c r="H962" s="8" t="str">
        <f t="shared" si="19"/>
        <v>Morning</v>
      </c>
      <c r="I962" s="8" t="str">
        <f t="shared" si="20"/>
        <v>Fri</v>
      </c>
      <c r="J962" s="8" t="str">
        <f t="shared" si="21"/>
        <v>Jul</v>
      </c>
      <c r="K962" s="8">
        <f t="shared" si="22"/>
        <v>5</v>
      </c>
      <c r="L962" s="8">
        <f t="shared" si="23"/>
        <v>7</v>
      </c>
    </row>
    <row r="963" spans="1:12" x14ac:dyDescent="0.3">
      <c r="A963" s="10">
        <v>45485</v>
      </c>
      <c r="B963" s="11">
        <v>45485.939879502315</v>
      </c>
      <c r="C963" s="12">
        <f t="shared" si="18"/>
        <v>22</v>
      </c>
      <c r="D963" s="12" t="s">
        <v>4</v>
      </c>
      <c r="E963" s="12" t="s">
        <v>198</v>
      </c>
      <c r="F963" s="13">
        <v>32.82</v>
      </c>
      <c r="G963" s="12" t="s">
        <v>15</v>
      </c>
      <c r="H963" s="12" t="str">
        <f t="shared" si="19"/>
        <v>Night</v>
      </c>
      <c r="I963" s="12" t="str">
        <f t="shared" si="20"/>
        <v>Fri</v>
      </c>
      <c r="J963" s="12" t="str">
        <f t="shared" si="21"/>
        <v>Jul</v>
      </c>
      <c r="K963" s="12">
        <f t="shared" si="22"/>
        <v>5</v>
      </c>
      <c r="L963" s="12">
        <f t="shared" si="23"/>
        <v>7</v>
      </c>
    </row>
    <row r="964" spans="1:12" x14ac:dyDescent="0.3">
      <c r="A964" s="6">
        <v>45485</v>
      </c>
      <c r="B964" s="7">
        <v>45485.940443368054</v>
      </c>
      <c r="C964" s="8">
        <f t="shared" si="18"/>
        <v>22</v>
      </c>
      <c r="D964" s="8" t="s">
        <v>4</v>
      </c>
      <c r="E964" s="8" t="s">
        <v>197</v>
      </c>
      <c r="F964" s="9">
        <v>32.82</v>
      </c>
      <c r="G964" s="8" t="s">
        <v>15</v>
      </c>
      <c r="H964" s="8" t="str">
        <f t="shared" si="19"/>
        <v>Night</v>
      </c>
      <c r="I964" s="8" t="str">
        <f t="shared" si="20"/>
        <v>Fri</v>
      </c>
      <c r="J964" s="8" t="str">
        <f t="shared" si="21"/>
        <v>Jul</v>
      </c>
      <c r="K964" s="8">
        <f t="shared" si="22"/>
        <v>5</v>
      </c>
      <c r="L964" s="8">
        <f t="shared" si="23"/>
        <v>7</v>
      </c>
    </row>
    <row r="965" spans="1:12" x14ac:dyDescent="0.3">
      <c r="A965" s="10">
        <v>45485</v>
      </c>
      <c r="B965" s="11">
        <v>45485.94131386574</v>
      </c>
      <c r="C965" s="12">
        <f t="shared" si="18"/>
        <v>22</v>
      </c>
      <c r="D965" s="12" t="s">
        <v>4</v>
      </c>
      <c r="E965" s="12" t="s">
        <v>199</v>
      </c>
      <c r="F965" s="13">
        <v>32.82</v>
      </c>
      <c r="G965" s="12" t="s">
        <v>15</v>
      </c>
      <c r="H965" s="12" t="str">
        <f t="shared" si="19"/>
        <v>Night</v>
      </c>
      <c r="I965" s="12" t="str">
        <f t="shared" si="20"/>
        <v>Fri</v>
      </c>
      <c r="J965" s="12" t="str">
        <f t="shared" si="21"/>
        <v>Jul</v>
      </c>
      <c r="K965" s="12">
        <f t="shared" si="22"/>
        <v>5</v>
      </c>
      <c r="L965" s="12">
        <f t="shared" si="23"/>
        <v>7</v>
      </c>
    </row>
    <row r="966" spans="1:12" x14ac:dyDescent="0.3">
      <c r="A966" s="6">
        <v>45486</v>
      </c>
      <c r="B966" s="7">
        <v>45486.443174456021</v>
      </c>
      <c r="C966" s="8">
        <f t="shared" si="18"/>
        <v>10</v>
      </c>
      <c r="D966" s="8" t="s">
        <v>4</v>
      </c>
      <c r="E966" s="8" t="s">
        <v>385</v>
      </c>
      <c r="F966" s="9">
        <v>32.82</v>
      </c>
      <c r="G966" s="8" t="s">
        <v>13</v>
      </c>
      <c r="H966" s="8" t="str">
        <f t="shared" si="19"/>
        <v>Morning</v>
      </c>
      <c r="I966" s="8" t="str">
        <f t="shared" si="20"/>
        <v>Sat</v>
      </c>
      <c r="J966" s="8" t="str">
        <f t="shared" si="21"/>
        <v>Jul</v>
      </c>
      <c r="K966" s="8">
        <f t="shared" si="22"/>
        <v>6</v>
      </c>
      <c r="L966" s="8">
        <f t="shared" si="23"/>
        <v>7</v>
      </c>
    </row>
    <row r="967" spans="1:12" x14ac:dyDescent="0.3">
      <c r="A967" s="10">
        <v>45486</v>
      </c>
      <c r="B967" s="11">
        <v>45486.487246400466</v>
      </c>
      <c r="C967" s="12">
        <f t="shared" si="18"/>
        <v>11</v>
      </c>
      <c r="D967" s="12" t="s">
        <v>4</v>
      </c>
      <c r="E967" s="12" t="s">
        <v>385</v>
      </c>
      <c r="F967" s="13">
        <v>32.82</v>
      </c>
      <c r="G967" s="12" t="s">
        <v>13</v>
      </c>
      <c r="H967" s="12" t="str">
        <f t="shared" si="19"/>
        <v>Morning</v>
      </c>
      <c r="I967" s="12" t="str">
        <f t="shared" si="20"/>
        <v>Sat</v>
      </c>
      <c r="J967" s="12" t="str">
        <f t="shared" si="21"/>
        <v>Jul</v>
      </c>
      <c r="K967" s="12">
        <f t="shared" si="22"/>
        <v>6</v>
      </c>
      <c r="L967" s="12">
        <f t="shared" si="23"/>
        <v>7</v>
      </c>
    </row>
    <row r="968" spans="1:12" x14ac:dyDescent="0.3">
      <c r="A968" s="6">
        <v>45487</v>
      </c>
      <c r="B968" s="7">
        <v>45487.454447997683</v>
      </c>
      <c r="C968" s="8">
        <f t="shared" si="18"/>
        <v>10</v>
      </c>
      <c r="D968" s="8" t="s">
        <v>4</v>
      </c>
      <c r="E968" s="8" t="s">
        <v>393</v>
      </c>
      <c r="F968" s="9">
        <v>23.02</v>
      </c>
      <c r="G968" s="8" t="s">
        <v>17</v>
      </c>
      <c r="H968" s="8" t="str">
        <f t="shared" si="19"/>
        <v>Morning</v>
      </c>
      <c r="I968" s="8" t="str">
        <f t="shared" si="20"/>
        <v>Sun</v>
      </c>
      <c r="J968" s="8" t="str">
        <f t="shared" si="21"/>
        <v>Jul</v>
      </c>
      <c r="K968" s="8">
        <f t="shared" si="22"/>
        <v>7</v>
      </c>
      <c r="L968" s="8">
        <f t="shared" si="23"/>
        <v>7</v>
      </c>
    </row>
    <row r="969" spans="1:12" x14ac:dyDescent="0.3">
      <c r="A969" s="10">
        <v>45487</v>
      </c>
      <c r="B969" s="11">
        <v>45487.455214409725</v>
      </c>
      <c r="C969" s="12">
        <f t="shared" si="18"/>
        <v>10</v>
      </c>
      <c r="D969" s="12" t="s">
        <v>4</v>
      </c>
      <c r="E969" s="12" t="s">
        <v>393</v>
      </c>
      <c r="F969" s="13">
        <v>27.92</v>
      </c>
      <c r="G969" s="12" t="s">
        <v>20</v>
      </c>
      <c r="H969" s="12" t="str">
        <f t="shared" si="19"/>
        <v>Morning</v>
      </c>
      <c r="I969" s="12" t="str">
        <f t="shared" si="20"/>
        <v>Sun</v>
      </c>
      <c r="J969" s="12" t="str">
        <f t="shared" si="21"/>
        <v>Jul</v>
      </c>
      <c r="K969" s="12">
        <f t="shared" si="22"/>
        <v>7</v>
      </c>
      <c r="L969" s="12">
        <f t="shared" si="23"/>
        <v>7</v>
      </c>
    </row>
    <row r="970" spans="1:12" x14ac:dyDescent="0.3">
      <c r="A970" s="6">
        <v>45487</v>
      </c>
      <c r="B970" s="7">
        <v>45487.455905682873</v>
      </c>
      <c r="C970" s="8">
        <f t="shared" si="18"/>
        <v>10</v>
      </c>
      <c r="D970" s="8" t="s">
        <v>4</v>
      </c>
      <c r="E970" s="8" t="s">
        <v>393</v>
      </c>
      <c r="F970" s="9">
        <v>32.82</v>
      </c>
      <c r="G970" s="8" t="s">
        <v>49</v>
      </c>
      <c r="H970" s="8" t="str">
        <f t="shared" si="19"/>
        <v>Morning</v>
      </c>
      <c r="I970" s="8" t="str">
        <f t="shared" si="20"/>
        <v>Sun</v>
      </c>
      <c r="J970" s="8" t="str">
        <f t="shared" si="21"/>
        <v>Jul</v>
      </c>
      <c r="K970" s="8">
        <f t="shared" si="22"/>
        <v>7</v>
      </c>
      <c r="L970" s="8">
        <f t="shared" si="23"/>
        <v>7</v>
      </c>
    </row>
    <row r="971" spans="1:12" x14ac:dyDescent="0.3">
      <c r="A971" s="10">
        <v>45487</v>
      </c>
      <c r="B971" s="11">
        <v>45487.456875717595</v>
      </c>
      <c r="C971" s="12">
        <f t="shared" si="18"/>
        <v>10</v>
      </c>
      <c r="D971" s="12" t="s">
        <v>4</v>
      </c>
      <c r="E971" s="12" t="s">
        <v>394</v>
      </c>
      <c r="F971" s="13">
        <v>32.82</v>
      </c>
      <c r="G971" s="12" t="s">
        <v>13</v>
      </c>
      <c r="H971" s="12" t="str">
        <f t="shared" si="19"/>
        <v>Morning</v>
      </c>
      <c r="I971" s="12" t="str">
        <f t="shared" si="20"/>
        <v>Sun</v>
      </c>
      <c r="J971" s="12" t="str">
        <f t="shared" si="21"/>
        <v>Jul</v>
      </c>
      <c r="K971" s="12">
        <f t="shared" si="22"/>
        <v>7</v>
      </c>
      <c r="L971" s="12">
        <f t="shared" si="23"/>
        <v>7</v>
      </c>
    </row>
    <row r="972" spans="1:12" x14ac:dyDescent="0.3">
      <c r="A972" s="6">
        <v>45487</v>
      </c>
      <c r="B972" s="7">
        <v>45487.459858773145</v>
      </c>
      <c r="C972" s="8">
        <f t="shared" si="18"/>
        <v>11</v>
      </c>
      <c r="D972" s="8" t="s">
        <v>4</v>
      </c>
      <c r="E972" s="8" t="s">
        <v>395</v>
      </c>
      <c r="F972" s="9">
        <v>23.02</v>
      </c>
      <c r="G972" s="8" t="s">
        <v>17</v>
      </c>
      <c r="H972" s="8" t="str">
        <f t="shared" si="19"/>
        <v>Morning</v>
      </c>
      <c r="I972" s="8" t="str">
        <f t="shared" si="20"/>
        <v>Sun</v>
      </c>
      <c r="J972" s="8" t="str">
        <f t="shared" si="21"/>
        <v>Jul</v>
      </c>
      <c r="K972" s="8">
        <f t="shared" si="22"/>
        <v>7</v>
      </c>
      <c r="L972" s="8">
        <f t="shared" si="23"/>
        <v>7</v>
      </c>
    </row>
    <row r="973" spans="1:12" x14ac:dyDescent="0.3">
      <c r="A973" s="10">
        <v>45487</v>
      </c>
      <c r="B973" s="11">
        <v>45487.938541388889</v>
      </c>
      <c r="C973" s="12">
        <f t="shared" si="18"/>
        <v>22</v>
      </c>
      <c r="D973" s="12" t="s">
        <v>4</v>
      </c>
      <c r="E973" s="12" t="s">
        <v>396</v>
      </c>
      <c r="F973" s="13">
        <v>32.82</v>
      </c>
      <c r="G973" s="12" t="s">
        <v>13</v>
      </c>
      <c r="H973" s="12" t="str">
        <f t="shared" si="19"/>
        <v>Night</v>
      </c>
      <c r="I973" s="12" t="str">
        <f t="shared" si="20"/>
        <v>Sun</v>
      </c>
      <c r="J973" s="12" t="str">
        <f t="shared" si="21"/>
        <v>Jul</v>
      </c>
      <c r="K973" s="12">
        <f t="shared" si="22"/>
        <v>7</v>
      </c>
      <c r="L973" s="12">
        <f t="shared" si="23"/>
        <v>7</v>
      </c>
    </row>
    <row r="974" spans="1:12" x14ac:dyDescent="0.3">
      <c r="A974" s="6">
        <v>45488</v>
      </c>
      <c r="B974" s="7">
        <v>45488.314647650463</v>
      </c>
      <c r="C974" s="8">
        <f t="shared" si="18"/>
        <v>7</v>
      </c>
      <c r="D974" s="8" t="s">
        <v>4</v>
      </c>
      <c r="E974" s="8" t="s">
        <v>397</v>
      </c>
      <c r="F974" s="9">
        <v>32.82</v>
      </c>
      <c r="G974" s="8" t="s">
        <v>49</v>
      </c>
      <c r="H974" s="8" t="str">
        <f t="shared" si="19"/>
        <v>Morning</v>
      </c>
      <c r="I974" s="8" t="str">
        <f t="shared" si="20"/>
        <v>Mon</v>
      </c>
      <c r="J974" s="8" t="str">
        <f t="shared" si="21"/>
        <v>Jul</v>
      </c>
      <c r="K974" s="8">
        <f t="shared" si="22"/>
        <v>1</v>
      </c>
      <c r="L974" s="8">
        <f t="shared" si="23"/>
        <v>7</v>
      </c>
    </row>
    <row r="975" spans="1:12" x14ac:dyDescent="0.3">
      <c r="A975" s="10">
        <v>45489</v>
      </c>
      <c r="B975" s="11">
        <v>45489.516405868053</v>
      </c>
      <c r="C975" s="12">
        <f t="shared" si="18"/>
        <v>12</v>
      </c>
      <c r="D975" s="12" t="s">
        <v>4</v>
      </c>
      <c r="E975" s="12" t="s">
        <v>398</v>
      </c>
      <c r="F975" s="13">
        <v>27.92</v>
      </c>
      <c r="G975" s="12" t="s">
        <v>20</v>
      </c>
      <c r="H975" s="12" t="str">
        <f t="shared" si="19"/>
        <v>Afternoon</v>
      </c>
      <c r="I975" s="12" t="str">
        <f t="shared" si="20"/>
        <v>Tue</v>
      </c>
      <c r="J975" s="12" t="str">
        <f t="shared" si="21"/>
        <v>Jul</v>
      </c>
      <c r="K975" s="12">
        <f t="shared" si="22"/>
        <v>2</v>
      </c>
      <c r="L975" s="12">
        <f t="shared" si="23"/>
        <v>7</v>
      </c>
    </row>
    <row r="976" spans="1:12" x14ac:dyDescent="0.3">
      <c r="A976" s="6">
        <v>45489</v>
      </c>
      <c r="B976" s="7">
        <v>45489.81210052083</v>
      </c>
      <c r="C976" s="8">
        <f t="shared" si="18"/>
        <v>19</v>
      </c>
      <c r="D976" s="8" t="s">
        <v>4</v>
      </c>
      <c r="E976" s="8" t="s">
        <v>387</v>
      </c>
      <c r="F976" s="9">
        <v>32.82</v>
      </c>
      <c r="G976" s="8" t="s">
        <v>15</v>
      </c>
      <c r="H976" s="8" t="str">
        <f t="shared" si="19"/>
        <v>Night</v>
      </c>
      <c r="I976" s="8" t="str">
        <f t="shared" si="20"/>
        <v>Tue</v>
      </c>
      <c r="J976" s="8" t="str">
        <f t="shared" si="21"/>
        <v>Jul</v>
      </c>
      <c r="K976" s="8">
        <f t="shared" si="22"/>
        <v>2</v>
      </c>
      <c r="L976" s="8">
        <f t="shared" si="23"/>
        <v>7</v>
      </c>
    </row>
    <row r="977" spans="1:12" x14ac:dyDescent="0.3">
      <c r="A977" s="10">
        <v>45490</v>
      </c>
      <c r="B977" s="11">
        <v>45490.545135925924</v>
      </c>
      <c r="C977" s="12">
        <f t="shared" si="18"/>
        <v>13</v>
      </c>
      <c r="D977" s="12" t="s">
        <v>4</v>
      </c>
      <c r="E977" s="12" t="s">
        <v>399</v>
      </c>
      <c r="F977" s="13">
        <v>27.92</v>
      </c>
      <c r="G977" s="12" t="s">
        <v>20</v>
      </c>
      <c r="H977" s="12" t="str">
        <f t="shared" si="19"/>
        <v>Afternoon</v>
      </c>
      <c r="I977" s="12" t="str">
        <f t="shared" si="20"/>
        <v>Wed</v>
      </c>
      <c r="J977" s="12" t="str">
        <f t="shared" si="21"/>
        <v>Jul</v>
      </c>
      <c r="K977" s="12">
        <f t="shared" si="22"/>
        <v>3</v>
      </c>
      <c r="L977" s="12">
        <f t="shared" si="23"/>
        <v>7</v>
      </c>
    </row>
    <row r="978" spans="1:12" x14ac:dyDescent="0.3">
      <c r="A978" s="6">
        <v>45491</v>
      </c>
      <c r="B978" s="7">
        <v>45491.465432789351</v>
      </c>
      <c r="C978" s="8">
        <f t="shared" si="18"/>
        <v>11</v>
      </c>
      <c r="D978" s="8" t="s">
        <v>4</v>
      </c>
      <c r="E978" s="8" t="s">
        <v>400</v>
      </c>
      <c r="F978" s="9">
        <v>27.92</v>
      </c>
      <c r="G978" s="8" t="s">
        <v>20</v>
      </c>
      <c r="H978" s="8" t="str">
        <f t="shared" si="19"/>
        <v>Morning</v>
      </c>
      <c r="I978" s="8" t="str">
        <f t="shared" si="20"/>
        <v>Thu</v>
      </c>
      <c r="J978" s="8" t="str">
        <f t="shared" si="21"/>
        <v>Jul</v>
      </c>
      <c r="K978" s="8">
        <f t="shared" si="22"/>
        <v>4</v>
      </c>
      <c r="L978" s="8">
        <f t="shared" si="23"/>
        <v>7</v>
      </c>
    </row>
    <row r="979" spans="1:12" x14ac:dyDescent="0.3">
      <c r="A979" s="10">
        <v>45491</v>
      </c>
      <c r="B979" s="11">
        <v>45491.466243449075</v>
      </c>
      <c r="C979" s="12">
        <f t="shared" si="18"/>
        <v>11</v>
      </c>
      <c r="D979" s="12" t="s">
        <v>4</v>
      </c>
      <c r="E979" s="12" t="s">
        <v>401</v>
      </c>
      <c r="F979" s="13">
        <v>18.12</v>
      </c>
      <c r="G979" s="12" t="s">
        <v>41</v>
      </c>
      <c r="H979" s="12" t="str">
        <f t="shared" si="19"/>
        <v>Morning</v>
      </c>
      <c r="I979" s="12" t="str">
        <f t="shared" si="20"/>
        <v>Thu</v>
      </c>
      <c r="J979" s="12" t="str">
        <f t="shared" si="21"/>
        <v>Jul</v>
      </c>
      <c r="K979" s="12">
        <f t="shared" si="22"/>
        <v>4</v>
      </c>
      <c r="L979" s="12">
        <f t="shared" si="23"/>
        <v>7</v>
      </c>
    </row>
    <row r="980" spans="1:12" x14ac:dyDescent="0.3">
      <c r="A980" s="6">
        <v>45491</v>
      </c>
      <c r="B980" s="7">
        <v>45491.481245648145</v>
      </c>
      <c r="C980" s="8">
        <f t="shared" si="18"/>
        <v>11</v>
      </c>
      <c r="D980" s="8" t="s">
        <v>4</v>
      </c>
      <c r="E980" s="8" t="s">
        <v>79</v>
      </c>
      <c r="F980" s="9">
        <v>23.02</v>
      </c>
      <c r="G980" s="8" t="s">
        <v>17</v>
      </c>
      <c r="H980" s="8" t="str">
        <f t="shared" si="19"/>
        <v>Morning</v>
      </c>
      <c r="I980" s="8" t="str">
        <f t="shared" si="20"/>
        <v>Thu</v>
      </c>
      <c r="J980" s="8" t="str">
        <f t="shared" si="21"/>
        <v>Jul</v>
      </c>
      <c r="K980" s="8">
        <f t="shared" si="22"/>
        <v>4</v>
      </c>
      <c r="L980" s="8">
        <f t="shared" si="23"/>
        <v>7</v>
      </c>
    </row>
    <row r="981" spans="1:12" x14ac:dyDescent="0.3">
      <c r="A981" s="10">
        <v>45491</v>
      </c>
      <c r="B981" s="11">
        <v>45491.482505057873</v>
      </c>
      <c r="C981" s="12">
        <f t="shared" si="18"/>
        <v>11</v>
      </c>
      <c r="D981" s="12" t="s">
        <v>4</v>
      </c>
      <c r="E981" s="12" t="s">
        <v>79</v>
      </c>
      <c r="F981" s="13">
        <v>23.02</v>
      </c>
      <c r="G981" s="12" t="s">
        <v>17</v>
      </c>
      <c r="H981" s="12" t="str">
        <f t="shared" si="19"/>
        <v>Morning</v>
      </c>
      <c r="I981" s="12" t="str">
        <f t="shared" si="20"/>
        <v>Thu</v>
      </c>
      <c r="J981" s="12" t="str">
        <f t="shared" si="21"/>
        <v>Jul</v>
      </c>
      <c r="K981" s="12">
        <f t="shared" si="22"/>
        <v>4</v>
      </c>
      <c r="L981" s="12">
        <f t="shared" si="23"/>
        <v>7</v>
      </c>
    </row>
    <row r="982" spans="1:12" x14ac:dyDescent="0.3">
      <c r="A982" s="6">
        <v>45491</v>
      </c>
      <c r="B982" s="7">
        <v>45491.483235011576</v>
      </c>
      <c r="C982" s="8">
        <f t="shared" si="18"/>
        <v>11</v>
      </c>
      <c r="D982" s="8" t="s">
        <v>4</v>
      </c>
      <c r="E982" s="8" t="s">
        <v>79</v>
      </c>
      <c r="F982" s="9">
        <v>23.02</v>
      </c>
      <c r="G982" s="8" t="s">
        <v>34</v>
      </c>
      <c r="H982" s="8" t="str">
        <f t="shared" si="19"/>
        <v>Morning</v>
      </c>
      <c r="I982" s="8" t="str">
        <f t="shared" si="20"/>
        <v>Thu</v>
      </c>
      <c r="J982" s="8" t="str">
        <f t="shared" si="21"/>
        <v>Jul</v>
      </c>
      <c r="K982" s="8">
        <f t="shared" si="22"/>
        <v>4</v>
      </c>
      <c r="L982" s="8">
        <f t="shared" si="23"/>
        <v>7</v>
      </c>
    </row>
    <row r="983" spans="1:12" x14ac:dyDescent="0.3">
      <c r="A983" s="10">
        <v>45491</v>
      </c>
      <c r="B983" s="11">
        <v>45491.558030231485</v>
      </c>
      <c r="C983" s="12">
        <f t="shared" si="18"/>
        <v>13</v>
      </c>
      <c r="D983" s="12" t="s">
        <v>4</v>
      </c>
      <c r="E983" s="12" t="s">
        <v>395</v>
      </c>
      <c r="F983" s="13">
        <v>32.82</v>
      </c>
      <c r="G983" s="12" t="s">
        <v>13</v>
      </c>
      <c r="H983" s="12" t="str">
        <f t="shared" si="19"/>
        <v>Afternoon</v>
      </c>
      <c r="I983" s="12" t="str">
        <f t="shared" si="20"/>
        <v>Thu</v>
      </c>
      <c r="J983" s="12" t="str">
        <f t="shared" si="21"/>
        <v>Jul</v>
      </c>
      <c r="K983" s="12">
        <f t="shared" si="22"/>
        <v>4</v>
      </c>
      <c r="L983" s="12">
        <f t="shared" si="23"/>
        <v>7</v>
      </c>
    </row>
    <row r="984" spans="1:12" x14ac:dyDescent="0.3">
      <c r="A984" s="6">
        <v>45491</v>
      </c>
      <c r="B984" s="7">
        <v>45491.762770578702</v>
      </c>
      <c r="C984" s="8">
        <f t="shared" si="18"/>
        <v>18</v>
      </c>
      <c r="D984" s="8" t="s">
        <v>4</v>
      </c>
      <c r="E984" s="8" t="s">
        <v>402</v>
      </c>
      <c r="F984" s="9">
        <v>32.82</v>
      </c>
      <c r="G984" s="8" t="s">
        <v>49</v>
      </c>
      <c r="H984" s="8" t="str">
        <f t="shared" si="19"/>
        <v>Night</v>
      </c>
      <c r="I984" s="8" t="str">
        <f t="shared" si="20"/>
        <v>Thu</v>
      </c>
      <c r="J984" s="8" t="str">
        <f t="shared" si="21"/>
        <v>Jul</v>
      </c>
      <c r="K984" s="8">
        <f t="shared" si="22"/>
        <v>4</v>
      </c>
      <c r="L984" s="8">
        <f t="shared" si="23"/>
        <v>7</v>
      </c>
    </row>
    <row r="985" spans="1:12" x14ac:dyDescent="0.3">
      <c r="A985" s="10">
        <v>45491</v>
      </c>
      <c r="B985" s="11">
        <v>45491.813085208334</v>
      </c>
      <c r="C985" s="12">
        <f t="shared" si="18"/>
        <v>19</v>
      </c>
      <c r="D985" s="12" t="s">
        <v>4</v>
      </c>
      <c r="E985" s="12" t="s">
        <v>25</v>
      </c>
      <c r="F985" s="13">
        <v>32.82</v>
      </c>
      <c r="G985" s="12" t="s">
        <v>13</v>
      </c>
      <c r="H985" s="12" t="str">
        <f t="shared" si="19"/>
        <v>Night</v>
      </c>
      <c r="I985" s="12" t="str">
        <f t="shared" si="20"/>
        <v>Thu</v>
      </c>
      <c r="J985" s="12" t="str">
        <f t="shared" si="21"/>
        <v>Jul</v>
      </c>
      <c r="K985" s="12">
        <f t="shared" si="22"/>
        <v>4</v>
      </c>
      <c r="L985" s="12">
        <f t="shared" si="23"/>
        <v>7</v>
      </c>
    </row>
    <row r="986" spans="1:12" x14ac:dyDescent="0.3">
      <c r="A986" s="6">
        <v>45491</v>
      </c>
      <c r="B986" s="7">
        <v>45491.888678402778</v>
      </c>
      <c r="C986" s="8">
        <f t="shared" si="18"/>
        <v>21</v>
      </c>
      <c r="D986" s="8" t="s">
        <v>4</v>
      </c>
      <c r="E986" s="8" t="s">
        <v>403</v>
      </c>
      <c r="F986" s="9">
        <v>32.82</v>
      </c>
      <c r="G986" s="8" t="s">
        <v>15</v>
      </c>
      <c r="H986" s="8" t="str">
        <f t="shared" si="19"/>
        <v>Night</v>
      </c>
      <c r="I986" s="8" t="str">
        <f t="shared" si="20"/>
        <v>Thu</v>
      </c>
      <c r="J986" s="8" t="str">
        <f t="shared" si="21"/>
        <v>Jul</v>
      </c>
      <c r="K986" s="8">
        <f t="shared" si="22"/>
        <v>4</v>
      </c>
      <c r="L986" s="8">
        <f t="shared" si="23"/>
        <v>7</v>
      </c>
    </row>
    <row r="987" spans="1:12" x14ac:dyDescent="0.3">
      <c r="A987" s="10">
        <v>45491</v>
      </c>
      <c r="B987" s="11">
        <v>45491.890276099541</v>
      </c>
      <c r="C987" s="12">
        <f t="shared" si="18"/>
        <v>21</v>
      </c>
      <c r="D987" s="12" t="s">
        <v>4</v>
      </c>
      <c r="E987" s="12" t="s">
        <v>403</v>
      </c>
      <c r="F987" s="13">
        <v>32.82</v>
      </c>
      <c r="G987" s="12" t="s">
        <v>13</v>
      </c>
      <c r="H987" s="12" t="str">
        <f t="shared" si="19"/>
        <v>Night</v>
      </c>
      <c r="I987" s="12" t="str">
        <f t="shared" si="20"/>
        <v>Thu</v>
      </c>
      <c r="J987" s="12" t="str">
        <f t="shared" si="21"/>
        <v>Jul</v>
      </c>
      <c r="K987" s="12">
        <f t="shared" si="22"/>
        <v>4</v>
      </c>
      <c r="L987" s="12">
        <f t="shared" si="23"/>
        <v>7</v>
      </c>
    </row>
    <row r="988" spans="1:12" x14ac:dyDescent="0.3">
      <c r="A988" s="6">
        <v>45491</v>
      </c>
      <c r="B988" s="7">
        <v>45491.907160578703</v>
      </c>
      <c r="C988" s="8">
        <f t="shared" si="18"/>
        <v>21</v>
      </c>
      <c r="D988" s="8" t="s">
        <v>4</v>
      </c>
      <c r="E988" s="8" t="s">
        <v>404</v>
      </c>
      <c r="F988" s="9">
        <v>32.82</v>
      </c>
      <c r="G988" s="8" t="s">
        <v>13</v>
      </c>
      <c r="H988" s="8" t="str">
        <f t="shared" si="19"/>
        <v>Night</v>
      </c>
      <c r="I988" s="8" t="str">
        <f t="shared" si="20"/>
        <v>Thu</v>
      </c>
      <c r="J988" s="8" t="str">
        <f t="shared" si="21"/>
        <v>Jul</v>
      </c>
      <c r="K988" s="8">
        <f t="shared" si="22"/>
        <v>4</v>
      </c>
      <c r="L988" s="8">
        <f t="shared" si="23"/>
        <v>7</v>
      </c>
    </row>
    <row r="989" spans="1:12" x14ac:dyDescent="0.3">
      <c r="A989" s="10">
        <v>45492</v>
      </c>
      <c r="B989" s="11">
        <v>45492.460443761571</v>
      </c>
      <c r="C989" s="12">
        <f t="shared" si="18"/>
        <v>11</v>
      </c>
      <c r="D989" s="12" t="s">
        <v>4</v>
      </c>
      <c r="E989" s="12" t="s">
        <v>395</v>
      </c>
      <c r="F989" s="13">
        <v>23.02</v>
      </c>
      <c r="G989" s="12" t="s">
        <v>17</v>
      </c>
      <c r="H989" s="12" t="str">
        <f t="shared" si="19"/>
        <v>Morning</v>
      </c>
      <c r="I989" s="12" t="str">
        <f t="shared" si="20"/>
        <v>Fri</v>
      </c>
      <c r="J989" s="12" t="str">
        <f t="shared" si="21"/>
        <v>Jul</v>
      </c>
      <c r="K989" s="12">
        <f t="shared" si="22"/>
        <v>5</v>
      </c>
      <c r="L989" s="12">
        <f t="shared" si="23"/>
        <v>7</v>
      </c>
    </row>
    <row r="990" spans="1:12" x14ac:dyDescent="0.3">
      <c r="A990" s="6">
        <v>45492</v>
      </c>
      <c r="B990" s="7">
        <v>45492.469681817129</v>
      </c>
      <c r="C990" s="8">
        <f t="shared" si="18"/>
        <v>11</v>
      </c>
      <c r="D990" s="8" t="s">
        <v>4</v>
      </c>
      <c r="E990" s="8" t="s">
        <v>405</v>
      </c>
      <c r="F990" s="9">
        <v>27.92</v>
      </c>
      <c r="G990" s="8" t="s">
        <v>20</v>
      </c>
      <c r="H990" s="8" t="str">
        <f t="shared" si="19"/>
        <v>Morning</v>
      </c>
      <c r="I990" s="8" t="str">
        <f t="shared" si="20"/>
        <v>Fri</v>
      </c>
      <c r="J990" s="8" t="str">
        <f t="shared" si="21"/>
        <v>Jul</v>
      </c>
      <c r="K990" s="8">
        <f t="shared" si="22"/>
        <v>5</v>
      </c>
      <c r="L990" s="8">
        <f t="shared" si="23"/>
        <v>7</v>
      </c>
    </row>
    <row r="991" spans="1:12" x14ac:dyDescent="0.3">
      <c r="A991" s="10">
        <v>45492</v>
      </c>
      <c r="B991" s="11">
        <v>45492.540712511574</v>
      </c>
      <c r="C991" s="12">
        <f t="shared" si="18"/>
        <v>12</v>
      </c>
      <c r="D991" s="12" t="s">
        <v>4</v>
      </c>
      <c r="E991" s="12" t="s">
        <v>406</v>
      </c>
      <c r="F991" s="13">
        <v>32.82</v>
      </c>
      <c r="G991" s="12" t="s">
        <v>13</v>
      </c>
      <c r="H991" s="12" t="str">
        <f t="shared" si="19"/>
        <v>Afternoon</v>
      </c>
      <c r="I991" s="12" t="str">
        <f t="shared" si="20"/>
        <v>Fri</v>
      </c>
      <c r="J991" s="12" t="str">
        <f t="shared" si="21"/>
        <v>Jul</v>
      </c>
      <c r="K991" s="12">
        <f t="shared" si="22"/>
        <v>5</v>
      </c>
      <c r="L991" s="12">
        <f t="shared" si="23"/>
        <v>7</v>
      </c>
    </row>
    <row r="992" spans="1:12" x14ac:dyDescent="0.3">
      <c r="A992" s="6">
        <v>45492</v>
      </c>
      <c r="B992" s="7">
        <v>45492.541613229165</v>
      </c>
      <c r="C992" s="8">
        <f t="shared" si="18"/>
        <v>12</v>
      </c>
      <c r="D992" s="8" t="s">
        <v>4</v>
      </c>
      <c r="E992" s="8" t="s">
        <v>406</v>
      </c>
      <c r="F992" s="9">
        <v>27.92</v>
      </c>
      <c r="G992" s="8" t="s">
        <v>20</v>
      </c>
      <c r="H992" s="8" t="str">
        <f t="shared" si="19"/>
        <v>Afternoon</v>
      </c>
      <c r="I992" s="8" t="str">
        <f t="shared" si="20"/>
        <v>Fri</v>
      </c>
      <c r="J992" s="8" t="str">
        <f t="shared" si="21"/>
        <v>Jul</v>
      </c>
      <c r="K992" s="8">
        <f t="shared" si="22"/>
        <v>5</v>
      </c>
      <c r="L992" s="8">
        <f t="shared" si="23"/>
        <v>7</v>
      </c>
    </row>
    <row r="993" spans="1:12" x14ac:dyDescent="0.3">
      <c r="A993" s="10">
        <v>45492</v>
      </c>
      <c r="B993" s="11">
        <v>45492.589823101851</v>
      </c>
      <c r="C993" s="12">
        <f t="shared" si="18"/>
        <v>14</v>
      </c>
      <c r="D993" s="12" t="s">
        <v>4</v>
      </c>
      <c r="E993" s="12" t="s">
        <v>404</v>
      </c>
      <c r="F993" s="13">
        <v>32.82</v>
      </c>
      <c r="G993" s="12" t="s">
        <v>13</v>
      </c>
      <c r="H993" s="12" t="str">
        <f t="shared" si="19"/>
        <v>Afternoon</v>
      </c>
      <c r="I993" s="12" t="str">
        <f t="shared" si="20"/>
        <v>Fri</v>
      </c>
      <c r="J993" s="12" t="str">
        <f t="shared" si="21"/>
        <v>Jul</v>
      </c>
      <c r="K993" s="12">
        <f t="shared" si="22"/>
        <v>5</v>
      </c>
      <c r="L993" s="12">
        <f t="shared" si="23"/>
        <v>7</v>
      </c>
    </row>
    <row r="994" spans="1:12" x14ac:dyDescent="0.3">
      <c r="A994" s="6">
        <v>45492</v>
      </c>
      <c r="B994" s="7">
        <v>45492.591228067133</v>
      </c>
      <c r="C994" s="8">
        <f t="shared" si="18"/>
        <v>14</v>
      </c>
      <c r="D994" s="8" t="s">
        <v>4</v>
      </c>
      <c r="E994" s="8" t="s">
        <v>404</v>
      </c>
      <c r="F994" s="9">
        <v>32.82</v>
      </c>
      <c r="G994" s="8" t="s">
        <v>24</v>
      </c>
      <c r="H994" s="8" t="str">
        <f t="shared" si="19"/>
        <v>Afternoon</v>
      </c>
      <c r="I994" s="8" t="str">
        <f t="shared" si="20"/>
        <v>Fri</v>
      </c>
      <c r="J994" s="8" t="str">
        <f t="shared" si="21"/>
        <v>Jul</v>
      </c>
      <c r="K994" s="8">
        <f t="shared" si="22"/>
        <v>5</v>
      </c>
      <c r="L994" s="8">
        <f t="shared" si="23"/>
        <v>7</v>
      </c>
    </row>
    <row r="995" spans="1:12" x14ac:dyDescent="0.3">
      <c r="A995" s="10">
        <v>45492</v>
      </c>
      <c r="B995" s="11">
        <v>45492.69188972222</v>
      </c>
      <c r="C995" s="12">
        <f t="shared" si="18"/>
        <v>16</v>
      </c>
      <c r="D995" s="12" t="s">
        <v>4</v>
      </c>
      <c r="E995" s="12" t="s">
        <v>404</v>
      </c>
      <c r="F995" s="13">
        <v>32.82</v>
      </c>
      <c r="G995" s="12" t="s">
        <v>13</v>
      </c>
      <c r="H995" s="12" t="str">
        <f t="shared" si="19"/>
        <v>Afternoon</v>
      </c>
      <c r="I995" s="12" t="str">
        <f t="shared" si="20"/>
        <v>Fri</v>
      </c>
      <c r="J995" s="12" t="str">
        <f t="shared" si="21"/>
        <v>Jul</v>
      </c>
      <c r="K995" s="12">
        <f t="shared" si="22"/>
        <v>5</v>
      </c>
      <c r="L995" s="12">
        <f t="shared" si="23"/>
        <v>7</v>
      </c>
    </row>
    <row r="996" spans="1:12" x14ac:dyDescent="0.3">
      <c r="A996" s="6">
        <v>45492</v>
      </c>
      <c r="B996" s="7">
        <v>45492.692775555559</v>
      </c>
      <c r="C996" s="8">
        <f t="shared" si="18"/>
        <v>16</v>
      </c>
      <c r="D996" s="8" t="s">
        <v>4</v>
      </c>
      <c r="E996" s="8" t="s">
        <v>404</v>
      </c>
      <c r="F996" s="9">
        <v>32.82</v>
      </c>
      <c r="G996" s="8" t="s">
        <v>13</v>
      </c>
      <c r="H996" s="8" t="str">
        <f t="shared" si="19"/>
        <v>Afternoon</v>
      </c>
      <c r="I996" s="8" t="str">
        <f t="shared" si="20"/>
        <v>Fri</v>
      </c>
      <c r="J996" s="8" t="str">
        <f t="shared" si="21"/>
        <v>Jul</v>
      </c>
      <c r="K996" s="8">
        <f t="shared" si="22"/>
        <v>5</v>
      </c>
      <c r="L996" s="8">
        <f t="shared" si="23"/>
        <v>7</v>
      </c>
    </row>
    <row r="997" spans="1:12" x14ac:dyDescent="0.3">
      <c r="A997" s="10">
        <v>45493</v>
      </c>
      <c r="B997" s="11">
        <v>45493.337320243052</v>
      </c>
      <c r="C997" s="12">
        <f t="shared" si="18"/>
        <v>8</v>
      </c>
      <c r="D997" s="12" t="s">
        <v>4</v>
      </c>
      <c r="E997" s="12" t="s">
        <v>407</v>
      </c>
      <c r="F997" s="13">
        <v>23.02</v>
      </c>
      <c r="G997" s="12" t="s">
        <v>17</v>
      </c>
      <c r="H997" s="12" t="str">
        <f t="shared" si="19"/>
        <v>Morning</v>
      </c>
      <c r="I997" s="12" t="str">
        <f t="shared" si="20"/>
        <v>Sat</v>
      </c>
      <c r="J997" s="12" t="str">
        <f t="shared" si="21"/>
        <v>Jul</v>
      </c>
      <c r="K997" s="12">
        <f t="shared" si="22"/>
        <v>6</v>
      </c>
      <c r="L997" s="12">
        <f t="shared" si="23"/>
        <v>7</v>
      </c>
    </row>
    <row r="998" spans="1:12" x14ac:dyDescent="0.3">
      <c r="A998" s="6">
        <v>45493</v>
      </c>
      <c r="B998" s="7">
        <v>45493.338063483796</v>
      </c>
      <c r="C998" s="8">
        <f t="shared" si="18"/>
        <v>8</v>
      </c>
      <c r="D998" s="8" t="s">
        <v>4</v>
      </c>
      <c r="E998" s="8" t="s">
        <v>407</v>
      </c>
      <c r="F998" s="9">
        <v>32.82</v>
      </c>
      <c r="G998" s="8" t="s">
        <v>13</v>
      </c>
      <c r="H998" s="8" t="str">
        <f t="shared" si="19"/>
        <v>Morning</v>
      </c>
      <c r="I998" s="8" t="str">
        <f t="shared" si="20"/>
        <v>Sat</v>
      </c>
      <c r="J998" s="8" t="str">
        <f t="shared" si="21"/>
        <v>Jul</v>
      </c>
      <c r="K998" s="8">
        <f t="shared" si="22"/>
        <v>6</v>
      </c>
      <c r="L998" s="8">
        <f t="shared" si="23"/>
        <v>7</v>
      </c>
    </row>
    <row r="999" spans="1:12" x14ac:dyDescent="0.3">
      <c r="A999" s="10">
        <v>45493</v>
      </c>
      <c r="B999" s="11">
        <v>45493.338789733796</v>
      </c>
      <c r="C999" s="12">
        <f t="shared" si="18"/>
        <v>8</v>
      </c>
      <c r="D999" s="12" t="s">
        <v>4</v>
      </c>
      <c r="E999" s="12" t="s">
        <v>407</v>
      </c>
      <c r="F999" s="13">
        <v>23.02</v>
      </c>
      <c r="G999" s="12" t="s">
        <v>17</v>
      </c>
      <c r="H999" s="12" t="str">
        <f t="shared" si="19"/>
        <v>Morning</v>
      </c>
      <c r="I999" s="12" t="str">
        <f t="shared" si="20"/>
        <v>Sat</v>
      </c>
      <c r="J999" s="12" t="str">
        <f t="shared" si="21"/>
        <v>Jul</v>
      </c>
      <c r="K999" s="12">
        <f t="shared" si="22"/>
        <v>6</v>
      </c>
      <c r="L999" s="12">
        <f t="shared" si="23"/>
        <v>7</v>
      </c>
    </row>
    <row r="1000" spans="1:12" x14ac:dyDescent="0.3">
      <c r="A1000" s="6">
        <v>45493</v>
      </c>
      <c r="B1000" s="7">
        <v>45493.37562042824</v>
      </c>
      <c r="C1000" s="8">
        <f t="shared" si="18"/>
        <v>9</v>
      </c>
      <c r="D1000" s="8" t="s">
        <v>4</v>
      </c>
      <c r="E1000" s="8" t="s">
        <v>408</v>
      </c>
      <c r="F1000" s="9">
        <v>32.82</v>
      </c>
      <c r="G1000" s="8" t="s">
        <v>13</v>
      </c>
      <c r="H1000" s="8" t="str">
        <f t="shared" si="19"/>
        <v>Morning</v>
      </c>
      <c r="I1000" s="8" t="str">
        <f t="shared" si="20"/>
        <v>Sat</v>
      </c>
      <c r="J1000" s="8" t="str">
        <f t="shared" si="21"/>
        <v>Jul</v>
      </c>
      <c r="K1000" s="8">
        <f t="shared" si="22"/>
        <v>6</v>
      </c>
      <c r="L1000" s="8">
        <f t="shared" si="23"/>
        <v>7</v>
      </c>
    </row>
    <row r="1001" spans="1:12" x14ac:dyDescent="0.3">
      <c r="A1001" s="10">
        <v>45493</v>
      </c>
      <c r="B1001" s="11">
        <v>45493.376711203702</v>
      </c>
      <c r="C1001" s="12">
        <f t="shared" si="18"/>
        <v>9</v>
      </c>
      <c r="D1001" s="12" t="s">
        <v>4</v>
      </c>
      <c r="E1001" s="12" t="s">
        <v>409</v>
      </c>
      <c r="F1001" s="13">
        <v>32.82</v>
      </c>
      <c r="G1001" s="12" t="s">
        <v>13</v>
      </c>
      <c r="H1001" s="12" t="str">
        <f t="shared" si="19"/>
        <v>Morning</v>
      </c>
      <c r="I1001" s="12" t="str">
        <f t="shared" si="20"/>
        <v>Sat</v>
      </c>
      <c r="J1001" s="12" t="str">
        <f t="shared" si="21"/>
        <v>Jul</v>
      </c>
      <c r="K1001" s="12">
        <f t="shared" si="22"/>
        <v>6</v>
      </c>
      <c r="L1001" s="12">
        <f t="shared" si="23"/>
        <v>7</v>
      </c>
    </row>
    <row r="1002" spans="1:12" x14ac:dyDescent="0.3">
      <c r="A1002" s="6">
        <v>45493</v>
      </c>
      <c r="B1002" s="7">
        <v>45493.443993564812</v>
      </c>
      <c r="C1002" s="8">
        <f t="shared" si="18"/>
        <v>10</v>
      </c>
      <c r="D1002" s="8" t="s">
        <v>4</v>
      </c>
      <c r="E1002" s="8" t="s">
        <v>410</v>
      </c>
      <c r="F1002" s="9">
        <v>23.02</v>
      </c>
      <c r="G1002" s="8" t="s">
        <v>17</v>
      </c>
      <c r="H1002" s="8" t="str">
        <f t="shared" si="19"/>
        <v>Morning</v>
      </c>
      <c r="I1002" s="8" t="str">
        <f t="shared" si="20"/>
        <v>Sat</v>
      </c>
      <c r="J1002" s="8" t="str">
        <f t="shared" si="21"/>
        <v>Jul</v>
      </c>
      <c r="K1002" s="8">
        <f t="shared" si="22"/>
        <v>6</v>
      </c>
      <c r="L1002" s="8">
        <f t="shared" si="23"/>
        <v>7</v>
      </c>
    </row>
    <row r="1003" spans="1:12" x14ac:dyDescent="0.3">
      <c r="A1003" s="10">
        <v>45493</v>
      </c>
      <c r="B1003" s="11">
        <v>45493.635523391204</v>
      </c>
      <c r="C1003" s="12">
        <f t="shared" si="18"/>
        <v>15</v>
      </c>
      <c r="D1003" s="12" t="s">
        <v>4</v>
      </c>
      <c r="E1003" s="12" t="s">
        <v>411</v>
      </c>
      <c r="F1003" s="13">
        <v>32.82</v>
      </c>
      <c r="G1003" s="12" t="s">
        <v>13</v>
      </c>
      <c r="H1003" s="12" t="str">
        <f t="shared" si="19"/>
        <v>Afternoon</v>
      </c>
      <c r="I1003" s="12" t="str">
        <f t="shared" si="20"/>
        <v>Sat</v>
      </c>
      <c r="J1003" s="12" t="str">
        <f t="shared" si="21"/>
        <v>Jul</v>
      </c>
      <c r="K1003" s="12">
        <f t="shared" si="22"/>
        <v>6</v>
      </c>
      <c r="L1003" s="12">
        <f t="shared" si="23"/>
        <v>7</v>
      </c>
    </row>
    <row r="1004" spans="1:12" x14ac:dyDescent="0.3">
      <c r="A1004" s="6">
        <v>45494</v>
      </c>
      <c r="B1004" s="7">
        <v>45494.43814604167</v>
      </c>
      <c r="C1004" s="8">
        <f t="shared" si="18"/>
        <v>10</v>
      </c>
      <c r="D1004" s="8" t="s">
        <v>4</v>
      </c>
      <c r="E1004" s="8" t="s">
        <v>387</v>
      </c>
      <c r="F1004" s="9">
        <v>32.82</v>
      </c>
      <c r="G1004" s="8" t="s">
        <v>24</v>
      </c>
      <c r="H1004" s="8" t="str">
        <f t="shared" si="19"/>
        <v>Morning</v>
      </c>
      <c r="I1004" s="8" t="str">
        <f t="shared" si="20"/>
        <v>Sun</v>
      </c>
      <c r="J1004" s="8" t="str">
        <f t="shared" si="21"/>
        <v>Jul</v>
      </c>
      <c r="K1004" s="8">
        <f t="shared" si="22"/>
        <v>7</v>
      </c>
      <c r="L1004" s="8">
        <f t="shared" si="23"/>
        <v>7</v>
      </c>
    </row>
    <row r="1005" spans="1:12" x14ac:dyDescent="0.3">
      <c r="A1005" s="10">
        <v>45494</v>
      </c>
      <c r="B1005" s="11">
        <v>45494.485749722226</v>
      </c>
      <c r="C1005" s="12">
        <f t="shared" si="18"/>
        <v>11</v>
      </c>
      <c r="D1005" s="12" t="s">
        <v>4</v>
      </c>
      <c r="E1005" s="12" t="s">
        <v>412</v>
      </c>
      <c r="F1005" s="13">
        <v>32.82</v>
      </c>
      <c r="G1005" s="12" t="s">
        <v>49</v>
      </c>
      <c r="H1005" s="12" t="str">
        <f t="shared" si="19"/>
        <v>Morning</v>
      </c>
      <c r="I1005" s="12" t="str">
        <f t="shared" si="20"/>
        <v>Sun</v>
      </c>
      <c r="J1005" s="12" t="str">
        <f t="shared" si="21"/>
        <v>Jul</v>
      </c>
      <c r="K1005" s="12">
        <f t="shared" si="22"/>
        <v>7</v>
      </c>
      <c r="L1005" s="12">
        <f t="shared" si="23"/>
        <v>7</v>
      </c>
    </row>
    <row r="1006" spans="1:12" x14ac:dyDescent="0.3">
      <c r="A1006" s="6">
        <v>45494</v>
      </c>
      <c r="B1006" s="7">
        <v>45494.565634826387</v>
      </c>
      <c r="C1006" s="8">
        <f t="shared" si="18"/>
        <v>13</v>
      </c>
      <c r="D1006" s="8" t="s">
        <v>4</v>
      </c>
      <c r="E1006" s="8" t="s">
        <v>413</v>
      </c>
      <c r="F1006" s="9">
        <v>23.02</v>
      </c>
      <c r="G1006" s="8" t="s">
        <v>34</v>
      </c>
      <c r="H1006" s="8" t="str">
        <f t="shared" si="19"/>
        <v>Afternoon</v>
      </c>
      <c r="I1006" s="8" t="str">
        <f t="shared" si="20"/>
        <v>Sun</v>
      </c>
      <c r="J1006" s="8" t="str">
        <f t="shared" si="21"/>
        <v>Jul</v>
      </c>
      <c r="K1006" s="8">
        <f t="shared" si="22"/>
        <v>7</v>
      </c>
      <c r="L1006" s="8">
        <f t="shared" si="23"/>
        <v>7</v>
      </c>
    </row>
    <row r="1007" spans="1:12" x14ac:dyDescent="0.3">
      <c r="A1007" s="10">
        <v>45494</v>
      </c>
      <c r="B1007" s="11">
        <v>45494.571197268517</v>
      </c>
      <c r="C1007" s="12">
        <f t="shared" si="18"/>
        <v>13</v>
      </c>
      <c r="D1007" s="12" t="s">
        <v>4</v>
      </c>
      <c r="E1007" s="12" t="s">
        <v>414</v>
      </c>
      <c r="F1007" s="13">
        <v>32.82</v>
      </c>
      <c r="G1007" s="12" t="s">
        <v>13</v>
      </c>
      <c r="H1007" s="12" t="str">
        <f t="shared" si="19"/>
        <v>Afternoon</v>
      </c>
      <c r="I1007" s="12" t="str">
        <f t="shared" si="20"/>
        <v>Sun</v>
      </c>
      <c r="J1007" s="12" t="str">
        <f t="shared" si="21"/>
        <v>Jul</v>
      </c>
      <c r="K1007" s="12">
        <f t="shared" si="22"/>
        <v>7</v>
      </c>
      <c r="L1007" s="12">
        <f t="shared" si="23"/>
        <v>7</v>
      </c>
    </row>
    <row r="1008" spans="1:12" x14ac:dyDescent="0.3">
      <c r="A1008" s="6">
        <v>45495</v>
      </c>
      <c r="B1008" s="7">
        <v>45495.342629016202</v>
      </c>
      <c r="C1008" s="8">
        <f t="shared" si="18"/>
        <v>8</v>
      </c>
      <c r="D1008" s="8" t="s">
        <v>4</v>
      </c>
      <c r="E1008" s="8" t="s">
        <v>395</v>
      </c>
      <c r="F1008" s="9">
        <v>23.02</v>
      </c>
      <c r="G1008" s="8" t="s">
        <v>17</v>
      </c>
      <c r="H1008" s="8" t="str">
        <f t="shared" si="19"/>
        <v>Morning</v>
      </c>
      <c r="I1008" s="8" t="str">
        <f t="shared" si="20"/>
        <v>Mon</v>
      </c>
      <c r="J1008" s="8" t="str">
        <f t="shared" si="21"/>
        <v>Jul</v>
      </c>
      <c r="K1008" s="8">
        <f t="shared" si="22"/>
        <v>1</v>
      </c>
      <c r="L1008" s="8">
        <f t="shared" si="23"/>
        <v>7</v>
      </c>
    </row>
    <row r="1009" spans="1:12" x14ac:dyDescent="0.3">
      <c r="A1009" s="10">
        <v>45495</v>
      </c>
      <c r="B1009" s="11">
        <v>45495.36168465278</v>
      </c>
      <c r="C1009" s="12">
        <f t="shared" si="18"/>
        <v>8</v>
      </c>
      <c r="D1009" s="12" t="s">
        <v>4</v>
      </c>
      <c r="E1009" s="12" t="s">
        <v>415</v>
      </c>
      <c r="F1009" s="13">
        <v>23.02</v>
      </c>
      <c r="G1009" s="12" t="s">
        <v>17</v>
      </c>
      <c r="H1009" s="12" t="str">
        <f t="shared" si="19"/>
        <v>Morning</v>
      </c>
      <c r="I1009" s="12" t="str">
        <f t="shared" si="20"/>
        <v>Mon</v>
      </c>
      <c r="J1009" s="12" t="str">
        <f t="shared" si="21"/>
        <v>Jul</v>
      </c>
      <c r="K1009" s="12">
        <f t="shared" si="22"/>
        <v>1</v>
      </c>
      <c r="L1009" s="12">
        <f t="shared" si="23"/>
        <v>7</v>
      </c>
    </row>
    <row r="1010" spans="1:12" x14ac:dyDescent="0.3">
      <c r="A1010" s="6">
        <v>45495</v>
      </c>
      <c r="B1010" s="7">
        <v>45495.42751465278</v>
      </c>
      <c r="C1010" s="8">
        <f t="shared" si="18"/>
        <v>10</v>
      </c>
      <c r="D1010" s="8" t="s">
        <v>4</v>
      </c>
      <c r="E1010" s="8" t="s">
        <v>405</v>
      </c>
      <c r="F1010" s="9">
        <v>27.92</v>
      </c>
      <c r="G1010" s="8" t="s">
        <v>20</v>
      </c>
      <c r="H1010" s="8" t="str">
        <f t="shared" si="19"/>
        <v>Morning</v>
      </c>
      <c r="I1010" s="8" t="str">
        <f t="shared" si="20"/>
        <v>Mon</v>
      </c>
      <c r="J1010" s="8" t="str">
        <f t="shared" si="21"/>
        <v>Jul</v>
      </c>
      <c r="K1010" s="8">
        <f t="shared" si="22"/>
        <v>1</v>
      </c>
      <c r="L1010" s="8">
        <f t="shared" si="23"/>
        <v>7</v>
      </c>
    </row>
    <row r="1011" spans="1:12" x14ac:dyDescent="0.3">
      <c r="A1011" s="10">
        <v>45495</v>
      </c>
      <c r="B1011" s="11">
        <v>45495.697657326389</v>
      </c>
      <c r="C1011" s="12">
        <f t="shared" si="18"/>
        <v>16</v>
      </c>
      <c r="D1011" s="12" t="s">
        <v>4</v>
      </c>
      <c r="E1011" s="12" t="s">
        <v>416</v>
      </c>
      <c r="F1011" s="13">
        <v>32.82</v>
      </c>
      <c r="G1011" s="12" t="s">
        <v>13</v>
      </c>
      <c r="H1011" s="12" t="str">
        <f t="shared" si="19"/>
        <v>Afternoon</v>
      </c>
      <c r="I1011" s="12" t="str">
        <f t="shared" si="20"/>
        <v>Mon</v>
      </c>
      <c r="J1011" s="12" t="str">
        <f t="shared" si="21"/>
        <v>Jul</v>
      </c>
      <c r="K1011" s="12">
        <f t="shared" si="22"/>
        <v>1</v>
      </c>
      <c r="L1011" s="12">
        <f t="shared" si="23"/>
        <v>7</v>
      </c>
    </row>
    <row r="1012" spans="1:12" x14ac:dyDescent="0.3">
      <c r="A1012" s="6">
        <v>45496</v>
      </c>
      <c r="B1012" s="7">
        <v>45496.342317465278</v>
      </c>
      <c r="C1012" s="8">
        <f t="shared" si="18"/>
        <v>8</v>
      </c>
      <c r="D1012" s="8" t="s">
        <v>4</v>
      </c>
      <c r="E1012" s="8" t="s">
        <v>217</v>
      </c>
      <c r="F1012" s="9">
        <v>32.82</v>
      </c>
      <c r="G1012" s="8" t="s">
        <v>13</v>
      </c>
      <c r="H1012" s="8" t="str">
        <f t="shared" si="19"/>
        <v>Morning</v>
      </c>
      <c r="I1012" s="8" t="str">
        <f t="shared" si="20"/>
        <v>Tue</v>
      </c>
      <c r="J1012" s="8" t="str">
        <f t="shared" si="21"/>
        <v>Jul</v>
      </c>
      <c r="K1012" s="8">
        <f t="shared" si="22"/>
        <v>2</v>
      </c>
      <c r="L1012" s="8">
        <f t="shared" si="23"/>
        <v>7</v>
      </c>
    </row>
    <row r="1013" spans="1:12" x14ac:dyDescent="0.3">
      <c r="A1013" s="10">
        <v>45496</v>
      </c>
      <c r="B1013" s="11">
        <v>45496.361330798609</v>
      </c>
      <c r="C1013" s="12">
        <f t="shared" si="18"/>
        <v>8</v>
      </c>
      <c r="D1013" s="12" t="s">
        <v>4</v>
      </c>
      <c r="E1013" s="12" t="s">
        <v>415</v>
      </c>
      <c r="F1013" s="13">
        <v>23.02</v>
      </c>
      <c r="G1013" s="12" t="s">
        <v>17</v>
      </c>
      <c r="H1013" s="12" t="str">
        <f t="shared" si="19"/>
        <v>Morning</v>
      </c>
      <c r="I1013" s="12" t="str">
        <f t="shared" si="20"/>
        <v>Tue</v>
      </c>
      <c r="J1013" s="12" t="str">
        <f t="shared" si="21"/>
        <v>Jul</v>
      </c>
      <c r="K1013" s="12">
        <f t="shared" si="22"/>
        <v>2</v>
      </c>
      <c r="L1013" s="12">
        <f t="shared" si="23"/>
        <v>7</v>
      </c>
    </row>
    <row r="1014" spans="1:12" x14ac:dyDescent="0.3">
      <c r="A1014" s="6">
        <v>45496</v>
      </c>
      <c r="B1014" s="7">
        <v>45496.36451175926</v>
      </c>
      <c r="C1014" s="8">
        <f t="shared" si="18"/>
        <v>8</v>
      </c>
      <c r="D1014" s="8" t="s">
        <v>4</v>
      </c>
      <c r="E1014" s="8" t="s">
        <v>417</v>
      </c>
      <c r="F1014" s="9">
        <v>27.92</v>
      </c>
      <c r="G1014" s="8" t="s">
        <v>20</v>
      </c>
      <c r="H1014" s="8" t="str">
        <f t="shared" si="19"/>
        <v>Morning</v>
      </c>
      <c r="I1014" s="8" t="str">
        <f t="shared" si="20"/>
        <v>Tue</v>
      </c>
      <c r="J1014" s="8" t="str">
        <f t="shared" si="21"/>
        <v>Jul</v>
      </c>
      <c r="K1014" s="8">
        <f t="shared" si="22"/>
        <v>2</v>
      </c>
      <c r="L1014" s="8">
        <f t="shared" si="23"/>
        <v>7</v>
      </c>
    </row>
    <row r="1015" spans="1:12" x14ac:dyDescent="0.3">
      <c r="A1015" s="10">
        <v>45496</v>
      </c>
      <c r="B1015" s="11">
        <v>45496.367651701388</v>
      </c>
      <c r="C1015" s="12">
        <f t="shared" si="18"/>
        <v>8</v>
      </c>
      <c r="D1015" s="12" t="s">
        <v>4</v>
      </c>
      <c r="E1015" s="12" t="s">
        <v>418</v>
      </c>
      <c r="F1015" s="13">
        <v>32.82</v>
      </c>
      <c r="G1015" s="12" t="s">
        <v>24</v>
      </c>
      <c r="H1015" s="12" t="str">
        <f t="shared" si="19"/>
        <v>Morning</v>
      </c>
      <c r="I1015" s="12" t="str">
        <f t="shared" si="20"/>
        <v>Tue</v>
      </c>
      <c r="J1015" s="12" t="str">
        <f t="shared" si="21"/>
        <v>Jul</v>
      </c>
      <c r="K1015" s="12">
        <f t="shared" si="22"/>
        <v>2</v>
      </c>
      <c r="L1015" s="12">
        <f t="shared" si="23"/>
        <v>7</v>
      </c>
    </row>
    <row r="1016" spans="1:12" x14ac:dyDescent="0.3">
      <c r="A1016" s="6">
        <v>45496</v>
      </c>
      <c r="B1016" s="7">
        <v>45496.368869965278</v>
      </c>
      <c r="C1016" s="8">
        <f t="shared" si="18"/>
        <v>8</v>
      </c>
      <c r="D1016" s="8" t="s">
        <v>4</v>
      </c>
      <c r="E1016" s="8" t="s">
        <v>419</v>
      </c>
      <c r="F1016" s="9">
        <v>32.82</v>
      </c>
      <c r="G1016" s="8" t="s">
        <v>13</v>
      </c>
      <c r="H1016" s="8" t="str">
        <f t="shared" si="19"/>
        <v>Morning</v>
      </c>
      <c r="I1016" s="8" t="str">
        <f t="shared" si="20"/>
        <v>Tue</v>
      </c>
      <c r="J1016" s="8" t="str">
        <f t="shared" si="21"/>
        <v>Jul</v>
      </c>
      <c r="K1016" s="8">
        <f t="shared" si="22"/>
        <v>2</v>
      </c>
      <c r="L1016" s="8">
        <f t="shared" si="23"/>
        <v>7</v>
      </c>
    </row>
    <row r="1017" spans="1:12" x14ac:dyDescent="0.3">
      <c r="A1017" s="10">
        <v>45496</v>
      </c>
      <c r="B1017" s="11">
        <v>45496.376223460647</v>
      </c>
      <c r="C1017" s="12">
        <f t="shared" si="18"/>
        <v>9</v>
      </c>
      <c r="D1017" s="12" t="s">
        <v>4</v>
      </c>
      <c r="E1017" s="12" t="s">
        <v>395</v>
      </c>
      <c r="F1017" s="13">
        <v>23.02</v>
      </c>
      <c r="G1017" s="12" t="s">
        <v>17</v>
      </c>
      <c r="H1017" s="12" t="str">
        <f t="shared" si="19"/>
        <v>Morning</v>
      </c>
      <c r="I1017" s="12" t="str">
        <f t="shared" si="20"/>
        <v>Tue</v>
      </c>
      <c r="J1017" s="12" t="str">
        <f t="shared" si="21"/>
        <v>Jul</v>
      </c>
      <c r="K1017" s="12">
        <f t="shared" si="22"/>
        <v>2</v>
      </c>
      <c r="L1017" s="12">
        <f t="shared" si="23"/>
        <v>7</v>
      </c>
    </row>
    <row r="1018" spans="1:12" x14ac:dyDescent="0.3">
      <c r="A1018" s="6">
        <v>45496</v>
      </c>
      <c r="B1018" s="7">
        <v>45496.419172361107</v>
      </c>
      <c r="C1018" s="8">
        <f t="shared" si="18"/>
        <v>10</v>
      </c>
      <c r="D1018" s="8" t="s">
        <v>4</v>
      </c>
      <c r="E1018" s="8" t="s">
        <v>420</v>
      </c>
      <c r="F1018" s="9">
        <v>27.92</v>
      </c>
      <c r="G1018" s="8" t="s">
        <v>20</v>
      </c>
      <c r="H1018" s="8" t="str">
        <f t="shared" si="19"/>
        <v>Morning</v>
      </c>
      <c r="I1018" s="8" t="str">
        <f t="shared" si="20"/>
        <v>Tue</v>
      </c>
      <c r="J1018" s="8" t="str">
        <f t="shared" si="21"/>
        <v>Jul</v>
      </c>
      <c r="K1018" s="8">
        <f t="shared" si="22"/>
        <v>2</v>
      </c>
      <c r="L1018" s="8">
        <f t="shared" si="23"/>
        <v>7</v>
      </c>
    </row>
    <row r="1019" spans="1:12" x14ac:dyDescent="0.3">
      <c r="A1019" s="10">
        <v>45496</v>
      </c>
      <c r="B1019" s="11">
        <v>45496.638946423613</v>
      </c>
      <c r="C1019" s="12">
        <f t="shared" si="18"/>
        <v>15</v>
      </c>
      <c r="D1019" s="12" t="s">
        <v>4</v>
      </c>
      <c r="E1019" s="12" t="s">
        <v>421</v>
      </c>
      <c r="F1019" s="13">
        <v>27.92</v>
      </c>
      <c r="G1019" s="12" t="s">
        <v>20</v>
      </c>
      <c r="H1019" s="12" t="str">
        <f t="shared" si="19"/>
        <v>Afternoon</v>
      </c>
      <c r="I1019" s="12" t="str">
        <f t="shared" si="20"/>
        <v>Tue</v>
      </c>
      <c r="J1019" s="12" t="str">
        <f t="shared" si="21"/>
        <v>Jul</v>
      </c>
      <c r="K1019" s="12">
        <f t="shared" si="22"/>
        <v>2</v>
      </c>
      <c r="L1019" s="12">
        <f t="shared" si="23"/>
        <v>7</v>
      </c>
    </row>
    <row r="1020" spans="1:12" x14ac:dyDescent="0.3">
      <c r="A1020" s="6">
        <v>45496</v>
      </c>
      <c r="B1020" s="7">
        <v>45496.639598148147</v>
      </c>
      <c r="C1020" s="8">
        <f t="shared" si="18"/>
        <v>15</v>
      </c>
      <c r="D1020" s="8" t="s">
        <v>4</v>
      </c>
      <c r="E1020" s="8" t="s">
        <v>421</v>
      </c>
      <c r="F1020" s="9">
        <v>32.82</v>
      </c>
      <c r="G1020" s="8" t="s">
        <v>13</v>
      </c>
      <c r="H1020" s="8" t="str">
        <f t="shared" si="19"/>
        <v>Afternoon</v>
      </c>
      <c r="I1020" s="8" t="str">
        <f t="shared" si="20"/>
        <v>Tue</v>
      </c>
      <c r="J1020" s="8" t="str">
        <f t="shared" si="21"/>
        <v>Jul</v>
      </c>
      <c r="K1020" s="8">
        <f t="shared" si="22"/>
        <v>2</v>
      </c>
      <c r="L1020" s="8">
        <f t="shared" si="23"/>
        <v>7</v>
      </c>
    </row>
    <row r="1021" spans="1:12" x14ac:dyDescent="0.3">
      <c r="A1021" s="10">
        <v>45496</v>
      </c>
      <c r="B1021" s="11">
        <v>45496.876164490743</v>
      </c>
      <c r="C1021" s="12">
        <f t="shared" si="18"/>
        <v>21</v>
      </c>
      <c r="D1021" s="12" t="s">
        <v>4</v>
      </c>
      <c r="E1021" s="12" t="s">
        <v>25</v>
      </c>
      <c r="F1021" s="13">
        <v>32.82</v>
      </c>
      <c r="G1021" s="12" t="s">
        <v>13</v>
      </c>
      <c r="H1021" s="12" t="str">
        <f t="shared" si="19"/>
        <v>Night</v>
      </c>
      <c r="I1021" s="12" t="str">
        <f t="shared" si="20"/>
        <v>Tue</v>
      </c>
      <c r="J1021" s="12" t="str">
        <f t="shared" si="21"/>
        <v>Jul</v>
      </c>
      <c r="K1021" s="12">
        <f t="shared" si="22"/>
        <v>2</v>
      </c>
      <c r="L1021" s="12">
        <f t="shared" si="23"/>
        <v>7</v>
      </c>
    </row>
    <row r="1022" spans="1:12" x14ac:dyDescent="0.3">
      <c r="A1022" s="6">
        <v>45496</v>
      </c>
      <c r="B1022" s="7">
        <v>45496.891128483796</v>
      </c>
      <c r="C1022" s="8">
        <f t="shared" ref="C1022:C1276" si="24">HOUR(B1022)</f>
        <v>21</v>
      </c>
      <c r="D1022" s="8" t="s">
        <v>4</v>
      </c>
      <c r="E1022" s="8" t="s">
        <v>29</v>
      </c>
      <c r="F1022" s="9">
        <v>23.02</v>
      </c>
      <c r="G1022" s="8" t="s">
        <v>17</v>
      </c>
      <c r="H1022" s="8" t="str">
        <f t="shared" ref="H1022:H1276" si="25">IF(AND(C1022&gt;=5,C1022&lt;12),"Morning",
 IF(AND(C1022&gt;=12,C1022&lt;17),"Afternoon","Night"))</f>
        <v>Night</v>
      </c>
      <c r="I1022" s="8" t="str">
        <f t="shared" ref="I1022:I1276" si="26">TEXT(A1022, "ddd")</f>
        <v>Tue</v>
      </c>
      <c r="J1022" s="8" t="str">
        <f t="shared" ref="J1022:J1276" si="27">TEXT(A1022, "mmm")</f>
        <v>Jul</v>
      </c>
      <c r="K1022" s="8">
        <f t="shared" ref="K1022:K1276" si="28">WEEKDAY(A1022, 2)</f>
        <v>2</v>
      </c>
      <c r="L1022" s="8">
        <f t="shared" ref="L1022:L1276" si="29">MONTH(A1022)</f>
        <v>7</v>
      </c>
    </row>
    <row r="1023" spans="1:12" x14ac:dyDescent="0.3">
      <c r="A1023" s="10">
        <v>45496</v>
      </c>
      <c r="B1023" s="11">
        <v>45496.891928344907</v>
      </c>
      <c r="C1023" s="12">
        <f t="shared" si="24"/>
        <v>21</v>
      </c>
      <c r="D1023" s="12" t="s">
        <v>4</v>
      </c>
      <c r="E1023" s="12" t="s">
        <v>29</v>
      </c>
      <c r="F1023" s="13">
        <v>23.02</v>
      </c>
      <c r="G1023" s="12" t="s">
        <v>17</v>
      </c>
      <c r="H1023" s="12" t="str">
        <f t="shared" si="25"/>
        <v>Night</v>
      </c>
      <c r="I1023" s="12" t="str">
        <f t="shared" si="26"/>
        <v>Tue</v>
      </c>
      <c r="J1023" s="12" t="str">
        <f t="shared" si="27"/>
        <v>Jul</v>
      </c>
      <c r="K1023" s="12">
        <f t="shared" si="28"/>
        <v>2</v>
      </c>
      <c r="L1023" s="12">
        <f t="shared" si="29"/>
        <v>7</v>
      </c>
    </row>
    <row r="1024" spans="1:12" x14ac:dyDescent="0.3">
      <c r="A1024" s="6">
        <v>45497</v>
      </c>
      <c r="B1024" s="7">
        <v>45497.386224699076</v>
      </c>
      <c r="C1024" s="8">
        <f t="shared" si="24"/>
        <v>9</v>
      </c>
      <c r="D1024" s="8" t="s">
        <v>4</v>
      </c>
      <c r="E1024" s="8" t="s">
        <v>117</v>
      </c>
      <c r="F1024" s="9">
        <v>27.92</v>
      </c>
      <c r="G1024" s="8" t="s">
        <v>20</v>
      </c>
      <c r="H1024" s="8" t="str">
        <f t="shared" si="25"/>
        <v>Morning</v>
      </c>
      <c r="I1024" s="8" t="str">
        <f t="shared" si="26"/>
        <v>Wed</v>
      </c>
      <c r="J1024" s="8" t="str">
        <f t="shared" si="27"/>
        <v>Jul</v>
      </c>
      <c r="K1024" s="8">
        <f t="shared" si="28"/>
        <v>3</v>
      </c>
      <c r="L1024" s="8">
        <f t="shared" si="29"/>
        <v>7</v>
      </c>
    </row>
    <row r="1025" spans="1:12" x14ac:dyDescent="0.3">
      <c r="A1025" s="10">
        <v>45497</v>
      </c>
      <c r="B1025" s="11">
        <v>45497.402025543983</v>
      </c>
      <c r="C1025" s="12">
        <f t="shared" si="24"/>
        <v>9</v>
      </c>
      <c r="D1025" s="12" t="s">
        <v>4</v>
      </c>
      <c r="E1025" s="12" t="s">
        <v>405</v>
      </c>
      <c r="F1025" s="13">
        <v>27.92</v>
      </c>
      <c r="G1025" s="12" t="s">
        <v>20</v>
      </c>
      <c r="H1025" s="12" t="str">
        <f t="shared" si="25"/>
        <v>Morning</v>
      </c>
      <c r="I1025" s="12" t="str">
        <f t="shared" si="26"/>
        <v>Wed</v>
      </c>
      <c r="J1025" s="12" t="str">
        <f t="shared" si="27"/>
        <v>Jul</v>
      </c>
      <c r="K1025" s="12">
        <f t="shared" si="28"/>
        <v>3</v>
      </c>
      <c r="L1025" s="12">
        <f t="shared" si="29"/>
        <v>7</v>
      </c>
    </row>
    <row r="1026" spans="1:12" x14ac:dyDescent="0.3">
      <c r="A1026" s="6">
        <v>45497</v>
      </c>
      <c r="B1026" s="7">
        <v>45497.412933518521</v>
      </c>
      <c r="C1026" s="8">
        <f t="shared" si="24"/>
        <v>9</v>
      </c>
      <c r="D1026" s="8" t="s">
        <v>4</v>
      </c>
      <c r="E1026" s="8" t="s">
        <v>422</v>
      </c>
      <c r="F1026" s="9">
        <v>18.12</v>
      </c>
      <c r="G1026" s="8" t="s">
        <v>41</v>
      </c>
      <c r="H1026" s="8" t="str">
        <f t="shared" si="25"/>
        <v>Morning</v>
      </c>
      <c r="I1026" s="8" t="str">
        <f t="shared" si="26"/>
        <v>Wed</v>
      </c>
      <c r="J1026" s="8" t="str">
        <f t="shared" si="27"/>
        <v>Jul</v>
      </c>
      <c r="K1026" s="8">
        <f t="shared" si="28"/>
        <v>3</v>
      </c>
      <c r="L1026" s="8">
        <f t="shared" si="29"/>
        <v>7</v>
      </c>
    </row>
    <row r="1027" spans="1:12" x14ac:dyDescent="0.3">
      <c r="A1027" s="10">
        <v>45497</v>
      </c>
      <c r="B1027" s="11">
        <v>45497.488809270835</v>
      </c>
      <c r="C1027" s="12">
        <f t="shared" si="24"/>
        <v>11</v>
      </c>
      <c r="D1027" s="12" t="s">
        <v>4</v>
      </c>
      <c r="E1027" s="12" t="s">
        <v>399</v>
      </c>
      <c r="F1027" s="13">
        <v>32.82</v>
      </c>
      <c r="G1027" s="12" t="s">
        <v>49</v>
      </c>
      <c r="H1027" s="12" t="str">
        <f t="shared" si="25"/>
        <v>Morning</v>
      </c>
      <c r="I1027" s="12" t="str">
        <f t="shared" si="26"/>
        <v>Wed</v>
      </c>
      <c r="J1027" s="12" t="str">
        <f t="shared" si="27"/>
        <v>Jul</v>
      </c>
      <c r="K1027" s="12">
        <f t="shared" si="28"/>
        <v>3</v>
      </c>
      <c r="L1027" s="12">
        <f t="shared" si="29"/>
        <v>7</v>
      </c>
    </row>
    <row r="1028" spans="1:12" x14ac:dyDescent="0.3">
      <c r="A1028" s="6">
        <v>45497</v>
      </c>
      <c r="B1028" s="7">
        <v>45497.580021076392</v>
      </c>
      <c r="C1028" s="8">
        <f t="shared" si="24"/>
        <v>13</v>
      </c>
      <c r="D1028" s="8" t="s">
        <v>4</v>
      </c>
      <c r="E1028" s="8" t="s">
        <v>419</v>
      </c>
      <c r="F1028" s="9">
        <v>32.82</v>
      </c>
      <c r="G1028" s="8" t="s">
        <v>13</v>
      </c>
      <c r="H1028" s="8" t="str">
        <f t="shared" si="25"/>
        <v>Afternoon</v>
      </c>
      <c r="I1028" s="8" t="str">
        <f t="shared" si="26"/>
        <v>Wed</v>
      </c>
      <c r="J1028" s="8" t="str">
        <f t="shared" si="27"/>
        <v>Jul</v>
      </c>
      <c r="K1028" s="8">
        <f t="shared" si="28"/>
        <v>3</v>
      </c>
      <c r="L1028" s="8">
        <f t="shared" si="29"/>
        <v>7</v>
      </c>
    </row>
    <row r="1029" spans="1:12" x14ac:dyDescent="0.3">
      <c r="A1029" s="10">
        <v>45497</v>
      </c>
      <c r="B1029" s="11">
        <v>45497.615159328707</v>
      </c>
      <c r="C1029" s="12">
        <f t="shared" si="24"/>
        <v>14</v>
      </c>
      <c r="D1029" s="12" t="s">
        <v>4</v>
      </c>
      <c r="E1029" s="12" t="s">
        <v>29</v>
      </c>
      <c r="F1029" s="13">
        <v>18.12</v>
      </c>
      <c r="G1029" s="12" t="s">
        <v>41</v>
      </c>
      <c r="H1029" s="12" t="str">
        <f t="shared" si="25"/>
        <v>Afternoon</v>
      </c>
      <c r="I1029" s="12" t="str">
        <f t="shared" si="26"/>
        <v>Wed</v>
      </c>
      <c r="J1029" s="12" t="str">
        <f t="shared" si="27"/>
        <v>Jul</v>
      </c>
      <c r="K1029" s="12">
        <f t="shared" si="28"/>
        <v>3</v>
      </c>
      <c r="L1029" s="12">
        <f t="shared" si="29"/>
        <v>7</v>
      </c>
    </row>
    <row r="1030" spans="1:12" x14ac:dyDescent="0.3">
      <c r="A1030" s="6">
        <v>45497</v>
      </c>
      <c r="B1030" s="7">
        <v>45497.637853263892</v>
      </c>
      <c r="C1030" s="8">
        <f t="shared" si="24"/>
        <v>15</v>
      </c>
      <c r="D1030" s="8" t="s">
        <v>4</v>
      </c>
      <c r="E1030" s="8" t="s">
        <v>25</v>
      </c>
      <c r="F1030" s="9">
        <v>32.82</v>
      </c>
      <c r="G1030" s="8" t="s">
        <v>13</v>
      </c>
      <c r="H1030" s="8" t="str">
        <f t="shared" si="25"/>
        <v>Afternoon</v>
      </c>
      <c r="I1030" s="8" t="str">
        <f t="shared" si="26"/>
        <v>Wed</v>
      </c>
      <c r="J1030" s="8" t="str">
        <f t="shared" si="27"/>
        <v>Jul</v>
      </c>
      <c r="K1030" s="8">
        <f t="shared" si="28"/>
        <v>3</v>
      </c>
      <c r="L1030" s="8">
        <f t="shared" si="29"/>
        <v>7</v>
      </c>
    </row>
    <row r="1031" spans="1:12" x14ac:dyDescent="0.3">
      <c r="A1031" s="10">
        <v>45497</v>
      </c>
      <c r="B1031" s="11">
        <v>45497.802149050927</v>
      </c>
      <c r="C1031" s="12">
        <f t="shared" si="24"/>
        <v>19</v>
      </c>
      <c r="D1031" s="12" t="s">
        <v>4</v>
      </c>
      <c r="E1031" s="12" t="s">
        <v>225</v>
      </c>
      <c r="F1031" s="13">
        <v>32.82</v>
      </c>
      <c r="G1031" s="12" t="s">
        <v>49</v>
      </c>
      <c r="H1031" s="12" t="str">
        <f t="shared" si="25"/>
        <v>Night</v>
      </c>
      <c r="I1031" s="12" t="str">
        <f t="shared" si="26"/>
        <v>Wed</v>
      </c>
      <c r="J1031" s="12" t="str">
        <f t="shared" si="27"/>
        <v>Jul</v>
      </c>
      <c r="K1031" s="12">
        <f t="shared" si="28"/>
        <v>3</v>
      </c>
      <c r="L1031" s="12">
        <f t="shared" si="29"/>
        <v>7</v>
      </c>
    </row>
    <row r="1032" spans="1:12" x14ac:dyDescent="0.3">
      <c r="A1032" s="6">
        <v>45497</v>
      </c>
      <c r="B1032" s="7">
        <v>45497.803469664352</v>
      </c>
      <c r="C1032" s="8">
        <f t="shared" si="24"/>
        <v>19</v>
      </c>
      <c r="D1032" s="8" t="s">
        <v>4</v>
      </c>
      <c r="E1032" s="8" t="s">
        <v>225</v>
      </c>
      <c r="F1032" s="9">
        <v>32.82</v>
      </c>
      <c r="G1032" s="8" t="s">
        <v>49</v>
      </c>
      <c r="H1032" s="8" t="str">
        <f t="shared" si="25"/>
        <v>Night</v>
      </c>
      <c r="I1032" s="8" t="str">
        <f t="shared" si="26"/>
        <v>Wed</v>
      </c>
      <c r="J1032" s="8" t="str">
        <f t="shared" si="27"/>
        <v>Jul</v>
      </c>
      <c r="K1032" s="8">
        <f t="shared" si="28"/>
        <v>3</v>
      </c>
      <c r="L1032" s="8">
        <f t="shared" si="29"/>
        <v>7</v>
      </c>
    </row>
    <row r="1033" spans="1:12" x14ac:dyDescent="0.3">
      <c r="A1033" s="10">
        <v>45497</v>
      </c>
      <c r="B1033" s="11">
        <v>45497.887231446759</v>
      </c>
      <c r="C1033" s="12">
        <f t="shared" si="24"/>
        <v>21</v>
      </c>
      <c r="D1033" s="12" t="s">
        <v>4</v>
      </c>
      <c r="E1033" s="12" t="s">
        <v>60</v>
      </c>
      <c r="F1033" s="13">
        <v>27.92</v>
      </c>
      <c r="G1033" s="12" t="s">
        <v>20</v>
      </c>
      <c r="H1033" s="12" t="str">
        <f t="shared" si="25"/>
        <v>Night</v>
      </c>
      <c r="I1033" s="12" t="str">
        <f t="shared" si="26"/>
        <v>Wed</v>
      </c>
      <c r="J1033" s="12" t="str">
        <f t="shared" si="27"/>
        <v>Jul</v>
      </c>
      <c r="K1033" s="12">
        <f t="shared" si="28"/>
        <v>3</v>
      </c>
      <c r="L1033" s="12">
        <f t="shared" si="29"/>
        <v>7</v>
      </c>
    </row>
    <row r="1034" spans="1:12" x14ac:dyDescent="0.3">
      <c r="A1034" s="6">
        <v>45497</v>
      </c>
      <c r="B1034" s="7">
        <v>45497.887977939812</v>
      </c>
      <c r="C1034" s="8">
        <f t="shared" si="24"/>
        <v>21</v>
      </c>
      <c r="D1034" s="8" t="s">
        <v>4</v>
      </c>
      <c r="E1034" s="8" t="s">
        <v>60</v>
      </c>
      <c r="F1034" s="9">
        <v>23.02</v>
      </c>
      <c r="G1034" s="8" t="s">
        <v>17</v>
      </c>
      <c r="H1034" s="8" t="str">
        <f t="shared" si="25"/>
        <v>Night</v>
      </c>
      <c r="I1034" s="8" t="str">
        <f t="shared" si="26"/>
        <v>Wed</v>
      </c>
      <c r="J1034" s="8" t="str">
        <f t="shared" si="27"/>
        <v>Jul</v>
      </c>
      <c r="K1034" s="8">
        <f t="shared" si="28"/>
        <v>3</v>
      </c>
      <c r="L1034" s="8">
        <f t="shared" si="29"/>
        <v>7</v>
      </c>
    </row>
    <row r="1035" spans="1:12" x14ac:dyDescent="0.3">
      <c r="A1035" s="10">
        <v>45497</v>
      </c>
      <c r="B1035" s="11">
        <v>45497.892563576388</v>
      </c>
      <c r="C1035" s="12">
        <f t="shared" si="24"/>
        <v>21</v>
      </c>
      <c r="D1035" s="12" t="s">
        <v>4</v>
      </c>
      <c r="E1035" s="12" t="s">
        <v>29</v>
      </c>
      <c r="F1035" s="13">
        <v>23.02</v>
      </c>
      <c r="G1035" s="12" t="s">
        <v>17</v>
      </c>
      <c r="H1035" s="12" t="str">
        <f t="shared" si="25"/>
        <v>Night</v>
      </c>
      <c r="I1035" s="12" t="str">
        <f t="shared" si="26"/>
        <v>Wed</v>
      </c>
      <c r="J1035" s="12" t="str">
        <f t="shared" si="27"/>
        <v>Jul</v>
      </c>
      <c r="K1035" s="12">
        <f t="shared" si="28"/>
        <v>3</v>
      </c>
      <c r="L1035" s="12">
        <f t="shared" si="29"/>
        <v>7</v>
      </c>
    </row>
    <row r="1036" spans="1:12" x14ac:dyDescent="0.3">
      <c r="A1036" s="6">
        <v>45498</v>
      </c>
      <c r="B1036" s="7">
        <v>45498.329721469905</v>
      </c>
      <c r="C1036" s="8">
        <f t="shared" si="24"/>
        <v>7</v>
      </c>
      <c r="D1036" s="8" t="s">
        <v>4</v>
      </c>
      <c r="E1036" s="8" t="s">
        <v>29</v>
      </c>
      <c r="F1036" s="9">
        <v>23.02</v>
      </c>
      <c r="G1036" s="8" t="s">
        <v>17</v>
      </c>
      <c r="H1036" s="8" t="str">
        <f t="shared" si="25"/>
        <v>Morning</v>
      </c>
      <c r="I1036" s="8" t="str">
        <f t="shared" si="26"/>
        <v>Thu</v>
      </c>
      <c r="J1036" s="8" t="str">
        <f t="shared" si="27"/>
        <v>Jul</v>
      </c>
      <c r="K1036" s="8">
        <f t="shared" si="28"/>
        <v>4</v>
      </c>
      <c r="L1036" s="8">
        <f t="shared" si="29"/>
        <v>7</v>
      </c>
    </row>
    <row r="1037" spans="1:12" x14ac:dyDescent="0.3">
      <c r="A1037" s="10">
        <v>45498</v>
      </c>
      <c r="B1037" s="11">
        <v>45498.367574398151</v>
      </c>
      <c r="C1037" s="12">
        <f t="shared" si="24"/>
        <v>8</v>
      </c>
      <c r="D1037" s="12" t="s">
        <v>4</v>
      </c>
      <c r="E1037" s="12" t="s">
        <v>419</v>
      </c>
      <c r="F1037" s="13">
        <v>32.82</v>
      </c>
      <c r="G1037" s="12" t="s">
        <v>13</v>
      </c>
      <c r="H1037" s="12" t="str">
        <f t="shared" si="25"/>
        <v>Morning</v>
      </c>
      <c r="I1037" s="12" t="str">
        <f t="shared" si="26"/>
        <v>Thu</v>
      </c>
      <c r="J1037" s="12" t="str">
        <f t="shared" si="27"/>
        <v>Jul</v>
      </c>
      <c r="K1037" s="12">
        <f t="shared" si="28"/>
        <v>4</v>
      </c>
      <c r="L1037" s="12">
        <f t="shared" si="29"/>
        <v>7</v>
      </c>
    </row>
    <row r="1038" spans="1:12" x14ac:dyDescent="0.3">
      <c r="A1038" s="6">
        <v>45498</v>
      </c>
      <c r="B1038" s="7">
        <v>45498.437322094906</v>
      </c>
      <c r="C1038" s="8">
        <f t="shared" si="24"/>
        <v>10</v>
      </c>
      <c r="D1038" s="8" t="s">
        <v>4</v>
      </c>
      <c r="E1038" s="8" t="s">
        <v>405</v>
      </c>
      <c r="F1038" s="9">
        <v>27.92</v>
      </c>
      <c r="G1038" s="8" t="s">
        <v>20</v>
      </c>
      <c r="H1038" s="8" t="str">
        <f t="shared" si="25"/>
        <v>Morning</v>
      </c>
      <c r="I1038" s="8" t="str">
        <f t="shared" si="26"/>
        <v>Thu</v>
      </c>
      <c r="J1038" s="8" t="str">
        <f t="shared" si="27"/>
        <v>Jul</v>
      </c>
      <c r="K1038" s="8">
        <f t="shared" si="28"/>
        <v>4</v>
      </c>
      <c r="L1038" s="8">
        <f t="shared" si="29"/>
        <v>7</v>
      </c>
    </row>
    <row r="1039" spans="1:12" x14ac:dyDescent="0.3">
      <c r="A1039" s="10">
        <v>45498</v>
      </c>
      <c r="B1039" s="11">
        <v>45498.476443298612</v>
      </c>
      <c r="C1039" s="12">
        <f t="shared" si="24"/>
        <v>11</v>
      </c>
      <c r="D1039" s="12" t="s">
        <v>4</v>
      </c>
      <c r="E1039" s="12" t="s">
        <v>395</v>
      </c>
      <c r="F1039" s="13">
        <v>23.02</v>
      </c>
      <c r="G1039" s="12" t="s">
        <v>17</v>
      </c>
      <c r="H1039" s="12" t="str">
        <f t="shared" si="25"/>
        <v>Morning</v>
      </c>
      <c r="I1039" s="12" t="str">
        <f t="shared" si="26"/>
        <v>Thu</v>
      </c>
      <c r="J1039" s="12" t="str">
        <f t="shared" si="27"/>
        <v>Jul</v>
      </c>
      <c r="K1039" s="12">
        <f t="shared" si="28"/>
        <v>4</v>
      </c>
      <c r="L1039" s="12">
        <f t="shared" si="29"/>
        <v>7</v>
      </c>
    </row>
    <row r="1040" spans="1:12" x14ac:dyDescent="0.3">
      <c r="A1040" s="6">
        <v>45498</v>
      </c>
      <c r="B1040" s="7">
        <v>45498.642436481481</v>
      </c>
      <c r="C1040" s="8">
        <f t="shared" si="24"/>
        <v>15</v>
      </c>
      <c r="D1040" s="8" t="s">
        <v>4</v>
      </c>
      <c r="E1040" s="8" t="s">
        <v>423</v>
      </c>
      <c r="F1040" s="9">
        <v>32.82</v>
      </c>
      <c r="G1040" s="8" t="s">
        <v>49</v>
      </c>
      <c r="H1040" s="8" t="str">
        <f t="shared" si="25"/>
        <v>Afternoon</v>
      </c>
      <c r="I1040" s="8" t="str">
        <f t="shared" si="26"/>
        <v>Thu</v>
      </c>
      <c r="J1040" s="8" t="str">
        <f t="shared" si="27"/>
        <v>Jul</v>
      </c>
      <c r="K1040" s="8">
        <f t="shared" si="28"/>
        <v>4</v>
      </c>
      <c r="L1040" s="8">
        <f t="shared" si="29"/>
        <v>7</v>
      </c>
    </row>
    <row r="1041" spans="1:12" x14ac:dyDescent="0.3">
      <c r="A1041" s="10">
        <v>45498</v>
      </c>
      <c r="B1041" s="11">
        <v>45498.806258842589</v>
      </c>
      <c r="C1041" s="12">
        <f t="shared" si="24"/>
        <v>19</v>
      </c>
      <c r="D1041" s="12" t="s">
        <v>4</v>
      </c>
      <c r="E1041" s="12" t="s">
        <v>277</v>
      </c>
      <c r="F1041" s="13">
        <v>32.82</v>
      </c>
      <c r="G1041" s="12" t="s">
        <v>49</v>
      </c>
      <c r="H1041" s="12" t="str">
        <f t="shared" si="25"/>
        <v>Night</v>
      </c>
      <c r="I1041" s="12" t="str">
        <f t="shared" si="26"/>
        <v>Thu</v>
      </c>
      <c r="J1041" s="12" t="str">
        <f t="shared" si="27"/>
        <v>Jul</v>
      </c>
      <c r="K1041" s="12">
        <f t="shared" si="28"/>
        <v>4</v>
      </c>
      <c r="L1041" s="12">
        <f t="shared" si="29"/>
        <v>7</v>
      </c>
    </row>
    <row r="1042" spans="1:12" x14ac:dyDescent="0.3">
      <c r="A1042" s="6">
        <v>45498</v>
      </c>
      <c r="B1042" s="7">
        <v>45498.879181388889</v>
      </c>
      <c r="C1042" s="8">
        <f t="shared" si="24"/>
        <v>21</v>
      </c>
      <c r="D1042" s="8" t="s">
        <v>4</v>
      </c>
      <c r="E1042" s="8" t="s">
        <v>424</v>
      </c>
      <c r="F1042" s="9">
        <v>23.02</v>
      </c>
      <c r="G1042" s="8" t="s">
        <v>34</v>
      </c>
      <c r="H1042" s="8" t="str">
        <f t="shared" si="25"/>
        <v>Night</v>
      </c>
      <c r="I1042" s="8" t="str">
        <f t="shared" si="26"/>
        <v>Thu</v>
      </c>
      <c r="J1042" s="8" t="str">
        <f t="shared" si="27"/>
        <v>Jul</v>
      </c>
      <c r="K1042" s="8">
        <f t="shared" si="28"/>
        <v>4</v>
      </c>
      <c r="L1042" s="8">
        <f t="shared" si="29"/>
        <v>7</v>
      </c>
    </row>
    <row r="1043" spans="1:12" x14ac:dyDescent="0.3">
      <c r="A1043" s="10">
        <v>45498</v>
      </c>
      <c r="B1043" s="11">
        <v>45498.879745393519</v>
      </c>
      <c r="C1043" s="12">
        <f t="shared" si="24"/>
        <v>21</v>
      </c>
      <c r="D1043" s="12" t="s">
        <v>4</v>
      </c>
      <c r="E1043" s="12" t="s">
        <v>424</v>
      </c>
      <c r="F1043" s="13">
        <v>18.12</v>
      </c>
      <c r="G1043" s="12" t="s">
        <v>41</v>
      </c>
      <c r="H1043" s="12" t="str">
        <f t="shared" si="25"/>
        <v>Night</v>
      </c>
      <c r="I1043" s="12" t="str">
        <f t="shared" si="26"/>
        <v>Thu</v>
      </c>
      <c r="J1043" s="12" t="str">
        <f t="shared" si="27"/>
        <v>Jul</v>
      </c>
      <c r="K1043" s="12">
        <f t="shared" si="28"/>
        <v>4</v>
      </c>
      <c r="L1043" s="12">
        <f t="shared" si="29"/>
        <v>7</v>
      </c>
    </row>
    <row r="1044" spans="1:12" x14ac:dyDescent="0.3">
      <c r="A1044" s="6">
        <v>45498</v>
      </c>
      <c r="B1044" s="7">
        <v>45498.943649652778</v>
      </c>
      <c r="C1044" s="8">
        <f t="shared" si="24"/>
        <v>22</v>
      </c>
      <c r="D1044" s="8" t="s">
        <v>4</v>
      </c>
      <c r="E1044" s="8" t="s">
        <v>348</v>
      </c>
      <c r="F1044" s="9">
        <v>23.02</v>
      </c>
      <c r="G1044" s="8" t="s">
        <v>34</v>
      </c>
      <c r="H1044" s="8" t="str">
        <f t="shared" si="25"/>
        <v>Night</v>
      </c>
      <c r="I1044" s="8" t="str">
        <f t="shared" si="26"/>
        <v>Thu</v>
      </c>
      <c r="J1044" s="8" t="str">
        <f t="shared" si="27"/>
        <v>Jul</v>
      </c>
      <c r="K1044" s="8">
        <f t="shared" si="28"/>
        <v>4</v>
      </c>
      <c r="L1044" s="8">
        <f t="shared" si="29"/>
        <v>7</v>
      </c>
    </row>
    <row r="1045" spans="1:12" x14ac:dyDescent="0.3">
      <c r="A1045" s="10">
        <v>45498</v>
      </c>
      <c r="B1045" s="11">
        <v>45498.944291550928</v>
      </c>
      <c r="C1045" s="12">
        <f t="shared" si="24"/>
        <v>22</v>
      </c>
      <c r="D1045" s="12" t="s">
        <v>4</v>
      </c>
      <c r="E1045" s="12" t="s">
        <v>425</v>
      </c>
      <c r="F1045" s="13">
        <v>32.82</v>
      </c>
      <c r="G1045" s="12" t="s">
        <v>24</v>
      </c>
      <c r="H1045" s="12" t="str">
        <f t="shared" si="25"/>
        <v>Night</v>
      </c>
      <c r="I1045" s="12" t="str">
        <f t="shared" si="26"/>
        <v>Thu</v>
      </c>
      <c r="J1045" s="12" t="str">
        <f t="shared" si="27"/>
        <v>Jul</v>
      </c>
      <c r="K1045" s="12">
        <f t="shared" si="28"/>
        <v>4</v>
      </c>
      <c r="L1045" s="12">
        <f t="shared" si="29"/>
        <v>7</v>
      </c>
    </row>
    <row r="1046" spans="1:12" x14ac:dyDescent="0.3">
      <c r="A1046" s="6">
        <v>45499</v>
      </c>
      <c r="B1046" s="7">
        <v>45499.356264733797</v>
      </c>
      <c r="C1046" s="8">
        <f t="shared" si="24"/>
        <v>8</v>
      </c>
      <c r="D1046" s="8" t="s">
        <v>4</v>
      </c>
      <c r="E1046" s="8" t="s">
        <v>426</v>
      </c>
      <c r="F1046" s="9">
        <v>32.82</v>
      </c>
      <c r="G1046" s="8" t="s">
        <v>13</v>
      </c>
      <c r="H1046" s="8" t="str">
        <f t="shared" si="25"/>
        <v>Morning</v>
      </c>
      <c r="I1046" s="8" t="str">
        <f t="shared" si="26"/>
        <v>Fri</v>
      </c>
      <c r="J1046" s="8" t="str">
        <f t="shared" si="27"/>
        <v>Jul</v>
      </c>
      <c r="K1046" s="8">
        <f t="shared" si="28"/>
        <v>5</v>
      </c>
      <c r="L1046" s="8">
        <f t="shared" si="29"/>
        <v>7</v>
      </c>
    </row>
    <row r="1047" spans="1:12" x14ac:dyDescent="0.3">
      <c r="A1047" s="10">
        <v>45499</v>
      </c>
      <c r="B1047" s="11">
        <v>45499.388627037035</v>
      </c>
      <c r="C1047" s="12">
        <f t="shared" si="24"/>
        <v>9</v>
      </c>
      <c r="D1047" s="12" t="s">
        <v>4</v>
      </c>
      <c r="E1047" s="12" t="s">
        <v>117</v>
      </c>
      <c r="F1047" s="13">
        <v>27.92</v>
      </c>
      <c r="G1047" s="12" t="s">
        <v>20</v>
      </c>
      <c r="H1047" s="12" t="str">
        <f t="shared" si="25"/>
        <v>Morning</v>
      </c>
      <c r="I1047" s="12" t="str">
        <f t="shared" si="26"/>
        <v>Fri</v>
      </c>
      <c r="J1047" s="12" t="str">
        <f t="shared" si="27"/>
        <v>Jul</v>
      </c>
      <c r="K1047" s="12">
        <f t="shared" si="28"/>
        <v>5</v>
      </c>
      <c r="L1047" s="12">
        <f t="shared" si="29"/>
        <v>7</v>
      </c>
    </row>
    <row r="1048" spans="1:12" x14ac:dyDescent="0.3">
      <c r="A1048" s="6">
        <v>45499</v>
      </c>
      <c r="B1048" s="7">
        <v>45499.38928638889</v>
      </c>
      <c r="C1048" s="8">
        <f t="shared" si="24"/>
        <v>9</v>
      </c>
      <c r="D1048" s="8" t="s">
        <v>4</v>
      </c>
      <c r="E1048" s="8" t="s">
        <v>79</v>
      </c>
      <c r="F1048" s="9">
        <v>18.12</v>
      </c>
      <c r="G1048" s="8" t="s">
        <v>41</v>
      </c>
      <c r="H1048" s="8" t="str">
        <f t="shared" si="25"/>
        <v>Morning</v>
      </c>
      <c r="I1048" s="8" t="str">
        <f t="shared" si="26"/>
        <v>Fri</v>
      </c>
      <c r="J1048" s="8" t="str">
        <f t="shared" si="27"/>
        <v>Jul</v>
      </c>
      <c r="K1048" s="8">
        <f t="shared" si="28"/>
        <v>5</v>
      </c>
      <c r="L1048" s="8">
        <f t="shared" si="29"/>
        <v>7</v>
      </c>
    </row>
    <row r="1049" spans="1:12" x14ac:dyDescent="0.3">
      <c r="A1049" s="10">
        <v>45499</v>
      </c>
      <c r="B1049" s="11">
        <v>45499.398049895834</v>
      </c>
      <c r="C1049" s="12">
        <f t="shared" si="24"/>
        <v>9</v>
      </c>
      <c r="D1049" s="12" t="s">
        <v>4</v>
      </c>
      <c r="E1049" s="12" t="s">
        <v>427</v>
      </c>
      <c r="F1049" s="13">
        <v>23.02</v>
      </c>
      <c r="G1049" s="12" t="s">
        <v>34</v>
      </c>
      <c r="H1049" s="12" t="str">
        <f t="shared" si="25"/>
        <v>Morning</v>
      </c>
      <c r="I1049" s="12" t="str">
        <f t="shared" si="26"/>
        <v>Fri</v>
      </c>
      <c r="J1049" s="12" t="str">
        <f t="shared" si="27"/>
        <v>Jul</v>
      </c>
      <c r="K1049" s="12">
        <f t="shared" si="28"/>
        <v>5</v>
      </c>
      <c r="L1049" s="12">
        <f t="shared" si="29"/>
        <v>7</v>
      </c>
    </row>
    <row r="1050" spans="1:12" x14ac:dyDescent="0.3">
      <c r="A1050" s="6">
        <v>45499</v>
      </c>
      <c r="B1050" s="7">
        <v>45499.398803622687</v>
      </c>
      <c r="C1050" s="8">
        <f t="shared" si="24"/>
        <v>9</v>
      </c>
      <c r="D1050" s="8" t="s">
        <v>4</v>
      </c>
      <c r="E1050" s="8" t="s">
        <v>427</v>
      </c>
      <c r="F1050" s="9">
        <v>23.02</v>
      </c>
      <c r="G1050" s="8" t="s">
        <v>34</v>
      </c>
      <c r="H1050" s="8" t="str">
        <f t="shared" si="25"/>
        <v>Morning</v>
      </c>
      <c r="I1050" s="8" t="str">
        <f t="shared" si="26"/>
        <v>Fri</v>
      </c>
      <c r="J1050" s="8" t="str">
        <f t="shared" si="27"/>
        <v>Jul</v>
      </c>
      <c r="K1050" s="8">
        <f t="shared" si="28"/>
        <v>5</v>
      </c>
      <c r="L1050" s="8">
        <f t="shared" si="29"/>
        <v>7</v>
      </c>
    </row>
    <row r="1051" spans="1:12" x14ac:dyDescent="0.3">
      <c r="A1051" s="10">
        <v>45499</v>
      </c>
      <c r="B1051" s="11">
        <v>45499.416063275465</v>
      </c>
      <c r="C1051" s="12">
        <f t="shared" si="24"/>
        <v>9</v>
      </c>
      <c r="D1051" s="12" t="s">
        <v>4</v>
      </c>
      <c r="E1051" s="12" t="s">
        <v>428</v>
      </c>
      <c r="F1051" s="13">
        <v>32.82</v>
      </c>
      <c r="G1051" s="12" t="s">
        <v>13</v>
      </c>
      <c r="H1051" s="12" t="str">
        <f t="shared" si="25"/>
        <v>Morning</v>
      </c>
      <c r="I1051" s="12" t="str">
        <f t="shared" si="26"/>
        <v>Fri</v>
      </c>
      <c r="J1051" s="12" t="str">
        <f t="shared" si="27"/>
        <v>Jul</v>
      </c>
      <c r="K1051" s="12">
        <f t="shared" si="28"/>
        <v>5</v>
      </c>
      <c r="L1051" s="12">
        <f t="shared" si="29"/>
        <v>7</v>
      </c>
    </row>
    <row r="1052" spans="1:12" x14ac:dyDescent="0.3">
      <c r="A1052" s="6">
        <v>45499</v>
      </c>
      <c r="B1052" s="7">
        <v>45499.416698136571</v>
      </c>
      <c r="C1052" s="8">
        <f t="shared" si="24"/>
        <v>10</v>
      </c>
      <c r="D1052" s="8" t="s">
        <v>4</v>
      </c>
      <c r="E1052" s="8" t="s">
        <v>428</v>
      </c>
      <c r="F1052" s="9">
        <v>32.82</v>
      </c>
      <c r="G1052" s="8" t="s">
        <v>13</v>
      </c>
      <c r="H1052" s="8" t="str">
        <f t="shared" si="25"/>
        <v>Morning</v>
      </c>
      <c r="I1052" s="8" t="str">
        <f t="shared" si="26"/>
        <v>Fri</v>
      </c>
      <c r="J1052" s="8" t="str">
        <f t="shared" si="27"/>
        <v>Jul</v>
      </c>
      <c r="K1052" s="8">
        <f t="shared" si="28"/>
        <v>5</v>
      </c>
      <c r="L1052" s="8">
        <f t="shared" si="29"/>
        <v>7</v>
      </c>
    </row>
    <row r="1053" spans="1:12" x14ac:dyDescent="0.3">
      <c r="A1053" s="10">
        <v>45499</v>
      </c>
      <c r="B1053" s="11">
        <v>45499.491132581017</v>
      </c>
      <c r="C1053" s="12">
        <f t="shared" si="24"/>
        <v>11</v>
      </c>
      <c r="D1053" s="12" t="s">
        <v>4</v>
      </c>
      <c r="E1053" s="12" t="s">
        <v>405</v>
      </c>
      <c r="F1053" s="13">
        <v>27.92</v>
      </c>
      <c r="G1053" s="12" t="s">
        <v>20</v>
      </c>
      <c r="H1053" s="12" t="str">
        <f t="shared" si="25"/>
        <v>Morning</v>
      </c>
      <c r="I1053" s="12" t="str">
        <f t="shared" si="26"/>
        <v>Fri</v>
      </c>
      <c r="J1053" s="12" t="str">
        <f t="shared" si="27"/>
        <v>Jul</v>
      </c>
      <c r="K1053" s="12">
        <f t="shared" si="28"/>
        <v>5</v>
      </c>
      <c r="L1053" s="12">
        <f t="shared" si="29"/>
        <v>7</v>
      </c>
    </row>
    <row r="1054" spans="1:12" x14ac:dyDescent="0.3">
      <c r="A1054" s="6">
        <v>45499</v>
      </c>
      <c r="B1054" s="7">
        <v>45499.504880439817</v>
      </c>
      <c r="C1054" s="8">
        <f t="shared" si="24"/>
        <v>12</v>
      </c>
      <c r="D1054" s="8" t="s">
        <v>4</v>
      </c>
      <c r="E1054" s="8" t="s">
        <v>399</v>
      </c>
      <c r="F1054" s="9">
        <v>27.92</v>
      </c>
      <c r="G1054" s="8" t="s">
        <v>20</v>
      </c>
      <c r="H1054" s="8" t="str">
        <f t="shared" si="25"/>
        <v>Afternoon</v>
      </c>
      <c r="I1054" s="8" t="str">
        <f t="shared" si="26"/>
        <v>Fri</v>
      </c>
      <c r="J1054" s="8" t="str">
        <f t="shared" si="27"/>
        <v>Jul</v>
      </c>
      <c r="K1054" s="8">
        <f t="shared" si="28"/>
        <v>5</v>
      </c>
      <c r="L1054" s="8">
        <f t="shared" si="29"/>
        <v>7</v>
      </c>
    </row>
    <row r="1055" spans="1:12" x14ac:dyDescent="0.3">
      <c r="A1055" s="10">
        <v>45499</v>
      </c>
      <c r="B1055" s="11">
        <v>45499.519537546294</v>
      </c>
      <c r="C1055" s="12">
        <f t="shared" si="24"/>
        <v>12</v>
      </c>
      <c r="D1055" s="12" t="s">
        <v>4</v>
      </c>
      <c r="E1055" s="12" t="s">
        <v>359</v>
      </c>
      <c r="F1055" s="13">
        <v>32.82</v>
      </c>
      <c r="G1055" s="12" t="s">
        <v>49</v>
      </c>
      <c r="H1055" s="12" t="str">
        <f t="shared" si="25"/>
        <v>Afternoon</v>
      </c>
      <c r="I1055" s="12" t="str">
        <f t="shared" si="26"/>
        <v>Fri</v>
      </c>
      <c r="J1055" s="12" t="str">
        <f t="shared" si="27"/>
        <v>Jul</v>
      </c>
      <c r="K1055" s="12">
        <f t="shared" si="28"/>
        <v>5</v>
      </c>
      <c r="L1055" s="12">
        <f t="shared" si="29"/>
        <v>7</v>
      </c>
    </row>
    <row r="1056" spans="1:12" x14ac:dyDescent="0.3">
      <c r="A1056" s="6">
        <v>45499</v>
      </c>
      <c r="B1056" s="7">
        <v>45499.520343842596</v>
      </c>
      <c r="C1056" s="8">
        <f t="shared" si="24"/>
        <v>12</v>
      </c>
      <c r="D1056" s="8" t="s">
        <v>4</v>
      </c>
      <c r="E1056" s="8" t="s">
        <v>359</v>
      </c>
      <c r="F1056" s="9">
        <v>32.82</v>
      </c>
      <c r="G1056" s="8" t="s">
        <v>49</v>
      </c>
      <c r="H1056" s="8" t="str">
        <f t="shared" si="25"/>
        <v>Afternoon</v>
      </c>
      <c r="I1056" s="8" t="str">
        <f t="shared" si="26"/>
        <v>Fri</v>
      </c>
      <c r="J1056" s="8" t="str">
        <f t="shared" si="27"/>
        <v>Jul</v>
      </c>
      <c r="K1056" s="8">
        <f t="shared" si="28"/>
        <v>5</v>
      </c>
      <c r="L1056" s="8">
        <f t="shared" si="29"/>
        <v>7</v>
      </c>
    </row>
    <row r="1057" spans="1:12" x14ac:dyDescent="0.3">
      <c r="A1057" s="10">
        <v>45499</v>
      </c>
      <c r="B1057" s="11">
        <v>45499.548566412035</v>
      </c>
      <c r="C1057" s="12">
        <f t="shared" si="24"/>
        <v>13</v>
      </c>
      <c r="D1057" s="12" t="s">
        <v>4</v>
      </c>
      <c r="E1057" s="12" t="s">
        <v>429</v>
      </c>
      <c r="F1057" s="13">
        <v>32.82</v>
      </c>
      <c r="G1057" s="12" t="s">
        <v>13</v>
      </c>
      <c r="H1057" s="12" t="str">
        <f t="shared" si="25"/>
        <v>Afternoon</v>
      </c>
      <c r="I1057" s="12" t="str">
        <f t="shared" si="26"/>
        <v>Fri</v>
      </c>
      <c r="J1057" s="12" t="str">
        <f t="shared" si="27"/>
        <v>Jul</v>
      </c>
      <c r="K1057" s="12">
        <f t="shared" si="28"/>
        <v>5</v>
      </c>
      <c r="L1057" s="12">
        <f t="shared" si="29"/>
        <v>7</v>
      </c>
    </row>
    <row r="1058" spans="1:12" x14ac:dyDescent="0.3">
      <c r="A1058" s="6">
        <v>45499</v>
      </c>
      <c r="B1058" s="7">
        <v>45499.724645219911</v>
      </c>
      <c r="C1058" s="8">
        <f t="shared" si="24"/>
        <v>17</v>
      </c>
      <c r="D1058" s="8" t="s">
        <v>4</v>
      </c>
      <c r="E1058" s="8" t="s">
        <v>430</v>
      </c>
      <c r="F1058" s="9">
        <v>23.02</v>
      </c>
      <c r="G1058" s="8" t="s">
        <v>17</v>
      </c>
      <c r="H1058" s="8" t="str">
        <f t="shared" si="25"/>
        <v>Night</v>
      </c>
      <c r="I1058" s="8" t="str">
        <f t="shared" si="26"/>
        <v>Fri</v>
      </c>
      <c r="J1058" s="8" t="str">
        <f t="shared" si="27"/>
        <v>Jul</v>
      </c>
      <c r="K1058" s="8">
        <f t="shared" si="28"/>
        <v>5</v>
      </c>
      <c r="L1058" s="8">
        <f t="shared" si="29"/>
        <v>7</v>
      </c>
    </row>
    <row r="1059" spans="1:12" x14ac:dyDescent="0.3">
      <c r="A1059" s="10">
        <v>45499</v>
      </c>
      <c r="B1059" s="11">
        <v>45499.748949270834</v>
      </c>
      <c r="C1059" s="12">
        <f t="shared" si="24"/>
        <v>17</v>
      </c>
      <c r="D1059" s="12" t="s">
        <v>4</v>
      </c>
      <c r="E1059" s="12" t="s">
        <v>431</v>
      </c>
      <c r="F1059" s="13">
        <v>32.82</v>
      </c>
      <c r="G1059" s="12" t="s">
        <v>49</v>
      </c>
      <c r="H1059" s="12" t="str">
        <f t="shared" si="25"/>
        <v>Night</v>
      </c>
      <c r="I1059" s="12" t="str">
        <f t="shared" si="26"/>
        <v>Fri</v>
      </c>
      <c r="J1059" s="12" t="str">
        <f t="shared" si="27"/>
        <v>Jul</v>
      </c>
      <c r="K1059" s="12">
        <f t="shared" si="28"/>
        <v>5</v>
      </c>
      <c r="L1059" s="12">
        <f t="shared" si="29"/>
        <v>7</v>
      </c>
    </row>
    <row r="1060" spans="1:12" x14ac:dyDescent="0.3">
      <c r="A1060" s="6">
        <v>45499</v>
      </c>
      <c r="B1060" s="7">
        <v>45499.885527916667</v>
      </c>
      <c r="C1060" s="8">
        <f t="shared" si="24"/>
        <v>21</v>
      </c>
      <c r="D1060" s="8" t="s">
        <v>4</v>
      </c>
      <c r="E1060" s="8" t="s">
        <v>25</v>
      </c>
      <c r="F1060" s="9">
        <v>32.82</v>
      </c>
      <c r="G1060" s="8" t="s">
        <v>13</v>
      </c>
      <c r="H1060" s="8" t="str">
        <f t="shared" si="25"/>
        <v>Night</v>
      </c>
      <c r="I1060" s="8" t="str">
        <f t="shared" si="26"/>
        <v>Fri</v>
      </c>
      <c r="J1060" s="8" t="str">
        <f t="shared" si="27"/>
        <v>Jul</v>
      </c>
      <c r="K1060" s="8">
        <f t="shared" si="28"/>
        <v>5</v>
      </c>
      <c r="L1060" s="8">
        <f t="shared" si="29"/>
        <v>7</v>
      </c>
    </row>
    <row r="1061" spans="1:12" x14ac:dyDescent="0.3">
      <c r="A1061" s="10">
        <v>45499</v>
      </c>
      <c r="B1061" s="11">
        <v>45499.951299976849</v>
      </c>
      <c r="C1061" s="12">
        <f t="shared" si="24"/>
        <v>22</v>
      </c>
      <c r="D1061" s="12" t="s">
        <v>4</v>
      </c>
      <c r="E1061" s="12" t="s">
        <v>432</v>
      </c>
      <c r="F1061" s="13">
        <v>27.92</v>
      </c>
      <c r="G1061" s="12" t="s">
        <v>20</v>
      </c>
      <c r="H1061" s="12" t="str">
        <f t="shared" si="25"/>
        <v>Night</v>
      </c>
      <c r="I1061" s="12" t="str">
        <f t="shared" si="26"/>
        <v>Fri</v>
      </c>
      <c r="J1061" s="12" t="str">
        <f t="shared" si="27"/>
        <v>Jul</v>
      </c>
      <c r="K1061" s="12">
        <f t="shared" si="28"/>
        <v>5</v>
      </c>
      <c r="L1061" s="12">
        <f t="shared" si="29"/>
        <v>7</v>
      </c>
    </row>
    <row r="1062" spans="1:12" x14ac:dyDescent="0.3">
      <c r="A1062" s="6">
        <v>45500</v>
      </c>
      <c r="B1062" s="7">
        <v>45500.381440474535</v>
      </c>
      <c r="C1062" s="8">
        <f t="shared" si="24"/>
        <v>9</v>
      </c>
      <c r="D1062" s="8" t="s">
        <v>4</v>
      </c>
      <c r="E1062" s="8" t="s">
        <v>117</v>
      </c>
      <c r="F1062" s="9">
        <v>32.82</v>
      </c>
      <c r="G1062" s="8" t="s">
        <v>49</v>
      </c>
      <c r="H1062" s="8" t="str">
        <f t="shared" si="25"/>
        <v>Morning</v>
      </c>
      <c r="I1062" s="8" t="str">
        <f t="shared" si="26"/>
        <v>Sat</v>
      </c>
      <c r="J1062" s="8" t="str">
        <f t="shared" si="27"/>
        <v>Jul</v>
      </c>
      <c r="K1062" s="8">
        <f t="shared" si="28"/>
        <v>6</v>
      </c>
      <c r="L1062" s="8">
        <f t="shared" si="29"/>
        <v>7</v>
      </c>
    </row>
    <row r="1063" spans="1:12" x14ac:dyDescent="0.3">
      <c r="A1063" s="10">
        <v>45500</v>
      </c>
      <c r="B1063" s="11">
        <v>45500.496890983799</v>
      </c>
      <c r="C1063" s="12">
        <f t="shared" si="24"/>
        <v>11</v>
      </c>
      <c r="D1063" s="12" t="s">
        <v>4</v>
      </c>
      <c r="E1063" s="12" t="s">
        <v>433</v>
      </c>
      <c r="F1063" s="13">
        <v>27.92</v>
      </c>
      <c r="G1063" s="12" t="s">
        <v>20</v>
      </c>
      <c r="H1063" s="12" t="str">
        <f t="shared" si="25"/>
        <v>Morning</v>
      </c>
      <c r="I1063" s="12" t="str">
        <f t="shared" si="26"/>
        <v>Sat</v>
      </c>
      <c r="J1063" s="12" t="str">
        <f t="shared" si="27"/>
        <v>Jul</v>
      </c>
      <c r="K1063" s="12">
        <f t="shared" si="28"/>
        <v>6</v>
      </c>
      <c r="L1063" s="12">
        <f t="shared" si="29"/>
        <v>7</v>
      </c>
    </row>
    <row r="1064" spans="1:12" x14ac:dyDescent="0.3">
      <c r="A1064" s="6">
        <v>45500</v>
      </c>
      <c r="B1064" s="7">
        <v>45500.517478182868</v>
      </c>
      <c r="C1064" s="8">
        <f t="shared" si="24"/>
        <v>12</v>
      </c>
      <c r="D1064" s="8" t="s">
        <v>4</v>
      </c>
      <c r="E1064" s="8" t="s">
        <v>79</v>
      </c>
      <c r="F1064" s="9">
        <v>27.92</v>
      </c>
      <c r="G1064" s="8" t="s">
        <v>20</v>
      </c>
      <c r="H1064" s="8" t="str">
        <f t="shared" si="25"/>
        <v>Afternoon</v>
      </c>
      <c r="I1064" s="8" t="str">
        <f t="shared" si="26"/>
        <v>Sat</v>
      </c>
      <c r="J1064" s="8" t="str">
        <f t="shared" si="27"/>
        <v>Jul</v>
      </c>
      <c r="K1064" s="8">
        <f t="shared" si="28"/>
        <v>6</v>
      </c>
      <c r="L1064" s="8">
        <f t="shared" si="29"/>
        <v>7</v>
      </c>
    </row>
    <row r="1065" spans="1:12" x14ac:dyDescent="0.3">
      <c r="A1065" s="10">
        <v>45500</v>
      </c>
      <c r="B1065" s="11">
        <v>45500.518207858797</v>
      </c>
      <c r="C1065" s="12">
        <f t="shared" si="24"/>
        <v>12</v>
      </c>
      <c r="D1065" s="12" t="s">
        <v>4</v>
      </c>
      <c r="E1065" s="12" t="s">
        <v>60</v>
      </c>
      <c r="F1065" s="13">
        <v>18.12</v>
      </c>
      <c r="G1065" s="12" t="s">
        <v>41</v>
      </c>
      <c r="H1065" s="12" t="str">
        <f t="shared" si="25"/>
        <v>Afternoon</v>
      </c>
      <c r="I1065" s="12" t="str">
        <f t="shared" si="26"/>
        <v>Sat</v>
      </c>
      <c r="J1065" s="12" t="str">
        <f t="shared" si="27"/>
        <v>Jul</v>
      </c>
      <c r="K1065" s="12">
        <f t="shared" si="28"/>
        <v>6</v>
      </c>
      <c r="L1065" s="12">
        <f t="shared" si="29"/>
        <v>7</v>
      </c>
    </row>
    <row r="1066" spans="1:12" x14ac:dyDescent="0.3">
      <c r="A1066" s="6">
        <v>45500</v>
      </c>
      <c r="B1066" s="7">
        <v>45500.523183680554</v>
      </c>
      <c r="C1066" s="8">
        <f t="shared" si="24"/>
        <v>12</v>
      </c>
      <c r="D1066" s="8" t="s">
        <v>4</v>
      </c>
      <c r="E1066" s="8" t="s">
        <v>79</v>
      </c>
      <c r="F1066" s="9">
        <v>27.92</v>
      </c>
      <c r="G1066" s="8" t="s">
        <v>20</v>
      </c>
      <c r="H1066" s="8" t="str">
        <f t="shared" si="25"/>
        <v>Afternoon</v>
      </c>
      <c r="I1066" s="8" t="str">
        <f t="shared" si="26"/>
        <v>Sat</v>
      </c>
      <c r="J1066" s="8" t="str">
        <f t="shared" si="27"/>
        <v>Jul</v>
      </c>
      <c r="K1066" s="8">
        <f t="shared" si="28"/>
        <v>6</v>
      </c>
      <c r="L1066" s="8">
        <f t="shared" si="29"/>
        <v>7</v>
      </c>
    </row>
    <row r="1067" spans="1:12" x14ac:dyDescent="0.3">
      <c r="A1067" s="10">
        <v>45500</v>
      </c>
      <c r="B1067" s="11">
        <v>45500.603262777775</v>
      </c>
      <c r="C1067" s="12">
        <f t="shared" si="24"/>
        <v>14</v>
      </c>
      <c r="D1067" s="12" t="s">
        <v>4</v>
      </c>
      <c r="E1067" s="12" t="s">
        <v>245</v>
      </c>
      <c r="F1067" s="13">
        <v>18.12</v>
      </c>
      <c r="G1067" s="12" t="s">
        <v>41</v>
      </c>
      <c r="H1067" s="12" t="str">
        <f t="shared" si="25"/>
        <v>Afternoon</v>
      </c>
      <c r="I1067" s="12" t="str">
        <f t="shared" si="26"/>
        <v>Sat</v>
      </c>
      <c r="J1067" s="12" t="str">
        <f t="shared" si="27"/>
        <v>Jul</v>
      </c>
      <c r="K1067" s="12">
        <f t="shared" si="28"/>
        <v>6</v>
      </c>
      <c r="L1067" s="12">
        <f t="shared" si="29"/>
        <v>7</v>
      </c>
    </row>
    <row r="1068" spans="1:12" x14ac:dyDescent="0.3">
      <c r="A1068" s="6">
        <v>45500</v>
      </c>
      <c r="B1068" s="7">
        <v>45500.619365694445</v>
      </c>
      <c r="C1068" s="8">
        <f t="shared" si="24"/>
        <v>14</v>
      </c>
      <c r="D1068" s="8" t="s">
        <v>4</v>
      </c>
      <c r="E1068" s="8" t="s">
        <v>97</v>
      </c>
      <c r="F1068" s="9">
        <v>32.82</v>
      </c>
      <c r="G1068" s="8" t="s">
        <v>13</v>
      </c>
      <c r="H1068" s="8" t="str">
        <f t="shared" si="25"/>
        <v>Afternoon</v>
      </c>
      <c r="I1068" s="8" t="str">
        <f t="shared" si="26"/>
        <v>Sat</v>
      </c>
      <c r="J1068" s="8" t="str">
        <f t="shared" si="27"/>
        <v>Jul</v>
      </c>
      <c r="K1068" s="8">
        <f t="shared" si="28"/>
        <v>6</v>
      </c>
      <c r="L1068" s="8">
        <f t="shared" si="29"/>
        <v>7</v>
      </c>
    </row>
    <row r="1069" spans="1:12" x14ac:dyDescent="0.3">
      <c r="A1069" s="10">
        <v>45500</v>
      </c>
      <c r="B1069" s="11">
        <v>45500.710108310188</v>
      </c>
      <c r="C1069" s="12">
        <f t="shared" si="24"/>
        <v>17</v>
      </c>
      <c r="D1069" s="12" t="s">
        <v>4</v>
      </c>
      <c r="E1069" s="12" t="s">
        <v>434</v>
      </c>
      <c r="F1069" s="13">
        <v>32.82</v>
      </c>
      <c r="G1069" s="12" t="s">
        <v>49</v>
      </c>
      <c r="H1069" s="12" t="str">
        <f t="shared" si="25"/>
        <v>Night</v>
      </c>
      <c r="I1069" s="12" t="str">
        <f t="shared" si="26"/>
        <v>Sat</v>
      </c>
      <c r="J1069" s="12" t="str">
        <f t="shared" si="27"/>
        <v>Jul</v>
      </c>
      <c r="K1069" s="12">
        <f t="shared" si="28"/>
        <v>6</v>
      </c>
      <c r="L1069" s="12">
        <f t="shared" si="29"/>
        <v>7</v>
      </c>
    </row>
    <row r="1070" spans="1:12" x14ac:dyDescent="0.3">
      <c r="A1070" s="6">
        <v>45500</v>
      </c>
      <c r="B1070" s="7">
        <v>45500.710869351853</v>
      </c>
      <c r="C1070" s="8">
        <f t="shared" si="24"/>
        <v>17</v>
      </c>
      <c r="D1070" s="8" t="s">
        <v>4</v>
      </c>
      <c r="E1070" s="8" t="s">
        <v>435</v>
      </c>
      <c r="F1070" s="9">
        <v>32.82</v>
      </c>
      <c r="G1070" s="8" t="s">
        <v>49</v>
      </c>
      <c r="H1070" s="8" t="str">
        <f t="shared" si="25"/>
        <v>Night</v>
      </c>
      <c r="I1070" s="8" t="str">
        <f t="shared" si="26"/>
        <v>Sat</v>
      </c>
      <c r="J1070" s="8" t="str">
        <f t="shared" si="27"/>
        <v>Jul</v>
      </c>
      <c r="K1070" s="8">
        <f t="shared" si="28"/>
        <v>6</v>
      </c>
      <c r="L1070" s="8">
        <f t="shared" si="29"/>
        <v>7</v>
      </c>
    </row>
    <row r="1071" spans="1:12" x14ac:dyDescent="0.3">
      <c r="A1071" s="10">
        <v>45500</v>
      </c>
      <c r="B1071" s="11">
        <v>45500.714588240742</v>
      </c>
      <c r="C1071" s="12">
        <f t="shared" si="24"/>
        <v>17</v>
      </c>
      <c r="D1071" s="12" t="s">
        <v>4</v>
      </c>
      <c r="E1071" s="12" t="s">
        <v>436</v>
      </c>
      <c r="F1071" s="13">
        <v>27.92</v>
      </c>
      <c r="G1071" s="12" t="s">
        <v>20</v>
      </c>
      <c r="H1071" s="12" t="str">
        <f t="shared" si="25"/>
        <v>Night</v>
      </c>
      <c r="I1071" s="12" t="str">
        <f t="shared" si="26"/>
        <v>Sat</v>
      </c>
      <c r="J1071" s="12" t="str">
        <f t="shared" si="27"/>
        <v>Jul</v>
      </c>
      <c r="K1071" s="12">
        <f t="shared" si="28"/>
        <v>6</v>
      </c>
      <c r="L1071" s="12">
        <f t="shared" si="29"/>
        <v>7</v>
      </c>
    </row>
    <row r="1072" spans="1:12" x14ac:dyDescent="0.3">
      <c r="A1072" s="6">
        <v>45500</v>
      </c>
      <c r="B1072" s="7">
        <v>45500.715371226848</v>
      </c>
      <c r="C1072" s="8">
        <f t="shared" si="24"/>
        <v>17</v>
      </c>
      <c r="D1072" s="8" t="s">
        <v>4</v>
      </c>
      <c r="E1072" s="8" t="s">
        <v>436</v>
      </c>
      <c r="F1072" s="9">
        <v>27.92</v>
      </c>
      <c r="G1072" s="8" t="s">
        <v>20</v>
      </c>
      <c r="H1072" s="8" t="str">
        <f t="shared" si="25"/>
        <v>Night</v>
      </c>
      <c r="I1072" s="8" t="str">
        <f t="shared" si="26"/>
        <v>Sat</v>
      </c>
      <c r="J1072" s="8" t="str">
        <f t="shared" si="27"/>
        <v>Jul</v>
      </c>
      <c r="K1072" s="8">
        <f t="shared" si="28"/>
        <v>6</v>
      </c>
      <c r="L1072" s="8">
        <f t="shared" si="29"/>
        <v>7</v>
      </c>
    </row>
    <row r="1073" spans="1:12" x14ac:dyDescent="0.3">
      <c r="A1073" s="10">
        <v>45500</v>
      </c>
      <c r="B1073" s="11">
        <v>45500.871761284725</v>
      </c>
      <c r="C1073" s="12">
        <f t="shared" si="24"/>
        <v>20</v>
      </c>
      <c r="D1073" s="12" t="s">
        <v>4</v>
      </c>
      <c r="E1073" s="12" t="s">
        <v>25</v>
      </c>
      <c r="F1073" s="13">
        <v>32.82</v>
      </c>
      <c r="G1073" s="12" t="s">
        <v>13</v>
      </c>
      <c r="H1073" s="12" t="str">
        <f t="shared" si="25"/>
        <v>Night</v>
      </c>
      <c r="I1073" s="12" t="str">
        <f t="shared" si="26"/>
        <v>Sat</v>
      </c>
      <c r="J1073" s="12" t="str">
        <f t="shared" si="27"/>
        <v>Jul</v>
      </c>
      <c r="K1073" s="12">
        <f t="shared" si="28"/>
        <v>6</v>
      </c>
      <c r="L1073" s="12">
        <f t="shared" si="29"/>
        <v>7</v>
      </c>
    </row>
    <row r="1074" spans="1:12" x14ac:dyDescent="0.3">
      <c r="A1074" s="6">
        <v>45500</v>
      </c>
      <c r="B1074" s="7">
        <v>45500.955832349537</v>
      </c>
      <c r="C1074" s="8">
        <f t="shared" si="24"/>
        <v>22</v>
      </c>
      <c r="D1074" s="8" t="s">
        <v>4</v>
      </c>
      <c r="E1074" s="8" t="s">
        <v>437</v>
      </c>
      <c r="F1074" s="9">
        <v>32.82</v>
      </c>
      <c r="G1074" s="8" t="s">
        <v>49</v>
      </c>
      <c r="H1074" s="8" t="str">
        <f t="shared" si="25"/>
        <v>Night</v>
      </c>
      <c r="I1074" s="8" t="str">
        <f t="shared" si="26"/>
        <v>Sat</v>
      </c>
      <c r="J1074" s="8" t="str">
        <f t="shared" si="27"/>
        <v>Jul</v>
      </c>
      <c r="K1074" s="8">
        <f t="shared" si="28"/>
        <v>6</v>
      </c>
      <c r="L1074" s="8">
        <f t="shared" si="29"/>
        <v>7</v>
      </c>
    </row>
    <row r="1075" spans="1:12" x14ac:dyDescent="0.3">
      <c r="A1075" s="10">
        <v>45501</v>
      </c>
      <c r="B1075" s="11">
        <v>45501.463494444448</v>
      </c>
      <c r="C1075" s="12">
        <f t="shared" si="24"/>
        <v>11</v>
      </c>
      <c r="D1075" s="12" t="s">
        <v>4</v>
      </c>
      <c r="E1075" s="12" t="s">
        <v>29</v>
      </c>
      <c r="F1075" s="13">
        <v>18.12</v>
      </c>
      <c r="G1075" s="12" t="s">
        <v>41</v>
      </c>
      <c r="H1075" s="12" t="str">
        <f t="shared" si="25"/>
        <v>Morning</v>
      </c>
      <c r="I1075" s="12" t="str">
        <f t="shared" si="26"/>
        <v>Sun</v>
      </c>
      <c r="J1075" s="12" t="str">
        <f t="shared" si="27"/>
        <v>Jul</v>
      </c>
      <c r="K1075" s="12">
        <f t="shared" si="28"/>
        <v>7</v>
      </c>
      <c r="L1075" s="12">
        <f t="shared" si="29"/>
        <v>7</v>
      </c>
    </row>
    <row r="1076" spans="1:12" x14ac:dyDescent="0.3">
      <c r="A1076" s="6">
        <v>45501</v>
      </c>
      <c r="B1076" s="7">
        <v>45501.595766261577</v>
      </c>
      <c r="C1076" s="8">
        <f t="shared" si="24"/>
        <v>14</v>
      </c>
      <c r="D1076" s="8" t="s">
        <v>4</v>
      </c>
      <c r="E1076" s="8" t="s">
        <v>296</v>
      </c>
      <c r="F1076" s="9">
        <v>27.92</v>
      </c>
      <c r="G1076" s="8" t="s">
        <v>20</v>
      </c>
      <c r="H1076" s="8" t="str">
        <f t="shared" si="25"/>
        <v>Afternoon</v>
      </c>
      <c r="I1076" s="8" t="str">
        <f t="shared" si="26"/>
        <v>Sun</v>
      </c>
      <c r="J1076" s="8" t="str">
        <f t="shared" si="27"/>
        <v>Jul</v>
      </c>
      <c r="K1076" s="8">
        <f t="shared" si="28"/>
        <v>7</v>
      </c>
      <c r="L1076" s="8">
        <f t="shared" si="29"/>
        <v>7</v>
      </c>
    </row>
    <row r="1077" spans="1:12" x14ac:dyDescent="0.3">
      <c r="A1077" s="10">
        <v>45501</v>
      </c>
      <c r="B1077" s="11">
        <v>45501.596437453707</v>
      </c>
      <c r="C1077" s="12">
        <f t="shared" si="24"/>
        <v>14</v>
      </c>
      <c r="D1077" s="12" t="s">
        <v>4</v>
      </c>
      <c r="E1077" s="12" t="s">
        <v>296</v>
      </c>
      <c r="F1077" s="13">
        <v>32.82</v>
      </c>
      <c r="G1077" s="12" t="s">
        <v>13</v>
      </c>
      <c r="H1077" s="12" t="str">
        <f t="shared" si="25"/>
        <v>Afternoon</v>
      </c>
      <c r="I1077" s="12" t="str">
        <f t="shared" si="26"/>
        <v>Sun</v>
      </c>
      <c r="J1077" s="12" t="str">
        <f t="shared" si="27"/>
        <v>Jul</v>
      </c>
      <c r="K1077" s="12">
        <f t="shared" si="28"/>
        <v>7</v>
      </c>
      <c r="L1077" s="12">
        <f t="shared" si="29"/>
        <v>7</v>
      </c>
    </row>
    <row r="1078" spans="1:12" x14ac:dyDescent="0.3">
      <c r="A1078" s="6">
        <v>45502</v>
      </c>
      <c r="B1078" s="7">
        <v>45502.341740810189</v>
      </c>
      <c r="C1078" s="8">
        <f t="shared" si="24"/>
        <v>8</v>
      </c>
      <c r="D1078" s="8" t="s">
        <v>4</v>
      </c>
      <c r="E1078" s="8" t="s">
        <v>438</v>
      </c>
      <c r="F1078" s="9">
        <v>32.82</v>
      </c>
      <c r="G1078" s="8" t="s">
        <v>13</v>
      </c>
      <c r="H1078" s="8" t="str">
        <f t="shared" si="25"/>
        <v>Morning</v>
      </c>
      <c r="I1078" s="8" t="str">
        <f t="shared" si="26"/>
        <v>Mon</v>
      </c>
      <c r="J1078" s="8" t="str">
        <f t="shared" si="27"/>
        <v>Jul</v>
      </c>
      <c r="K1078" s="8">
        <f t="shared" si="28"/>
        <v>1</v>
      </c>
      <c r="L1078" s="8">
        <f t="shared" si="29"/>
        <v>7</v>
      </c>
    </row>
    <row r="1079" spans="1:12" x14ac:dyDescent="0.3">
      <c r="A1079" s="10">
        <v>45502</v>
      </c>
      <c r="B1079" s="11">
        <v>45502.378333009263</v>
      </c>
      <c r="C1079" s="12">
        <f t="shared" si="24"/>
        <v>9</v>
      </c>
      <c r="D1079" s="12" t="s">
        <v>4</v>
      </c>
      <c r="E1079" s="12" t="s">
        <v>29</v>
      </c>
      <c r="F1079" s="13">
        <v>23.02</v>
      </c>
      <c r="G1079" s="12" t="s">
        <v>17</v>
      </c>
      <c r="H1079" s="12" t="str">
        <f t="shared" si="25"/>
        <v>Morning</v>
      </c>
      <c r="I1079" s="12" t="str">
        <f t="shared" si="26"/>
        <v>Mon</v>
      </c>
      <c r="J1079" s="12" t="str">
        <f t="shared" si="27"/>
        <v>Jul</v>
      </c>
      <c r="K1079" s="12">
        <f t="shared" si="28"/>
        <v>1</v>
      </c>
      <c r="L1079" s="12">
        <f t="shared" si="29"/>
        <v>7</v>
      </c>
    </row>
    <row r="1080" spans="1:12" x14ac:dyDescent="0.3">
      <c r="A1080" s="6">
        <v>45502</v>
      </c>
      <c r="B1080" s="7">
        <v>45502.385950868054</v>
      </c>
      <c r="C1080" s="8">
        <f t="shared" si="24"/>
        <v>9</v>
      </c>
      <c r="D1080" s="8" t="s">
        <v>4</v>
      </c>
      <c r="E1080" s="8" t="s">
        <v>117</v>
      </c>
      <c r="F1080" s="9">
        <v>27.92</v>
      </c>
      <c r="G1080" s="8" t="s">
        <v>20</v>
      </c>
      <c r="H1080" s="8" t="str">
        <f t="shared" si="25"/>
        <v>Morning</v>
      </c>
      <c r="I1080" s="8" t="str">
        <f t="shared" si="26"/>
        <v>Mon</v>
      </c>
      <c r="J1080" s="8" t="str">
        <f t="shared" si="27"/>
        <v>Jul</v>
      </c>
      <c r="K1080" s="8">
        <f t="shared" si="28"/>
        <v>1</v>
      </c>
      <c r="L1080" s="8">
        <f t="shared" si="29"/>
        <v>7</v>
      </c>
    </row>
    <row r="1081" spans="1:12" x14ac:dyDescent="0.3">
      <c r="A1081" s="10">
        <v>45502</v>
      </c>
      <c r="B1081" s="11">
        <v>45502.388704652774</v>
      </c>
      <c r="C1081" s="12">
        <f t="shared" si="24"/>
        <v>9</v>
      </c>
      <c r="D1081" s="12" t="s">
        <v>4</v>
      </c>
      <c r="E1081" s="12" t="s">
        <v>16</v>
      </c>
      <c r="F1081" s="13">
        <v>23.02</v>
      </c>
      <c r="G1081" s="12" t="s">
        <v>17</v>
      </c>
      <c r="H1081" s="12" t="str">
        <f t="shared" si="25"/>
        <v>Morning</v>
      </c>
      <c r="I1081" s="12" t="str">
        <f t="shared" si="26"/>
        <v>Mon</v>
      </c>
      <c r="J1081" s="12" t="str">
        <f t="shared" si="27"/>
        <v>Jul</v>
      </c>
      <c r="K1081" s="12">
        <f t="shared" si="28"/>
        <v>1</v>
      </c>
      <c r="L1081" s="12">
        <f t="shared" si="29"/>
        <v>7</v>
      </c>
    </row>
    <row r="1082" spans="1:12" x14ac:dyDescent="0.3">
      <c r="A1082" s="6">
        <v>45502</v>
      </c>
      <c r="B1082" s="7">
        <v>45502.410703090274</v>
      </c>
      <c r="C1082" s="8">
        <f t="shared" si="24"/>
        <v>9</v>
      </c>
      <c r="D1082" s="8" t="s">
        <v>4</v>
      </c>
      <c r="E1082" s="8" t="s">
        <v>439</v>
      </c>
      <c r="F1082" s="9">
        <v>27.92</v>
      </c>
      <c r="G1082" s="8" t="s">
        <v>20</v>
      </c>
      <c r="H1082" s="8" t="str">
        <f t="shared" si="25"/>
        <v>Morning</v>
      </c>
      <c r="I1082" s="8" t="str">
        <f t="shared" si="26"/>
        <v>Mon</v>
      </c>
      <c r="J1082" s="8" t="str">
        <f t="shared" si="27"/>
        <v>Jul</v>
      </c>
      <c r="K1082" s="8">
        <f t="shared" si="28"/>
        <v>1</v>
      </c>
      <c r="L1082" s="8">
        <f t="shared" si="29"/>
        <v>7</v>
      </c>
    </row>
    <row r="1083" spans="1:12" x14ac:dyDescent="0.3">
      <c r="A1083" s="10">
        <v>45502</v>
      </c>
      <c r="B1083" s="11">
        <v>45502.415620821761</v>
      </c>
      <c r="C1083" s="12">
        <f t="shared" si="24"/>
        <v>9</v>
      </c>
      <c r="D1083" s="12" t="s">
        <v>4</v>
      </c>
      <c r="E1083" s="12" t="s">
        <v>440</v>
      </c>
      <c r="F1083" s="13">
        <v>32.82</v>
      </c>
      <c r="G1083" s="12" t="s">
        <v>49</v>
      </c>
      <c r="H1083" s="12" t="str">
        <f t="shared" si="25"/>
        <v>Morning</v>
      </c>
      <c r="I1083" s="12" t="str">
        <f t="shared" si="26"/>
        <v>Mon</v>
      </c>
      <c r="J1083" s="12" t="str">
        <f t="shared" si="27"/>
        <v>Jul</v>
      </c>
      <c r="K1083" s="12">
        <f t="shared" si="28"/>
        <v>1</v>
      </c>
      <c r="L1083" s="12">
        <f t="shared" si="29"/>
        <v>7</v>
      </c>
    </row>
    <row r="1084" spans="1:12" x14ac:dyDescent="0.3">
      <c r="A1084" s="6">
        <v>45502</v>
      </c>
      <c r="B1084" s="7">
        <v>45502.447036585647</v>
      </c>
      <c r="C1084" s="8">
        <f t="shared" si="24"/>
        <v>10</v>
      </c>
      <c r="D1084" s="8" t="s">
        <v>4</v>
      </c>
      <c r="E1084" s="8" t="s">
        <v>441</v>
      </c>
      <c r="F1084" s="9">
        <v>32.82</v>
      </c>
      <c r="G1084" s="8" t="s">
        <v>15</v>
      </c>
      <c r="H1084" s="8" t="str">
        <f t="shared" si="25"/>
        <v>Morning</v>
      </c>
      <c r="I1084" s="8" t="str">
        <f t="shared" si="26"/>
        <v>Mon</v>
      </c>
      <c r="J1084" s="8" t="str">
        <f t="shared" si="27"/>
        <v>Jul</v>
      </c>
      <c r="K1084" s="8">
        <f t="shared" si="28"/>
        <v>1</v>
      </c>
      <c r="L1084" s="8">
        <f t="shared" si="29"/>
        <v>7</v>
      </c>
    </row>
    <row r="1085" spans="1:12" x14ac:dyDescent="0.3">
      <c r="A1085" s="10">
        <v>45502</v>
      </c>
      <c r="B1085" s="11">
        <v>45502.447868587966</v>
      </c>
      <c r="C1085" s="12">
        <f t="shared" si="24"/>
        <v>10</v>
      </c>
      <c r="D1085" s="12" t="s">
        <v>4</v>
      </c>
      <c r="E1085" s="12" t="s">
        <v>441</v>
      </c>
      <c r="F1085" s="13">
        <v>32.82</v>
      </c>
      <c r="G1085" s="12" t="s">
        <v>15</v>
      </c>
      <c r="H1085" s="12" t="str">
        <f t="shared" si="25"/>
        <v>Morning</v>
      </c>
      <c r="I1085" s="12" t="str">
        <f t="shared" si="26"/>
        <v>Mon</v>
      </c>
      <c r="J1085" s="12" t="str">
        <f t="shared" si="27"/>
        <v>Jul</v>
      </c>
      <c r="K1085" s="12">
        <f t="shared" si="28"/>
        <v>1</v>
      </c>
      <c r="L1085" s="12">
        <f t="shared" si="29"/>
        <v>7</v>
      </c>
    </row>
    <row r="1086" spans="1:12" x14ac:dyDescent="0.3">
      <c r="A1086" s="6">
        <v>45502</v>
      </c>
      <c r="B1086" s="7">
        <v>45502.79619364583</v>
      </c>
      <c r="C1086" s="8">
        <f t="shared" si="24"/>
        <v>19</v>
      </c>
      <c r="D1086" s="8" t="s">
        <v>4</v>
      </c>
      <c r="E1086" s="8" t="s">
        <v>442</v>
      </c>
      <c r="F1086" s="9">
        <v>32.82</v>
      </c>
      <c r="G1086" s="8" t="s">
        <v>49</v>
      </c>
      <c r="H1086" s="8" t="str">
        <f t="shared" si="25"/>
        <v>Night</v>
      </c>
      <c r="I1086" s="8" t="str">
        <f t="shared" si="26"/>
        <v>Mon</v>
      </c>
      <c r="J1086" s="8" t="str">
        <f t="shared" si="27"/>
        <v>Jul</v>
      </c>
      <c r="K1086" s="8">
        <f t="shared" si="28"/>
        <v>1</v>
      </c>
      <c r="L1086" s="8">
        <f t="shared" si="29"/>
        <v>7</v>
      </c>
    </row>
    <row r="1087" spans="1:12" x14ac:dyDescent="0.3">
      <c r="A1087" s="10">
        <v>45502</v>
      </c>
      <c r="B1087" s="11">
        <v>45502.812688877311</v>
      </c>
      <c r="C1087" s="12">
        <f t="shared" si="24"/>
        <v>19</v>
      </c>
      <c r="D1087" s="12" t="s">
        <v>4</v>
      </c>
      <c r="E1087" s="12" t="s">
        <v>119</v>
      </c>
      <c r="F1087" s="13">
        <v>23.02</v>
      </c>
      <c r="G1087" s="12" t="s">
        <v>17</v>
      </c>
      <c r="H1087" s="12" t="str">
        <f t="shared" si="25"/>
        <v>Night</v>
      </c>
      <c r="I1087" s="12" t="str">
        <f t="shared" si="26"/>
        <v>Mon</v>
      </c>
      <c r="J1087" s="12" t="str">
        <f t="shared" si="27"/>
        <v>Jul</v>
      </c>
      <c r="K1087" s="12">
        <f t="shared" si="28"/>
        <v>1</v>
      </c>
      <c r="L1087" s="12">
        <f t="shared" si="29"/>
        <v>7</v>
      </c>
    </row>
    <row r="1088" spans="1:12" x14ac:dyDescent="0.3">
      <c r="A1088" s="6">
        <v>45502</v>
      </c>
      <c r="B1088" s="7">
        <v>45502.914981701389</v>
      </c>
      <c r="C1088" s="8">
        <f t="shared" si="24"/>
        <v>21</v>
      </c>
      <c r="D1088" s="8" t="s">
        <v>4</v>
      </c>
      <c r="E1088" s="8" t="s">
        <v>348</v>
      </c>
      <c r="F1088" s="9">
        <v>32.82</v>
      </c>
      <c r="G1088" s="8" t="s">
        <v>24</v>
      </c>
      <c r="H1088" s="8" t="str">
        <f t="shared" si="25"/>
        <v>Night</v>
      </c>
      <c r="I1088" s="8" t="str">
        <f t="shared" si="26"/>
        <v>Mon</v>
      </c>
      <c r="J1088" s="8" t="str">
        <f t="shared" si="27"/>
        <v>Jul</v>
      </c>
      <c r="K1088" s="8">
        <f t="shared" si="28"/>
        <v>1</v>
      </c>
      <c r="L1088" s="8">
        <f t="shared" si="29"/>
        <v>7</v>
      </c>
    </row>
    <row r="1089" spans="1:12" x14ac:dyDescent="0.3">
      <c r="A1089" s="10">
        <v>45503</v>
      </c>
      <c r="B1089" s="11">
        <v>45503.320265567127</v>
      </c>
      <c r="C1089" s="12">
        <f t="shared" si="24"/>
        <v>7</v>
      </c>
      <c r="D1089" s="12" t="s">
        <v>4</v>
      </c>
      <c r="E1089" s="12" t="s">
        <v>443</v>
      </c>
      <c r="F1089" s="13">
        <v>27.92</v>
      </c>
      <c r="G1089" s="12" t="s">
        <v>20</v>
      </c>
      <c r="H1089" s="12" t="str">
        <f t="shared" si="25"/>
        <v>Morning</v>
      </c>
      <c r="I1089" s="12" t="str">
        <f t="shared" si="26"/>
        <v>Tue</v>
      </c>
      <c r="J1089" s="12" t="str">
        <f t="shared" si="27"/>
        <v>Jul</v>
      </c>
      <c r="K1089" s="12">
        <f t="shared" si="28"/>
        <v>2</v>
      </c>
      <c r="L1089" s="12">
        <f t="shared" si="29"/>
        <v>7</v>
      </c>
    </row>
    <row r="1090" spans="1:12" x14ac:dyDescent="0.3">
      <c r="A1090" s="6">
        <v>45503</v>
      </c>
      <c r="B1090" s="7">
        <v>45503.336889074075</v>
      </c>
      <c r="C1090" s="8">
        <f t="shared" si="24"/>
        <v>8</v>
      </c>
      <c r="D1090" s="8" t="s">
        <v>4</v>
      </c>
      <c r="E1090" s="8" t="s">
        <v>444</v>
      </c>
      <c r="F1090" s="9">
        <v>23.02</v>
      </c>
      <c r="G1090" s="8" t="s">
        <v>34</v>
      </c>
      <c r="H1090" s="8" t="str">
        <f t="shared" si="25"/>
        <v>Morning</v>
      </c>
      <c r="I1090" s="8" t="str">
        <f t="shared" si="26"/>
        <v>Tue</v>
      </c>
      <c r="J1090" s="8" t="str">
        <f t="shared" si="27"/>
        <v>Jul</v>
      </c>
      <c r="K1090" s="8">
        <f t="shared" si="28"/>
        <v>2</v>
      </c>
      <c r="L1090" s="8">
        <f t="shared" si="29"/>
        <v>7</v>
      </c>
    </row>
    <row r="1091" spans="1:12" x14ac:dyDescent="0.3">
      <c r="A1091" s="10">
        <v>45503</v>
      </c>
      <c r="B1091" s="11">
        <v>45503.347813831017</v>
      </c>
      <c r="C1091" s="12">
        <f t="shared" si="24"/>
        <v>8</v>
      </c>
      <c r="D1091" s="12" t="s">
        <v>4</v>
      </c>
      <c r="E1091" s="12" t="s">
        <v>445</v>
      </c>
      <c r="F1091" s="13">
        <v>32.82</v>
      </c>
      <c r="G1091" s="12" t="s">
        <v>49</v>
      </c>
      <c r="H1091" s="12" t="str">
        <f t="shared" si="25"/>
        <v>Morning</v>
      </c>
      <c r="I1091" s="12" t="str">
        <f t="shared" si="26"/>
        <v>Tue</v>
      </c>
      <c r="J1091" s="12" t="str">
        <f t="shared" si="27"/>
        <v>Jul</v>
      </c>
      <c r="K1091" s="12">
        <f t="shared" si="28"/>
        <v>2</v>
      </c>
      <c r="L1091" s="12">
        <f t="shared" si="29"/>
        <v>7</v>
      </c>
    </row>
    <row r="1092" spans="1:12" x14ac:dyDescent="0.3">
      <c r="A1092" s="6">
        <v>45503</v>
      </c>
      <c r="B1092" s="7">
        <v>45503.384527974536</v>
      </c>
      <c r="C1092" s="8">
        <f t="shared" si="24"/>
        <v>9</v>
      </c>
      <c r="D1092" s="8" t="s">
        <v>4</v>
      </c>
      <c r="E1092" s="8" t="s">
        <v>117</v>
      </c>
      <c r="F1092" s="9">
        <v>27.92</v>
      </c>
      <c r="G1092" s="8" t="s">
        <v>20</v>
      </c>
      <c r="H1092" s="8" t="str">
        <f t="shared" si="25"/>
        <v>Morning</v>
      </c>
      <c r="I1092" s="8" t="str">
        <f t="shared" si="26"/>
        <v>Tue</v>
      </c>
      <c r="J1092" s="8" t="str">
        <f t="shared" si="27"/>
        <v>Jul</v>
      </c>
      <c r="K1092" s="8">
        <f t="shared" si="28"/>
        <v>2</v>
      </c>
      <c r="L1092" s="8">
        <f t="shared" si="29"/>
        <v>7</v>
      </c>
    </row>
    <row r="1093" spans="1:12" x14ac:dyDescent="0.3">
      <c r="A1093" s="10">
        <v>45503</v>
      </c>
      <c r="B1093" s="11">
        <v>45503.428601238425</v>
      </c>
      <c r="C1093" s="12">
        <f t="shared" si="24"/>
        <v>10</v>
      </c>
      <c r="D1093" s="12" t="s">
        <v>4</v>
      </c>
      <c r="E1093" s="12" t="s">
        <v>161</v>
      </c>
      <c r="F1093" s="13">
        <v>23.02</v>
      </c>
      <c r="G1093" s="12" t="s">
        <v>34</v>
      </c>
      <c r="H1093" s="12" t="str">
        <f t="shared" si="25"/>
        <v>Morning</v>
      </c>
      <c r="I1093" s="12" t="str">
        <f t="shared" si="26"/>
        <v>Tue</v>
      </c>
      <c r="J1093" s="12" t="str">
        <f t="shared" si="27"/>
        <v>Jul</v>
      </c>
      <c r="K1093" s="12">
        <f t="shared" si="28"/>
        <v>2</v>
      </c>
      <c r="L1093" s="12">
        <f t="shared" si="29"/>
        <v>7</v>
      </c>
    </row>
    <row r="1094" spans="1:12" x14ac:dyDescent="0.3">
      <c r="A1094" s="6">
        <v>45503</v>
      </c>
      <c r="B1094" s="7">
        <v>45503.430257094908</v>
      </c>
      <c r="C1094" s="8">
        <f t="shared" si="24"/>
        <v>10</v>
      </c>
      <c r="D1094" s="8" t="s">
        <v>4</v>
      </c>
      <c r="E1094" s="8" t="s">
        <v>296</v>
      </c>
      <c r="F1094" s="9">
        <v>27.92</v>
      </c>
      <c r="G1094" s="8" t="s">
        <v>20</v>
      </c>
      <c r="H1094" s="8" t="str">
        <f t="shared" si="25"/>
        <v>Morning</v>
      </c>
      <c r="I1094" s="8" t="str">
        <f t="shared" si="26"/>
        <v>Tue</v>
      </c>
      <c r="J1094" s="8" t="str">
        <f t="shared" si="27"/>
        <v>Jul</v>
      </c>
      <c r="K1094" s="8">
        <f t="shared" si="28"/>
        <v>2</v>
      </c>
      <c r="L1094" s="8">
        <f t="shared" si="29"/>
        <v>7</v>
      </c>
    </row>
    <row r="1095" spans="1:12" x14ac:dyDescent="0.3">
      <c r="A1095" s="10">
        <v>45503</v>
      </c>
      <c r="B1095" s="11">
        <v>45503.432871759258</v>
      </c>
      <c r="C1095" s="12">
        <f t="shared" si="24"/>
        <v>10</v>
      </c>
      <c r="D1095" s="12" t="s">
        <v>4</v>
      </c>
      <c r="E1095" s="12" t="s">
        <v>270</v>
      </c>
      <c r="F1095" s="13">
        <v>32.82</v>
      </c>
      <c r="G1095" s="12" t="s">
        <v>13</v>
      </c>
      <c r="H1095" s="12" t="str">
        <f t="shared" si="25"/>
        <v>Morning</v>
      </c>
      <c r="I1095" s="12" t="str">
        <f t="shared" si="26"/>
        <v>Tue</v>
      </c>
      <c r="J1095" s="12" t="str">
        <f t="shared" si="27"/>
        <v>Jul</v>
      </c>
      <c r="K1095" s="12">
        <f t="shared" si="28"/>
        <v>2</v>
      </c>
      <c r="L1095" s="12">
        <f t="shared" si="29"/>
        <v>7</v>
      </c>
    </row>
    <row r="1096" spans="1:12" x14ac:dyDescent="0.3">
      <c r="A1096" s="6">
        <v>45503</v>
      </c>
      <c r="B1096" s="7">
        <v>45503.466751840278</v>
      </c>
      <c r="C1096" s="8">
        <f t="shared" si="24"/>
        <v>11</v>
      </c>
      <c r="D1096" s="8" t="s">
        <v>4</v>
      </c>
      <c r="E1096" s="8" t="s">
        <v>446</v>
      </c>
      <c r="F1096" s="9">
        <v>23.02</v>
      </c>
      <c r="G1096" s="8" t="s">
        <v>17</v>
      </c>
      <c r="H1096" s="8" t="str">
        <f t="shared" si="25"/>
        <v>Morning</v>
      </c>
      <c r="I1096" s="8" t="str">
        <f t="shared" si="26"/>
        <v>Tue</v>
      </c>
      <c r="J1096" s="8" t="str">
        <f t="shared" si="27"/>
        <v>Jul</v>
      </c>
      <c r="K1096" s="8">
        <f t="shared" si="28"/>
        <v>2</v>
      </c>
      <c r="L1096" s="8">
        <f t="shared" si="29"/>
        <v>7</v>
      </c>
    </row>
    <row r="1097" spans="1:12" x14ac:dyDescent="0.3">
      <c r="A1097" s="10">
        <v>45503</v>
      </c>
      <c r="B1097" s="11">
        <v>45503.467548819448</v>
      </c>
      <c r="C1097" s="12">
        <f t="shared" si="24"/>
        <v>11</v>
      </c>
      <c r="D1097" s="12" t="s">
        <v>4</v>
      </c>
      <c r="E1097" s="12" t="s">
        <v>446</v>
      </c>
      <c r="F1097" s="13">
        <v>18.12</v>
      </c>
      <c r="G1097" s="12" t="s">
        <v>41</v>
      </c>
      <c r="H1097" s="12" t="str">
        <f t="shared" si="25"/>
        <v>Morning</v>
      </c>
      <c r="I1097" s="12" t="str">
        <f t="shared" si="26"/>
        <v>Tue</v>
      </c>
      <c r="J1097" s="12" t="str">
        <f t="shared" si="27"/>
        <v>Jul</v>
      </c>
      <c r="K1097" s="12">
        <f t="shared" si="28"/>
        <v>2</v>
      </c>
      <c r="L1097" s="12">
        <f t="shared" si="29"/>
        <v>7</v>
      </c>
    </row>
    <row r="1098" spans="1:12" x14ac:dyDescent="0.3">
      <c r="A1098" s="6">
        <v>45503</v>
      </c>
      <c r="B1098" s="7">
        <v>45503.468537939814</v>
      </c>
      <c r="C1098" s="8">
        <f t="shared" si="24"/>
        <v>11</v>
      </c>
      <c r="D1098" s="8" t="s">
        <v>4</v>
      </c>
      <c r="E1098" s="8" t="s">
        <v>447</v>
      </c>
      <c r="F1098" s="9">
        <v>27.92</v>
      </c>
      <c r="G1098" s="8" t="s">
        <v>20</v>
      </c>
      <c r="H1098" s="8" t="str">
        <f t="shared" si="25"/>
        <v>Morning</v>
      </c>
      <c r="I1098" s="8" t="str">
        <f t="shared" si="26"/>
        <v>Tue</v>
      </c>
      <c r="J1098" s="8" t="str">
        <f t="shared" si="27"/>
        <v>Jul</v>
      </c>
      <c r="K1098" s="8">
        <f t="shared" si="28"/>
        <v>2</v>
      </c>
      <c r="L1098" s="8">
        <f t="shared" si="29"/>
        <v>7</v>
      </c>
    </row>
    <row r="1099" spans="1:12" x14ac:dyDescent="0.3">
      <c r="A1099" s="10">
        <v>45503</v>
      </c>
      <c r="B1099" s="11">
        <v>45503.469463310183</v>
      </c>
      <c r="C1099" s="12">
        <f t="shared" si="24"/>
        <v>11</v>
      </c>
      <c r="D1099" s="12" t="s">
        <v>4</v>
      </c>
      <c r="E1099" s="12" t="s">
        <v>448</v>
      </c>
      <c r="F1099" s="13">
        <v>27.92</v>
      </c>
      <c r="G1099" s="12" t="s">
        <v>20</v>
      </c>
      <c r="H1099" s="12" t="str">
        <f t="shared" si="25"/>
        <v>Morning</v>
      </c>
      <c r="I1099" s="12" t="str">
        <f t="shared" si="26"/>
        <v>Tue</v>
      </c>
      <c r="J1099" s="12" t="str">
        <f t="shared" si="27"/>
        <v>Jul</v>
      </c>
      <c r="K1099" s="12">
        <f t="shared" si="28"/>
        <v>2</v>
      </c>
      <c r="L1099" s="12">
        <f t="shared" si="29"/>
        <v>7</v>
      </c>
    </row>
    <row r="1100" spans="1:12" x14ac:dyDescent="0.3">
      <c r="A1100" s="6">
        <v>45503</v>
      </c>
      <c r="B1100" s="7">
        <v>45503.47956871528</v>
      </c>
      <c r="C1100" s="8">
        <f t="shared" si="24"/>
        <v>11</v>
      </c>
      <c r="D1100" s="8" t="s">
        <v>4</v>
      </c>
      <c r="E1100" s="8" t="s">
        <v>449</v>
      </c>
      <c r="F1100" s="9">
        <v>27.92</v>
      </c>
      <c r="G1100" s="8" t="s">
        <v>20</v>
      </c>
      <c r="H1100" s="8" t="str">
        <f t="shared" si="25"/>
        <v>Morning</v>
      </c>
      <c r="I1100" s="8" t="str">
        <f t="shared" si="26"/>
        <v>Tue</v>
      </c>
      <c r="J1100" s="8" t="str">
        <f t="shared" si="27"/>
        <v>Jul</v>
      </c>
      <c r="K1100" s="8">
        <f t="shared" si="28"/>
        <v>2</v>
      </c>
      <c r="L1100" s="8">
        <f t="shared" si="29"/>
        <v>7</v>
      </c>
    </row>
    <row r="1101" spans="1:12" x14ac:dyDescent="0.3">
      <c r="A1101" s="10">
        <v>45503</v>
      </c>
      <c r="B1101" s="11">
        <v>45503.480333437503</v>
      </c>
      <c r="C1101" s="12">
        <f t="shared" si="24"/>
        <v>11</v>
      </c>
      <c r="D1101" s="12" t="s">
        <v>4</v>
      </c>
      <c r="E1101" s="12" t="s">
        <v>450</v>
      </c>
      <c r="F1101" s="13">
        <v>27.92</v>
      </c>
      <c r="G1101" s="12" t="s">
        <v>20</v>
      </c>
      <c r="H1101" s="12" t="str">
        <f t="shared" si="25"/>
        <v>Morning</v>
      </c>
      <c r="I1101" s="12" t="str">
        <f t="shared" si="26"/>
        <v>Tue</v>
      </c>
      <c r="J1101" s="12" t="str">
        <f t="shared" si="27"/>
        <v>Jul</v>
      </c>
      <c r="K1101" s="12">
        <f t="shared" si="28"/>
        <v>2</v>
      </c>
      <c r="L1101" s="12">
        <f t="shared" si="29"/>
        <v>7</v>
      </c>
    </row>
    <row r="1102" spans="1:12" x14ac:dyDescent="0.3">
      <c r="A1102" s="6">
        <v>45503</v>
      </c>
      <c r="B1102" s="7">
        <v>45503.505642453703</v>
      </c>
      <c r="C1102" s="8">
        <f t="shared" si="24"/>
        <v>12</v>
      </c>
      <c r="D1102" s="8" t="s">
        <v>4</v>
      </c>
      <c r="E1102" s="8" t="s">
        <v>451</v>
      </c>
      <c r="F1102" s="9">
        <v>32.82</v>
      </c>
      <c r="G1102" s="8" t="s">
        <v>13</v>
      </c>
      <c r="H1102" s="8" t="str">
        <f t="shared" si="25"/>
        <v>Afternoon</v>
      </c>
      <c r="I1102" s="8" t="str">
        <f t="shared" si="26"/>
        <v>Tue</v>
      </c>
      <c r="J1102" s="8" t="str">
        <f t="shared" si="27"/>
        <v>Jul</v>
      </c>
      <c r="K1102" s="8">
        <f t="shared" si="28"/>
        <v>2</v>
      </c>
      <c r="L1102" s="8">
        <f t="shared" si="29"/>
        <v>7</v>
      </c>
    </row>
    <row r="1103" spans="1:12" x14ac:dyDescent="0.3">
      <c r="A1103" s="10">
        <v>45503</v>
      </c>
      <c r="B1103" s="11">
        <v>45503.636222546294</v>
      </c>
      <c r="C1103" s="12">
        <f t="shared" si="24"/>
        <v>15</v>
      </c>
      <c r="D1103" s="12" t="s">
        <v>4</v>
      </c>
      <c r="E1103" s="12" t="s">
        <v>452</v>
      </c>
      <c r="F1103" s="13">
        <v>27.92</v>
      </c>
      <c r="G1103" s="12" t="s">
        <v>20</v>
      </c>
      <c r="H1103" s="12" t="str">
        <f t="shared" si="25"/>
        <v>Afternoon</v>
      </c>
      <c r="I1103" s="12" t="str">
        <f t="shared" si="26"/>
        <v>Tue</v>
      </c>
      <c r="J1103" s="12" t="str">
        <f t="shared" si="27"/>
        <v>Jul</v>
      </c>
      <c r="K1103" s="12">
        <f t="shared" si="28"/>
        <v>2</v>
      </c>
      <c r="L1103" s="12">
        <f t="shared" si="29"/>
        <v>7</v>
      </c>
    </row>
    <row r="1104" spans="1:12" x14ac:dyDescent="0.3">
      <c r="A1104" s="6">
        <v>45503</v>
      </c>
      <c r="B1104" s="7">
        <v>45503.672834212965</v>
      </c>
      <c r="C1104" s="8">
        <f t="shared" si="24"/>
        <v>16</v>
      </c>
      <c r="D1104" s="8" t="s">
        <v>4</v>
      </c>
      <c r="E1104" s="8" t="s">
        <v>453</v>
      </c>
      <c r="F1104" s="9">
        <v>23.02</v>
      </c>
      <c r="G1104" s="8" t="s">
        <v>34</v>
      </c>
      <c r="H1104" s="8" t="str">
        <f t="shared" si="25"/>
        <v>Afternoon</v>
      </c>
      <c r="I1104" s="8" t="str">
        <f t="shared" si="26"/>
        <v>Tue</v>
      </c>
      <c r="J1104" s="8" t="str">
        <f t="shared" si="27"/>
        <v>Jul</v>
      </c>
      <c r="K1104" s="8">
        <f t="shared" si="28"/>
        <v>2</v>
      </c>
      <c r="L1104" s="8">
        <f t="shared" si="29"/>
        <v>7</v>
      </c>
    </row>
    <row r="1105" spans="1:12" x14ac:dyDescent="0.3">
      <c r="A1105" s="10">
        <v>45503</v>
      </c>
      <c r="B1105" s="11">
        <v>45503.673421608793</v>
      </c>
      <c r="C1105" s="12">
        <f t="shared" si="24"/>
        <v>16</v>
      </c>
      <c r="D1105" s="12" t="s">
        <v>4</v>
      </c>
      <c r="E1105" s="12" t="s">
        <v>453</v>
      </c>
      <c r="F1105" s="13">
        <v>27.92</v>
      </c>
      <c r="G1105" s="12" t="s">
        <v>20</v>
      </c>
      <c r="H1105" s="12" t="str">
        <f t="shared" si="25"/>
        <v>Afternoon</v>
      </c>
      <c r="I1105" s="12" t="str">
        <f t="shared" si="26"/>
        <v>Tue</v>
      </c>
      <c r="J1105" s="12" t="str">
        <f t="shared" si="27"/>
        <v>Jul</v>
      </c>
      <c r="K1105" s="12">
        <f t="shared" si="28"/>
        <v>2</v>
      </c>
      <c r="L1105" s="12">
        <f t="shared" si="29"/>
        <v>7</v>
      </c>
    </row>
    <row r="1106" spans="1:12" x14ac:dyDescent="0.3">
      <c r="A1106" s="6">
        <v>45503</v>
      </c>
      <c r="B1106" s="7">
        <v>45503.850230023148</v>
      </c>
      <c r="C1106" s="8">
        <f t="shared" si="24"/>
        <v>20</v>
      </c>
      <c r="D1106" s="8" t="s">
        <v>4</v>
      </c>
      <c r="E1106" s="8" t="s">
        <v>454</v>
      </c>
      <c r="F1106" s="9">
        <v>18.12</v>
      </c>
      <c r="G1106" s="8" t="s">
        <v>41</v>
      </c>
      <c r="H1106" s="8" t="str">
        <f t="shared" si="25"/>
        <v>Night</v>
      </c>
      <c r="I1106" s="8" t="str">
        <f t="shared" si="26"/>
        <v>Tue</v>
      </c>
      <c r="J1106" s="8" t="str">
        <f t="shared" si="27"/>
        <v>Jul</v>
      </c>
      <c r="K1106" s="8">
        <f t="shared" si="28"/>
        <v>2</v>
      </c>
      <c r="L1106" s="8">
        <f t="shared" si="29"/>
        <v>7</v>
      </c>
    </row>
    <row r="1107" spans="1:12" x14ac:dyDescent="0.3">
      <c r="A1107" s="10">
        <v>45503</v>
      </c>
      <c r="B1107" s="11">
        <v>45503.870739189813</v>
      </c>
      <c r="C1107" s="12">
        <f t="shared" si="24"/>
        <v>20</v>
      </c>
      <c r="D1107" s="12" t="s">
        <v>4</v>
      </c>
      <c r="E1107" s="12" t="s">
        <v>117</v>
      </c>
      <c r="F1107" s="13">
        <v>27.92</v>
      </c>
      <c r="G1107" s="12" t="s">
        <v>20</v>
      </c>
      <c r="H1107" s="12" t="str">
        <f t="shared" si="25"/>
        <v>Night</v>
      </c>
      <c r="I1107" s="12" t="str">
        <f t="shared" si="26"/>
        <v>Tue</v>
      </c>
      <c r="J1107" s="12" t="str">
        <f t="shared" si="27"/>
        <v>Jul</v>
      </c>
      <c r="K1107" s="12">
        <f t="shared" si="28"/>
        <v>2</v>
      </c>
      <c r="L1107" s="12">
        <f t="shared" si="29"/>
        <v>7</v>
      </c>
    </row>
    <row r="1108" spans="1:12" x14ac:dyDescent="0.3">
      <c r="A1108" s="6">
        <v>45503</v>
      </c>
      <c r="B1108" s="7">
        <v>45503.871369398148</v>
      </c>
      <c r="C1108" s="8">
        <f t="shared" si="24"/>
        <v>20</v>
      </c>
      <c r="D1108" s="8" t="s">
        <v>4</v>
      </c>
      <c r="E1108" s="8" t="s">
        <v>117</v>
      </c>
      <c r="F1108" s="9">
        <v>27.92</v>
      </c>
      <c r="G1108" s="8" t="s">
        <v>20</v>
      </c>
      <c r="H1108" s="8" t="str">
        <f t="shared" si="25"/>
        <v>Night</v>
      </c>
      <c r="I1108" s="8" t="str">
        <f t="shared" si="26"/>
        <v>Tue</v>
      </c>
      <c r="J1108" s="8" t="str">
        <f t="shared" si="27"/>
        <v>Jul</v>
      </c>
      <c r="K1108" s="8">
        <f t="shared" si="28"/>
        <v>2</v>
      </c>
      <c r="L1108" s="8">
        <f t="shared" si="29"/>
        <v>7</v>
      </c>
    </row>
    <row r="1109" spans="1:12" x14ac:dyDescent="0.3">
      <c r="A1109" s="10">
        <v>45503</v>
      </c>
      <c r="B1109" s="11">
        <v>45503.872943564813</v>
      </c>
      <c r="C1109" s="12">
        <f t="shared" si="24"/>
        <v>20</v>
      </c>
      <c r="D1109" s="12" t="s">
        <v>4</v>
      </c>
      <c r="E1109" s="12" t="s">
        <v>367</v>
      </c>
      <c r="F1109" s="13">
        <v>27.92</v>
      </c>
      <c r="G1109" s="12" t="s">
        <v>20</v>
      </c>
      <c r="H1109" s="12" t="str">
        <f t="shared" si="25"/>
        <v>Night</v>
      </c>
      <c r="I1109" s="12" t="str">
        <f t="shared" si="26"/>
        <v>Tue</v>
      </c>
      <c r="J1109" s="12" t="str">
        <f t="shared" si="27"/>
        <v>Jul</v>
      </c>
      <c r="K1109" s="12">
        <f t="shared" si="28"/>
        <v>2</v>
      </c>
      <c r="L1109" s="12">
        <f t="shared" si="29"/>
        <v>7</v>
      </c>
    </row>
    <row r="1110" spans="1:12" x14ac:dyDescent="0.3">
      <c r="A1110" s="6">
        <v>45503</v>
      </c>
      <c r="B1110" s="7">
        <v>45503.898138865741</v>
      </c>
      <c r="C1110" s="8">
        <f t="shared" si="24"/>
        <v>21</v>
      </c>
      <c r="D1110" s="8" t="s">
        <v>4</v>
      </c>
      <c r="E1110" s="8" t="s">
        <v>455</v>
      </c>
      <c r="F1110" s="9">
        <v>32.82</v>
      </c>
      <c r="G1110" s="8" t="s">
        <v>13</v>
      </c>
      <c r="H1110" s="8" t="str">
        <f t="shared" si="25"/>
        <v>Night</v>
      </c>
      <c r="I1110" s="8" t="str">
        <f t="shared" si="26"/>
        <v>Tue</v>
      </c>
      <c r="J1110" s="8" t="str">
        <f t="shared" si="27"/>
        <v>Jul</v>
      </c>
      <c r="K1110" s="8">
        <f t="shared" si="28"/>
        <v>2</v>
      </c>
      <c r="L1110" s="8">
        <f t="shared" si="29"/>
        <v>7</v>
      </c>
    </row>
    <row r="1111" spans="1:12" x14ac:dyDescent="0.3">
      <c r="A1111" s="10">
        <v>45503</v>
      </c>
      <c r="B1111" s="11">
        <v>45503.927331990744</v>
      </c>
      <c r="C1111" s="12">
        <f t="shared" si="24"/>
        <v>22</v>
      </c>
      <c r="D1111" s="12" t="s">
        <v>4</v>
      </c>
      <c r="E1111" s="12" t="s">
        <v>456</v>
      </c>
      <c r="F1111" s="13">
        <v>23.02</v>
      </c>
      <c r="G1111" s="12" t="s">
        <v>17</v>
      </c>
      <c r="H1111" s="12" t="str">
        <f t="shared" si="25"/>
        <v>Night</v>
      </c>
      <c r="I1111" s="12" t="str">
        <f t="shared" si="26"/>
        <v>Tue</v>
      </c>
      <c r="J1111" s="12" t="str">
        <f t="shared" si="27"/>
        <v>Jul</v>
      </c>
      <c r="K1111" s="12">
        <f t="shared" si="28"/>
        <v>2</v>
      </c>
      <c r="L1111" s="12">
        <f t="shared" si="29"/>
        <v>7</v>
      </c>
    </row>
    <row r="1112" spans="1:12" x14ac:dyDescent="0.3">
      <c r="A1112" s="6">
        <v>45503</v>
      </c>
      <c r="B1112" s="7">
        <v>45503.928000694446</v>
      </c>
      <c r="C1112" s="8">
        <f t="shared" si="24"/>
        <v>22</v>
      </c>
      <c r="D1112" s="8" t="s">
        <v>4</v>
      </c>
      <c r="E1112" s="8" t="s">
        <v>456</v>
      </c>
      <c r="F1112" s="9">
        <v>32.82</v>
      </c>
      <c r="G1112" s="8" t="s">
        <v>49</v>
      </c>
      <c r="H1112" s="8" t="str">
        <f t="shared" si="25"/>
        <v>Night</v>
      </c>
      <c r="I1112" s="8" t="str">
        <f t="shared" si="26"/>
        <v>Tue</v>
      </c>
      <c r="J1112" s="8" t="str">
        <f t="shared" si="27"/>
        <v>Jul</v>
      </c>
      <c r="K1112" s="8">
        <f t="shared" si="28"/>
        <v>2</v>
      </c>
      <c r="L1112" s="8">
        <f t="shared" si="29"/>
        <v>7</v>
      </c>
    </row>
    <row r="1113" spans="1:12" x14ac:dyDescent="0.3">
      <c r="A1113" s="10">
        <v>45504</v>
      </c>
      <c r="B1113" s="11">
        <v>45504.333241875</v>
      </c>
      <c r="C1113" s="12">
        <f t="shared" si="24"/>
        <v>7</v>
      </c>
      <c r="D1113" s="12" t="s">
        <v>4</v>
      </c>
      <c r="E1113" s="12" t="s">
        <v>443</v>
      </c>
      <c r="F1113" s="13">
        <v>27.92</v>
      </c>
      <c r="G1113" s="12" t="s">
        <v>20</v>
      </c>
      <c r="H1113" s="12" t="str">
        <f t="shared" si="25"/>
        <v>Morning</v>
      </c>
      <c r="I1113" s="12" t="str">
        <f t="shared" si="26"/>
        <v>Wed</v>
      </c>
      <c r="J1113" s="12" t="str">
        <f t="shared" si="27"/>
        <v>Jul</v>
      </c>
      <c r="K1113" s="12">
        <f t="shared" si="28"/>
        <v>3</v>
      </c>
      <c r="L1113" s="12">
        <f t="shared" si="29"/>
        <v>7</v>
      </c>
    </row>
    <row r="1114" spans="1:12" x14ac:dyDescent="0.3">
      <c r="A1114" s="6">
        <v>45504</v>
      </c>
      <c r="B1114" s="7">
        <v>45504.359513229167</v>
      </c>
      <c r="C1114" s="8">
        <f t="shared" si="24"/>
        <v>8</v>
      </c>
      <c r="D1114" s="8" t="s">
        <v>4</v>
      </c>
      <c r="E1114" s="8" t="s">
        <v>457</v>
      </c>
      <c r="F1114" s="9">
        <v>27.92</v>
      </c>
      <c r="G1114" s="8" t="s">
        <v>20</v>
      </c>
      <c r="H1114" s="8" t="str">
        <f t="shared" si="25"/>
        <v>Morning</v>
      </c>
      <c r="I1114" s="8" t="str">
        <f t="shared" si="26"/>
        <v>Wed</v>
      </c>
      <c r="J1114" s="8" t="str">
        <f t="shared" si="27"/>
        <v>Jul</v>
      </c>
      <c r="K1114" s="8">
        <f t="shared" si="28"/>
        <v>3</v>
      </c>
      <c r="L1114" s="8">
        <f t="shared" si="29"/>
        <v>7</v>
      </c>
    </row>
    <row r="1115" spans="1:12" x14ac:dyDescent="0.3">
      <c r="A1115" s="10">
        <v>45504</v>
      </c>
      <c r="B1115" s="11">
        <v>45504.360164768521</v>
      </c>
      <c r="C1115" s="12">
        <f t="shared" si="24"/>
        <v>8</v>
      </c>
      <c r="D1115" s="12" t="s">
        <v>4</v>
      </c>
      <c r="E1115" s="12" t="s">
        <v>457</v>
      </c>
      <c r="F1115" s="13">
        <v>27.92</v>
      </c>
      <c r="G1115" s="12" t="s">
        <v>20</v>
      </c>
      <c r="H1115" s="12" t="str">
        <f t="shared" si="25"/>
        <v>Morning</v>
      </c>
      <c r="I1115" s="12" t="str">
        <f t="shared" si="26"/>
        <v>Wed</v>
      </c>
      <c r="J1115" s="12" t="str">
        <f t="shared" si="27"/>
        <v>Jul</v>
      </c>
      <c r="K1115" s="12">
        <f t="shared" si="28"/>
        <v>3</v>
      </c>
      <c r="L1115" s="12">
        <f t="shared" si="29"/>
        <v>7</v>
      </c>
    </row>
    <row r="1116" spans="1:12" x14ac:dyDescent="0.3">
      <c r="A1116" s="6">
        <v>45504</v>
      </c>
      <c r="B1116" s="7">
        <v>45504.413024479167</v>
      </c>
      <c r="C1116" s="8">
        <f t="shared" si="24"/>
        <v>9</v>
      </c>
      <c r="D1116" s="8" t="s">
        <v>4</v>
      </c>
      <c r="E1116" s="8" t="s">
        <v>408</v>
      </c>
      <c r="F1116" s="9">
        <v>23.02</v>
      </c>
      <c r="G1116" s="8" t="s">
        <v>17</v>
      </c>
      <c r="H1116" s="8" t="str">
        <f t="shared" si="25"/>
        <v>Morning</v>
      </c>
      <c r="I1116" s="8" t="str">
        <f t="shared" si="26"/>
        <v>Wed</v>
      </c>
      <c r="J1116" s="8" t="str">
        <f t="shared" si="27"/>
        <v>Jul</v>
      </c>
      <c r="K1116" s="8">
        <f t="shared" si="28"/>
        <v>3</v>
      </c>
      <c r="L1116" s="8">
        <f t="shared" si="29"/>
        <v>7</v>
      </c>
    </row>
    <row r="1117" spans="1:12" x14ac:dyDescent="0.3">
      <c r="A1117" s="10">
        <v>45504</v>
      </c>
      <c r="B1117" s="11">
        <v>45504.413716921299</v>
      </c>
      <c r="C1117" s="12">
        <f t="shared" si="24"/>
        <v>9</v>
      </c>
      <c r="D1117" s="12" t="s">
        <v>4</v>
      </c>
      <c r="E1117" s="12" t="s">
        <v>408</v>
      </c>
      <c r="F1117" s="13">
        <v>23.02</v>
      </c>
      <c r="G1117" s="12" t="s">
        <v>17</v>
      </c>
      <c r="H1117" s="12" t="str">
        <f t="shared" si="25"/>
        <v>Morning</v>
      </c>
      <c r="I1117" s="12" t="str">
        <f t="shared" si="26"/>
        <v>Wed</v>
      </c>
      <c r="J1117" s="12" t="str">
        <f t="shared" si="27"/>
        <v>Jul</v>
      </c>
      <c r="K1117" s="12">
        <f t="shared" si="28"/>
        <v>3</v>
      </c>
      <c r="L1117" s="12">
        <f t="shared" si="29"/>
        <v>7</v>
      </c>
    </row>
    <row r="1118" spans="1:12" x14ac:dyDescent="0.3">
      <c r="A1118" s="6">
        <v>45504</v>
      </c>
      <c r="B1118" s="7">
        <v>45504.415461377313</v>
      </c>
      <c r="C1118" s="8">
        <f t="shared" si="24"/>
        <v>9</v>
      </c>
      <c r="D1118" s="8" t="s">
        <v>4</v>
      </c>
      <c r="E1118" s="8" t="s">
        <v>296</v>
      </c>
      <c r="F1118" s="9">
        <v>27.92</v>
      </c>
      <c r="G1118" s="8" t="s">
        <v>20</v>
      </c>
      <c r="H1118" s="8" t="str">
        <f t="shared" si="25"/>
        <v>Morning</v>
      </c>
      <c r="I1118" s="8" t="str">
        <f t="shared" si="26"/>
        <v>Wed</v>
      </c>
      <c r="J1118" s="8" t="str">
        <f t="shared" si="27"/>
        <v>Jul</v>
      </c>
      <c r="K1118" s="8">
        <f t="shared" si="28"/>
        <v>3</v>
      </c>
      <c r="L1118" s="8">
        <f t="shared" si="29"/>
        <v>7</v>
      </c>
    </row>
    <row r="1119" spans="1:12" x14ac:dyDescent="0.3">
      <c r="A1119" s="10">
        <v>45504</v>
      </c>
      <c r="B1119" s="11">
        <v>45504.549798715278</v>
      </c>
      <c r="C1119" s="12">
        <f t="shared" si="24"/>
        <v>13</v>
      </c>
      <c r="D1119" s="12" t="s">
        <v>4</v>
      </c>
      <c r="E1119" s="12" t="s">
        <v>404</v>
      </c>
      <c r="F1119" s="13">
        <v>32.82</v>
      </c>
      <c r="G1119" s="12" t="s">
        <v>24</v>
      </c>
      <c r="H1119" s="12" t="str">
        <f t="shared" si="25"/>
        <v>Afternoon</v>
      </c>
      <c r="I1119" s="12" t="str">
        <f t="shared" si="26"/>
        <v>Wed</v>
      </c>
      <c r="J1119" s="12" t="str">
        <f t="shared" si="27"/>
        <v>Jul</v>
      </c>
      <c r="K1119" s="12">
        <f t="shared" si="28"/>
        <v>3</v>
      </c>
      <c r="L1119" s="12">
        <f t="shared" si="29"/>
        <v>7</v>
      </c>
    </row>
    <row r="1120" spans="1:12" x14ac:dyDescent="0.3">
      <c r="A1120" s="6">
        <v>45504</v>
      </c>
      <c r="B1120" s="7">
        <v>45504.551392199071</v>
      </c>
      <c r="C1120" s="8">
        <f t="shared" si="24"/>
        <v>13</v>
      </c>
      <c r="D1120" s="8" t="s">
        <v>4</v>
      </c>
      <c r="E1120" s="8" t="s">
        <v>404</v>
      </c>
      <c r="F1120" s="9">
        <v>32.82</v>
      </c>
      <c r="G1120" s="8" t="s">
        <v>13</v>
      </c>
      <c r="H1120" s="8" t="str">
        <f t="shared" si="25"/>
        <v>Afternoon</v>
      </c>
      <c r="I1120" s="8" t="str">
        <f t="shared" si="26"/>
        <v>Wed</v>
      </c>
      <c r="J1120" s="8" t="str">
        <f t="shared" si="27"/>
        <v>Jul</v>
      </c>
      <c r="K1120" s="8">
        <f t="shared" si="28"/>
        <v>3</v>
      </c>
      <c r="L1120" s="8">
        <f t="shared" si="29"/>
        <v>7</v>
      </c>
    </row>
    <row r="1121" spans="1:12" x14ac:dyDescent="0.3">
      <c r="A1121" s="10">
        <v>45504</v>
      </c>
      <c r="B1121" s="11">
        <v>45504.558905520833</v>
      </c>
      <c r="C1121" s="12">
        <f t="shared" si="24"/>
        <v>13</v>
      </c>
      <c r="D1121" s="12" t="s">
        <v>4</v>
      </c>
      <c r="E1121" s="12" t="s">
        <v>458</v>
      </c>
      <c r="F1121" s="13">
        <v>27.92</v>
      </c>
      <c r="G1121" s="12" t="s">
        <v>20</v>
      </c>
      <c r="H1121" s="12" t="str">
        <f t="shared" si="25"/>
        <v>Afternoon</v>
      </c>
      <c r="I1121" s="12" t="str">
        <f t="shared" si="26"/>
        <v>Wed</v>
      </c>
      <c r="J1121" s="12" t="str">
        <f t="shared" si="27"/>
        <v>Jul</v>
      </c>
      <c r="K1121" s="12">
        <f t="shared" si="28"/>
        <v>3</v>
      </c>
      <c r="L1121" s="12">
        <f t="shared" si="29"/>
        <v>7</v>
      </c>
    </row>
    <row r="1122" spans="1:12" x14ac:dyDescent="0.3">
      <c r="A1122" s="6">
        <v>45504</v>
      </c>
      <c r="B1122" s="7">
        <v>45504.741745219908</v>
      </c>
      <c r="C1122" s="8">
        <f t="shared" si="24"/>
        <v>17</v>
      </c>
      <c r="D1122" s="8" t="s">
        <v>4</v>
      </c>
      <c r="E1122" s="8" t="s">
        <v>459</v>
      </c>
      <c r="F1122" s="9">
        <v>23.02</v>
      </c>
      <c r="G1122" s="8" t="s">
        <v>34</v>
      </c>
      <c r="H1122" s="8" t="str">
        <f t="shared" si="25"/>
        <v>Night</v>
      </c>
      <c r="I1122" s="8" t="str">
        <f t="shared" si="26"/>
        <v>Wed</v>
      </c>
      <c r="J1122" s="8" t="str">
        <f t="shared" si="27"/>
        <v>Jul</v>
      </c>
      <c r="K1122" s="8">
        <f t="shared" si="28"/>
        <v>3</v>
      </c>
      <c r="L1122" s="8">
        <f t="shared" si="29"/>
        <v>7</v>
      </c>
    </row>
    <row r="1123" spans="1:12" x14ac:dyDescent="0.3">
      <c r="A1123" s="10">
        <v>45504</v>
      </c>
      <c r="B1123" s="11">
        <v>45504.752951064816</v>
      </c>
      <c r="C1123" s="12">
        <f t="shared" si="24"/>
        <v>18</v>
      </c>
      <c r="D1123" s="12" t="s">
        <v>4</v>
      </c>
      <c r="E1123" s="12" t="s">
        <v>460</v>
      </c>
      <c r="F1123" s="13">
        <v>32.82</v>
      </c>
      <c r="G1123" s="12" t="s">
        <v>13</v>
      </c>
      <c r="H1123" s="12" t="str">
        <f t="shared" si="25"/>
        <v>Night</v>
      </c>
      <c r="I1123" s="12" t="str">
        <f t="shared" si="26"/>
        <v>Wed</v>
      </c>
      <c r="J1123" s="12" t="str">
        <f t="shared" si="27"/>
        <v>Jul</v>
      </c>
      <c r="K1123" s="12">
        <f t="shared" si="28"/>
        <v>3</v>
      </c>
      <c r="L1123" s="12">
        <f t="shared" si="29"/>
        <v>7</v>
      </c>
    </row>
    <row r="1124" spans="1:12" x14ac:dyDescent="0.3">
      <c r="A1124" s="6">
        <v>45504</v>
      </c>
      <c r="B1124" s="7">
        <v>45504.807394479169</v>
      </c>
      <c r="C1124" s="8">
        <f t="shared" si="24"/>
        <v>19</v>
      </c>
      <c r="D1124" s="8" t="s">
        <v>4</v>
      </c>
      <c r="E1124" s="8" t="s">
        <v>461</v>
      </c>
      <c r="F1124" s="9">
        <v>23.02</v>
      </c>
      <c r="G1124" s="8" t="s">
        <v>34</v>
      </c>
      <c r="H1124" s="8" t="str">
        <f t="shared" si="25"/>
        <v>Night</v>
      </c>
      <c r="I1124" s="8" t="str">
        <f t="shared" si="26"/>
        <v>Wed</v>
      </c>
      <c r="J1124" s="8" t="str">
        <f t="shared" si="27"/>
        <v>Jul</v>
      </c>
      <c r="K1124" s="8">
        <f t="shared" si="28"/>
        <v>3</v>
      </c>
      <c r="L1124" s="8">
        <f t="shared" si="29"/>
        <v>7</v>
      </c>
    </row>
    <row r="1125" spans="1:12" x14ac:dyDescent="0.3">
      <c r="A1125" s="10">
        <v>45504</v>
      </c>
      <c r="B1125" s="11">
        <v>45504.811633576392</v>
      </c>
      <c r="C1125" s="12">
        <f t="shared" si="24"/>
        <v>19</v>
      </c>
      <c r="D1125" s="12" t="s">
        <v>4</v>
      </c>
      <c r="E1125" s="12" t="s">
        <v>25</v>
      </c>
      <c r="F1125" s="13">
        <v>32.82</v>
      </c>
      <c r="G1125" s="12" t="s">
        <v>13</v>
      </c>
      <c r="H1125" s="12" t="str">
        <f t="shared" si="25"/>
        <v>Night</v>
      </c>
      <c r="I1125" s="12" t="str">
        <f t="shared" si="26"/>
        <v>Wed</v>
      </c>
      <c r="J1125" s="12" t="str">
        <f t="shared" si="27"/>
        <v>Jul</v>
      </c>
      <c r="K1125" s="12">
        <f t="shared" si="28"/>
        <v>3</v>
      </c>
      <c r="L1125" s="12">
        <f t="shared" si="29"/>
        <v>7</v>
      </c>
    </row>
    <row r="1126" spans="1:12" x14ac:dyDescent="0.3">
      <c r="A1126" s="6">
        <v>45504</v>
      </c>
      <c r="B1126" s="7">
        <v>45504.86576872685</v>
      </c>
      <c r="C1126" s="8">
        <f t="shared" si="24"/>
        <v>20</v>
      </c>
      <c r="D1126" s="8" t="s">
        <v>4</v>
      </c>
      <c r="E1126" s="8" t="s">
        <v>462</v>
      </c>
      <c r="F1126" s="9">
        <v>32.82</v>
      </c>
      <c r="G1126" s="8" t="s">
        <v>24</v>
      </c>
      <c r="H1126" s="8" t="str">
        <f t="shared" si="25"/>
        <v>Night</v>
      </c>
      <c r="I1126" s="8" t="str">
        <f t="shared" si="26"/>
        <v>Wed</v>
      </c>
      <c r="J1126" s="8" t="str">
        <f t="shared" si="27"/>
        <v>Jul</v>
      </c>
      <c r="K1126" s="8">
        <f t="shared" si="28"/>
        <v>3</v>
      </c>
      <c r="L1126" s="8">
        <f t="shared" si="29"/>
        <v>7</v>
      </c>
    </row>
    <row r="1127" spans="1:12" x14ac:dyDescent="0.3">
      <c r="A1127" s="10">
        <v>45504</v>
      </c>
      <c r="B1127" s="11">
        <v>45504.868141331019</v>
      </c>
      <c r="C1127" s="12">
        <f t="shared" si="24"/>
        <v>20</v>
      </c>
      <c r="D1127" s="12" t="s">
        <v>4</v>
      </c>
      <c r="E1127" s="12" t="s">
        <v>463</v>
      </c>
      <c r="F1127" s="13">
        <v>23.02</v>
      </c>
      <c r="G1127" s="12" t="s">
        <v>34</v>
      </c>
      <c r="H1127" s="12" t="str">
        <f t="shared" si="25"/>
        <v>Night</v>
      </c>
      <c r="I1127" s="12" t="str">
        <f t="shared" si="26"/>
        <v>Wed</v>
      </c>
      <c r="J1127" s="12" t="str">
        <f t="shared" si="27"/>
        <v>Jul</v>
      </c>
      <c r="K1127" s="12">
        <f t="shared" si="28"/>
        <v>3</v>
      </c>
      <c r="L1127" s="12">
        <f t="shared" si="29"/>
        <v>7</v>
      </c>
    </row>
    <row r="1128" spans="1:12" x14ac:dyDescent="0.3">
      <c r="A1128" s="6">
        <v>45504</v>
      </c>
      <c r="B1128" s="7">
        <v>45504.86887017361</v>
      </c>
      <c r="C1128" s="8">
        <f t="shared" si="24"/>
        <v>20</v>
      </c>
      <c r="D1128" s="8" t="s">
        <v>4</v>
      </c>
      <c r="E1128" s="8" t="s">
        <v>463</v>
      </c>
      <c r="F1128" s="9">
        <v>32.82</v>
      </c>
      <c r="G1128" s="8" t="s">
        <v>13</v>
      </c>
      <c r="H1128" s="8" t="str">
        <f t="shared" si="25"/>
        <v>Night</v>
      </c>
      <c r="I1128" s="8" t="str">
        <f t="shared" si="26"/>
        <v>Wed</v>
      </c>
      <c r="J1128" s="8" t="str">
        <f t="shared" si="27"/>
        <v>Jul</v>
      </c>
      <c r="K1128" s="8">
        <f t="shared" si="28"/>
        <v>3</v>
      </c>
      <c r="L1128" s="8">
        <f t="shared" si="29"/>
        <v>7</v>
      </c>
    </row>
    <row r="1129" spans="1:12" x14ac:dyDescent="0.3">
      <c r="A1129" s="10">
        <v>45504</v>
      </c>
      <c r="B1129" s="11">
        <v>45504.869615763891</v>
      </c>
      <c r="C1129" s="12">
        <f t="shared" si="24"/>
        <v>20</v>
      </c>
      <c r="D1129" s="12" t="s">
        <v>4</v>
      </c>
      <c r="E1129" s="12" t="s">
        <v>173</v>
      </c>
      <c r="F1129" s="13">
        <v>32.82</v>
      </c>
      <c r="G1129" s="12" t="s">
        <v>49</v>
      </c>
      <c r="H1129" s="12" t="str">
        <f t="shared" si="25"/>
        <v>Night</v>
      </c>
      <c r="I1129" s="12" t="str">
        <f t="shared" si="26"/>
        <v>Wed</v>
      </c>
      <c r="J1129" s="12" t="str">
        <f t="shared" si="27"/>
        <v>Jul</v>
      </c>
      <c r="K1129" s="12">
        <f t="shared" si="28"/>
        <v>3</v>
      </c>
      <c r="L1129" s="12">
        <f t="shared" si="29"/>
        <v>7</v>
      </c>
    </row>
    <row r="1130" spans="1:12" x14ac:dyDescent="0.3">
      <c r="A1130" s="6">
        <v>45504</v>
      </c>
      <c r="B1130" s="7">
        <v>45504.870544872683</v>
      </c>
      <c r="C1130" s="8">
        <f t="shared" si="24"/>
        <v>20</v>
      </c>
      <c r="D1130" s="8" t="s">
        <v>4</v>
      </c>
      <c r="E1130" s="8" t="s">
        <v>463</v>
      </c>
      <c r="F1130" s="9">
        <v>23.02</v>
      </c>
      <c r="G1130" s="8" t="s">
        <v>34</v>
      </c>
      <c r="H1130" s="8" t="str">
        <f t="shared" si="25"/>
        <v>Night</v>
      </c>
      <c r="I1130" s="8" t="str">
        <f t="shared" si="26"/>
        <v>Wed</v>
      </c>
      <c r="J1130" s="8" t="str">
        <f t="shared" si="27"/>
        <v>Jul</v>
      </c>
      <c r="K1130" s="8">
        <f t="shared" si="28"/>
        <v>3</v>
      </c>
      <c r="L1130" s="8">
        <f t="shared" si="29"/>
        <v>7</v>
      </c>
    </row>
    <row r="1131" spans="1:12" x14ac:dyDescent="0.3">
      <c r="A1131" s="10">
        <v>45504</v>
      </c>
      <c r="B1131" s="11">
        <v>45504.874595057867</v>
      </c>
      <c r="C1131" s="12">
        <f t="shared" si="24"/>
        <v>20</v>
      </c>
      <c r="D1131" s="12" t="s">
        <v>4</v>
      </c>
      <c r="E1131" s="12" t="s">
        <v>60</v>
      </c>
      <c r="F1131" s="13">
        <v>27.92</v>
      </c>
      <c r="G1131" s="12" t="s">
        <v>20</v>
      </c>
      <c r="H1131" s="12" t="str">
        <f t="shared" si="25"/>
        <v>Night</v>
      </c>
      <c r="I1131" s="12" t="str">
        <f t="shared" si="26"/>
        <v>Wed</v>
      </c>
      <c r="J1131" s="12" t="str">
        <f t="shared" si="27"/>
        <v>Jul</v>
      </c>
      <c r="K1131" s="12">
        <f t="shared" si="28"/>
        <v>3</v>
      </c>
      <c r="L1131" s="12">
        <f t="shared" si="29"/>
        <v>7</v>
      </c>
    </row>
    <row r="1132" spans="1:12" x14ac:dyDescent="0.3">
      <c r="A1132" s="6">
        <v>45504</v>
      </c>
      <c r="B1132" s="7">
        <v>45504.89335648148</v>
      </c>
      <c r="C1132" s="8">
        <f t="shared" si="24"/>
        <v>21</v>
      </c>
      <c r="D1132" s="8" t="s">
        <v>4</v>
      </c>
      <c r="E1132" s="8" t="s">
        <v>464</v>
      </c>
      <c r="F1132" s="9">
        <v>32.82</v>
      </c>
      <c r="G1132" s="8" t="s">
        <v>13</v>
      </c>
      <c r="H1132" s="8" t="str">
        <f t="shared" si="25"/>
        <v>Night</v>
      </c>
      <c r="I1132" s="8" t="str">
        <f t="shared" si="26"/>
        <v>Wed</v>
      </c>
      <c r="J1132" s="8" t="str">
        <f t="shared" si="27"/>
        <v>Jul</v>
      </c>
      <c r="K1132" s="8">
        <f t="shared" si="28"/>
        <v>3</v>
      </c>
      <c r="L1132" s="8">
        <f t="shared" si="29"/>
        <v>7</v>
      </c>
    </row>
    <row r="1133" spans="1:12" x14ac:dyDescent="0.3">
      <c r="A1133" s="10">
        <v>45504</v>
      </c>
      <c r="B1133" s="11">
        <v>45504.912636851848</v>
      </c>
      <c r="C1133" s="12">
        <f t="shared" si="24"/>
        <v>21</v>
      </c>
      <c r="D1133" s="12" t="s">
        <v>4</v>
      </c>
      <c r="E1133" s="12" t="s">
        <v>465</v>
      </c>
      <c r="F1133" s="13">
        <v>32.82</v>
      </c>
      <c r="G1133" s="12" t="s">
        <v>13</v>
      </c>
      <c r="H1133" s="12" t="str">
        <f t="shared" si="25"/>
        <v>Night</v>
      </c>
      <c r="I1133" s="12" t="str">
        <f t="shared" si="26"/>
        <v>Wed</v>
      </c>
      <c r="J1133" s="12" t="str">
        <f t="shared" si="27"/>
        <v>Jul</v>
      </c>
      <c r="K1133" s="12">
        <f t="shared" si="28"/>
        <v>3</v>
      </c>
      <c r="L1133" s="12">
        <f t="shared" si="29"/>
        <v>7</v>
      </c>
    </row>
    <row r="1134" spans="1:12" x14ac:dyDescent="0.3">
      <c r="A1134" s="6">
        <v>45504</v>
      </c>
      <c r="B1134" s="7">
        <v>45504.91338622685</v>
      </c>
      <c r="C1134" s="8">
        <f t="shared" si="24"/>
        <v>21</v>
      </c>
      <c r="D1134" s="8" t="s">
        <v>4</v>
      </c>
      <c r="E1134" s="8" t="s">
        <v>466</v>
      </c>
      <c r="F1134" s="9">
        <v>32.82</v>
      </c>
      <c r="G1134" s="8" t="s">
        <v>13</v>
      </c>
      <c r="H1134" s="8" t="str">
        <f t="shared" si="25"/>
        <v>Night</v>
      </c>
      <c r="I1134" s="8" t="str">
        <f t="shared" si="26"/>
        <v>Wed</v>
      </c>
      <c r="J1134" s="8" t="str">
        <f t="shared" si="27"/>
        <v>Jul</v>
      </c>
      <c r="K1134" s="8">
        <f t="shared" si="28"/>
        <v>3</v>
      </c>
      <c r="L1134" s="8">
        <f t="shared" si="29"/>
        <v>7</v>
      </c>
    </row>
    <row r="1135" spans="1:12" x14ac:dyDescent="0.3">
      <c r="A1135" s="10">
        <v>45505</v>
      </c>
      <c r="B1135" s="11">
        <v>45505.313195428243</v>
      </c>
      <c r="C1135" s="12">
        <f t="shared" si="24"/>
        <v>7</v>
      </c>
      <c r="D1135" s="12" t="s">
        <v>4</v>
      </c>
      <c r="E1135" s="12" t="s">
        <v>443</v>
      </c>
      <c r="F1135" s="13">
        <v>27.92</v>
      </c>
      <c r="G1135" s="12" t="s">
        <v>20</v>
      </c>
      <c r="H1135" s="12" t="str">
        <f t="shared" si="25"/>
        <v>Morning</v>
      </c>
      <c r="I1135" s="12" t="str">
        <f t="shared" si="26"/>
        <v>Thu</v>
      </c>
      <c r="J1135" s="12" t="str">
        <f t="shared" si="27"/>
        <v>Aug</v>
      </c>
      <c r="K1135" s="12">
        <f t="shared" si="28"/>
        <v>4</v>
      </c>
      <c r="L1135" s="12">
        <f t="shared" si="29"/>
        <v>8</v>
      </c>
    </row>
    <row r="1136" spans="1:12" x14ac:dyDescent="0.3">
      <c r="A1136" s="6">
        <v>45505</v>
      </c>
      <c r="B1136" s="7">
        <v>45505.392593287041</v>
      </c>
      <c r="C1136" s="8">
        <f t="shared" si="24"/>
        <v>9</v>
      </c>
      <c r="D1136" s="8" t="s">
        <v>4</v>
      </c>
      <c r="E1136" s="8" t="s">
        <v>296</v>
      </c>
      <c r="F1136" s="9">
        <v>27.92</v>
      </c>
      <c r="G1136" s="8" t="s">
        <v>20</v>
      </c>
      <c r="H1136" s="8" t="str">
        <f t="shared" si="25"/>
        <v>Morning</v>
      </c>
      <c r="I1136" s="8" t="str">
        <f t="shared" si="26"/>
        <v>Thu</v>
      </c>
      <c r="J1136" s="8" t="str">
        <f t="shared" si="27"/>
        <v>Aug</v>
      </c>
      <c r="K1136" s="8">
        <f t="shared" si="28"/>
        <v>4</v>
      </c>
      <c r="L1136" s="8">
        <f t="shared" si="29"/>
        <v>8</v>
      </c>
    </row>
    <row r="1137" spans="1:12" x14ac:dyDescent="0.3">
      <c r="A1137" s="10">
        <v>45505</v>
      </c>
      <c r="B1137" s="11">
        <v>45505.461273923611</v>
      </c>
      <c r="C1137" s="12">
        <f t="shared" si="24"/>
        <v>11</v>
      </c>
      <c r="D1137" s="12" t="s">
        <v>4</v>
      </c>
      <c r="E1137" s="12" t="s">
        <v>117</v>
      </c>
      <c r="F1137" s="13">
        <v>27.92</v>
      </c>
      <c r="G1137" s="12" t="s">
        <v>20</v>
      </c>
      <c r="H1137" s="12" t="str">
        <f t="shared" si="25"/>
        <v>Morning</v>
      </c>
      <c r="I1137" s="12" t="str">
        <f t="shared" si="26"/>
        <v>Thu</v>
      </c>
      <c r="J1137" s="12" t="str">
        <f t="shared" si="27"/>
        <v>Aug</v>
      </c>
      <c r="K1137" s="12">
        <f t="shared" si="28"/>
        <v>4</v>
      </c>
      <c r="L1137" s="12">
        <f t="shared" si="29"/>
        <v>8</v>
      </c>
    </row>
    <row r="1138" spans="1:12" x14ac:dyDescent="0.3">
      <c r="A1138" s="6">
        <v>45505</v>
      </c>
      <c r="B1138" s="7">
        <v>45505.474147789355</v>
      </c>
      <c r="C1138" s="8">
        <f t="shared" si="24"/>
        <v>11</v>
      </c>
      <c r="D1138" s="8" t="s">
        <v>4</v>
      </c>
      <c r="E1138" s="8" t="s">
        <v>467</v>
      </c>
      <c r="F1138" s="9">
        <v>27.92</v>
      </c>
      <c r="G1138" s="8" t="s">
        <v>20</v>
      </c>
      <c r="H1138" s="8" t="str">
        <f t="shared" si="25"/>
        <v>Morning</v>
      </c>
      <c r="I1138" s="8" t="str">
        <f t="shared" si="26"/>
        <v>Thu</v>
      </c>
      <c r="J1138" s="8" t="str">
        <f t="shared" si="27"/>
        <v>Aug</v>
      </c>
      <c r="K1138" s="8">
        <f t="shared" si="28"/>
        <v>4</v>
      </c>
      <c r="L1138" s="8">
        <f t="shared" si="29"/>
        <v>8</v>
      </c>
    </row>
    <row r="1139" spans="1:12" x14ac:dyDescent="0.3">
      <c r="A1139" s="10">
        <v>45505</v>
      </c>
      <c r="B1139" s="11">
        <v>45505.557483807868</v>
      </c>
      <c r="C1139" s="12">
        <f t="shared" si="24"/>
        <v>13</v>
      </c>
      <c r="D1139" s="12" t="s">
        <v>4</v>
      </c>
      <c r="E1139" s="12" t="s">
        <v>468</v>
      </c>
      <c r="F1139" s="13">
        <v>23.02</v>
      </c>
      <c r="G1139" s="12" t="s">
        <v>34</v>
      </c>
      <c r="H1139" s="12" t="str">
        <f t="shared" si="25"/>
        <v>Afternoon</v>
      </c>
      <c r="I1139" s="12" t="str">
        <f t="shared" si="26"/>
        <v>Thu</v>
      </c>
      <c r="J1139" s="12" t="str">
        <f t="shared" si="27"/>
        <v>Aug</v>
      </c>
      <c r="K1139" s="12">
        <f t="shared" si="28"/>
        <v>4</v>
      </c>
      <c r="L1139" s="12">
        <f t="shared" si="29"/>
        <v>8</v>
      </c>
    </row>
    <row r="1140" spans="1:12" x14ac:dyDescent="0.3">
      <c r="A1140" s="6">
        <v>45505</v>
      </c>
      <c r="B1140" s="7">
        <v>45505.558070763887</v>
      </c>
      <c r="C1140" s="8">
        <f t="shared" si="24"/>
        <v>13</v>
      </c>
      <c r="D1140" s="8" t="s">
        <v>4</v>
      </c>
      <c r="E1140" s="8" t="s">
        <v>468</v>
      </c>
      <c r="F1140" s="9">
        <v>32.82</v>
      </c>
      <c r="G1140" s="8" t="s">
        <v>49</v>
      </c>
      <c r="H1140" s="8" t="str">
        <f t="shared" si="25"/>
        <v>Afternoon</v>
      </c>
      <c r="I1140" s="8" t="str">
        <f t="shared" si="26"/>
        <v>Thu</v>
      </c>
      <c r="J1140" s="8" t="str">
        <f t="shared" si="27"/>
        <v>Aug</v>
      </c>
      <c r="K1140" s="8">
        <f t="shared" si="28"/>
        <v>4</v>
      </c>
      <c r="L1140" s="8">
        <f t="shared" si="29"/>
        <v>8</v>
      </c>
    </row>
    <row r="1141" spans="1:12" x14ac:dyDescent="0.3">
      <c r="A1141" s="10">
        <v>45505</v>
      </c>
      <c r="B1141" s="11">
        <v>45505.575778530096</v>
      </c>
      <c r="C1141" s="12">
        <f t="shared" si="24"/>
        <v>13</v>
      </c>
      <c r="D1141" s="12" t="s">
        <v>4</v>
      </c>
      <c r="E1141" s="12" t="s">
        <v>469</v>
      </c>
      <c r="F1141" s="13">
        <v>32.82</v>
      </c>
      <c r="G1141" s="12" t="s">
        <v>49</v>
      </c>
      <c r="H1141" s="12" t="str">
        <f t="shared" si="25"/>
        <v>Afternoon</v>
      </c>
      <c r="I1141" s="12" t="str">
        <f t="shared" si="26"/>
        <v>Thu</v>
      </c>
      <c r="J1141" s="12" t="str">
        <f t="shared" si="27"/>
        <v>Aug</v>
      </c>
      <c r="K1141" s="12">
        <f t="shared" si="28"/>
        <v>4</v>
      </c>
      <c r="L1141" s="12">
        <f t="shared" si="29"/>
        <v>8</v>
      </c>
    </row>
    <row r="1142" spans="1:12" x14ac:dyDescent="0.3">
      <c r="A1142" s="6">
        <v>45505</v>
      </c>
      <c r="B1142" s="7">
        <v>45505.655368287036</v>
      </c>
      <c r="C1142" s="8">
        <f t="shared" si="24"/>
        <v>15</v>
      </c>
      <c r="D1142" s="8" t="s">
        <v>4</v>
      </c>
      <c r="E1142" s="8" t="s">
        <v>443</v>
      </c>
      <c r="F1142" s="9">
        <v>27.92</v>
      </c>
      <c r="G1142" s="8" t="s">
        <v>20</v>
      </c>
      <c r="H1142" s="8" t="str">
        <f t="shared" si="25"/>
        <v>Afternoon</v>
      </c>
      <c r="I1142" s="8" t="str">
        <f t="shared" si="26"/>
        <v>Thu</v>
      </c>
      <c r="J1142" s="8" t="str">
        <f t="shared" si="27"/>
        <v>Aug</v>
      </c>
      <c r="K1142" s="8">
        <f t="shared" si="28"/>
        <v>4</v>
      </c>
      <c r="L1142" s="8">
        <f t="shared" si="29"/>
        <v>8</v>
      </c>
    </row>
    <row r="1143" spans="1:12" x14ac:dyDescent="0.3">
      <c r="A1143" s="10">
        <v>45505</v>
      </c>
      <c r="B1143" s="11">
        <v>45505.683341006945</v>
      </c>
      <c r="C1143" s="12">
        <f t="shared" si="24"/>
        <v>16</v>
      </c>
      <c r="D1143" s="12" t="s">
        <v>4</v>
      </c>
      <c r="E1143" s="12" t="s">
        <v>470</v>
      </c>
      <c r="F1143" s="13">
        <v>27.92</v>
      </c>
      <c r="G1143" s="12" t="s">
        <v>20</v>
      </c>
      <c r="H1143" s="12" t="str">
        <f t="shared" si="25"/>
        <v>Afternoon</v>
      </c>
      <c r="I1143" s="12" t="str">
        <f t="shared" si="26"/>
        <v>Thu</v>
      </c>
      <c r="J1143" s="12" t="str">
        <f t="shared" si="27"/>
        <v>Aug</v>
      </c>
      <c r="K1143" s="12">
        <f t="shared" si="28"/>
        <v>4</v>
      </c>
      <c r="L1143" s="12">
        <f t="shared" si="29"/>
        <v>8</v>
      </c>
    </row>
    <row r="1144" spans="1:12" x14ac:dyDescent="0.3">
      <c r="A1144" s="6">
        <v>45505</v>
      </c>
      <c r="B1144" s="7">
        <v>45505.684807071761</v>
      </c>
      <c r="C1144" s="8">
        <f t="shared" si="24"/>
        <v>16</v>
      </c>
      <c r="D1144" s="8" t="s">
        <v>4</v>
      </c>
      <c r="E1144" s="8" t="s">
        <v>470</v>
      </c>
      <c r="F1144" s="9">
        <v>23.02</v>
      </c>
      <c r="G1144" s="8" t="s">
        <v>17</v>
      </c>
      <c r="H1144" s="8" t="str">
        <f t="shared" si="25"/>
        <v>Afternoon</v>
      </c>
      <c r="I1144" s="8" t="str">
        <f t="shared" si="26"/>
        <v>Thu</v>
      </c>
      <c r="J1144" s="8" t="str">
        <f t="shared" si="27"/>
        <v>Aug</v>
      </c>
      <c r="K1144" s="8">
        <f t="shared" si="28"/>
        <v>4</v>
      </c>
      <c r="L1144" s="8">
        <f t="shared" si="29"/>
        <v>8</v>
      </c>
    </row>
    <row r="1145" spans="1:12" x14ac:dyDescent="0.3">
      <c r="A1145" s="10">
        <v>45505</v>
      </c>
      <c r="B1145" s="11">
        <v>45505.724713402778</v>
      </c>
      <c r="C1145" s="12">
        <f t="shared" si="24"/>
        <v>17</v>
      </c>
      <c r="D1145" s="12" t="s">
        <v>4</v>
      </c>
      <c r="E1145" s="12" t="s">
        <v>471</v>
      </c>
      <c r="F1145" s="13">
        <v>23.02</v>
      </c>
      <c r="G1145" s="12" t="s">
        <v>17</v>
      </c>
      <c r="H1145" s="12" t="str">
        <f t="shared" si="25"/>
        <v>Night</v>
      </c>
      <c r="I1145" s="12" t="str">
        <f t="shared" si="26"/>
        <v>Thu</v>
      </c>
      <c r="J1145" s="12" t="str">
        <f t="shared" si="27"/>
        <v>Aug</v>
      </c>
      <c r="K1145" s="12">
        <f t="shared" si="28"/>
        <v>4</v>
      </c>
      <c r="L1145" s="12">
        <f t="shared" si="29"/>
        <v>8</v>
      </c>
    </row>
    <row r="1146" spans="1:12" x14ac:dyDescent="0.3">
      <c r="A1146" s="6">
        <v>45505</v>
      </c>
      <c r="B1146" s="7">
        <v>45505.862130995367</v>
      </c>
      <c r="C1146" s="8">
        <f t="shared" si="24"/>
        <v>20</v>
      </c>
      <c r="D1146" s="8" t="s">
        <v>4</v>
      </c>
      <c r="E1146" s="8" t="s">
        <v>472</v>
      </c>
      <c r="F1146" s="9">
        <v>32.82</v>
      </c>
      <c r="G1146" s="8" t="s">
        <v>49</v>
      </c>
      <c r="H1146" s="8" t="str">
        <f t="shared" si="25"/>
        <v>Night</v>
      </c>
      <c r="I1146" s="8" t="str">
        <f t="shared" si="26"/>
        <v>Thu</v>
      </c>
      <c r="J1146" s="8" t="str">
        <f t="shared" si="27"/>
        <v>Aug</v>
      </c>
      <c r="K1146" s="8">
        <f t="shared" si="28"/>
        <v>4</v>
      </c>
      <c r="L1146" s="8">
        <f t="shared" si="29"/>
        <v>8</v>
      </c>
    </row>
    <row r="1147" spans="1:12" x14ac:dyDescent="0.3">
      <c r="A1147" s="10">
        <v>45506</v>
      </c>
      <c r="B1147" s="11">
        <v>45506.376321354168</v>
      </c>
      <c r="C1147" s="12">
        <f t="shared" si="24"/>
        <v>9</v>
      </c>
      <c r="D1147" s="12" t="s">
        <v>4</v>
      </c>
      <c r="E1147" s="12" t="s">
        <v>473</v>
      </c>
      <c r="F1147" s="13">
        <v>27.92</v>
      </c>
      <c r="G1147" s="12" t="s">
        <v>20</v>
      </c>
      <c r="H1147" s="12" t="str">
        <f t="shared" si="25"/>
        <v>Morning</v>
      </c>
      <c r="I1147" s="12" t="str">
        <f t="shared" si="26"/>
        <v>Fri</v>
      </c>
      <c r="J1147" s="12" t="str">
        <f t="shared" si="27"/>
        <v>Aug</v>
      </c>
      <c r="K1147" s="12">
        <f t="shared" si="28"/>
        <v>5</v>
      </c>
      <c r="L1147" s="12">
        <f t="shared" si="29"/>
        <v>8</v>
      </c>
    </row>
    <row r="1148" spans="1:12" x14ac:dyDescent="0.3">
      <c r="A1148" s="6">
        <v>45506</v>
      </c>
      <c r="B1148" s="7">
        <v>45506.399339108793</v>
      </c>
      <c r="C1148" s="8">
        <f t="shared" si="24"/>
        <v>9</v>
      </c>
      <c r="D1148" s="8" t="s">
        <v>4</v>
      </c>
      <c r="E1148" s="8" t="s">
        <v>117</v>
      </c>
      <c r="F1148" s="9">
        <v>27.92</v>
      </c>
      <c r="G1148" s="8" t="s">
        <v>20</v>
      </c>
      <c r="H1148" s="8" t="str">
        <f t="shared" si="25"/>
        <v>Morning</v>
      </c>
      <c r="I1148" s="8" t="str">
        <f t="shared" si="26"/>
        <v>Fri</v>
      </c>
      <c r="J1148" s="8" t="str">
        <f t="shared" si="27"/>
        <v>Aug</v>
      </c>
      <c r="K1148" s="8">
        <f t="shared" si="28"/>
        <v>5</v>
      </c>
      <c r="L1148" s="8">
        <f t="shared" si="29"/>
        <v>8</v>
      </c>
    </row>
    <row r="1149" spans="1:12" x14ac:dyDescent="0.3">
      <c r="A1149" s="10">
        <v>45506</v>
      </c>
      <c r="B1149" s="11">
        <v>45506.464808622688</v>
      </c>
      <c r="C1149" s="12">
        <f t="shared" si="24"/>
        <v>11</v>
      </c>
      <c r="D1149" s="12" t="s">
        <v>4</v>
      </c>
      <c r="E1149" s="12" t="s">
        <v>161</v>
      </c>
      <c r="F1149" s="13">
        <v>23.02</v>
      </c>
      <c r="G1149" s="12" t="s">
        <v>34</v>
      </c>
      <c r="H1149" s="12" t="str">
        <f t="shared" si="25"/>
        <v>Morning</v>
      </c>
      <c r="I1149" s="12" t="str">
        <f t="shared" si="26"/>
        <v>Fri</v>
      </c>
      <c r="J1149" s="12" t="str">
        <f t="shared" si="27"/>
        <v>Aug</v>
      </c>
      <c r="K1149" s="12">
        <f t="shared" si="28"/>
        <v>5</v>
      </c>
      <c r="L1149" s="12">
        <f t="shared" si="29"/>
        <v>8</v>
      </c>
    </row>
    <row r="1150" spans="1:12" x14ac:dyDescent="0.3">
      <c r="A1150" s="6">
        <v>45506</v>
      </c>
      <c r="B1150" s="7">
        <v>45506.755963912037</v>
      </c>
      <c r="C1150" s="8">
        <f t="shared" si="24"/>
        <v>18</v>
      </c>
      <c r="D1150" s="8" t="s">
        <v>4</v>
      </c>
      <c r="E1150" s="8" t="s">
        <v>474</v>
      </c>
      <c r="F1150" s="9">
        <v>27.92</v>
      </c>
      <c r="G1150" s="8" t="s">
        <v>20</v>
      </c>
      <c r="H1150" s="8" t="str">
        <f t="shared" si="25"/>
        <v>Night</v>
      </c>
      <c r="I1150" s="8" t="str">
        <f t="shared" si="26"/>
        <v>Fri</v>
      </c>
      <c r="J1150" s="8" t="str">
        <f t="shared" si="27"/>
        <v>Aug</v>
      </c>
      <c r="K1150" s="8">
        <f t="shared" si="28"/>
        <v>5</v>
      </c>
      <c r="L1150" s="8">
        <f t="shared" si="29"/>
        <v>8</v>
      </c>
    </row>
    <row r="1151" spans="1:12" x14ac:dyDescent="0.3">
      <c r="A1151" s="10">
        <v>45506</v>
      </c>
      <c r="B1151" s="11">
        <v>45506.891022673612</v>
      </c>
      <c r="C1151" s="12">
        <f t="shared" si="24"/>
        <v>21</v>
      </c>
      <c r="D1151" s="12" t="s">
        <v>4</v>
      </c>
      <c r="E1151" s="12" t="s">
        <v>25</v>
      </c>
      <c r="F1151" s="13">
        <v>32.82</v>
      </c>
      <c r="G1151" s="12" t="s">
        <v>13</v>
      </c>
      <c r="H1151" s="12" t="str">
        <f t="shared" si="25"/>
        <v>Night</v>
      </c>
      <c r="I1151" s="12" t="str">
        <f t="shared" si="26"/>
        <v>Fri</v>
      </c>
      <c r="J1151" s="12" t="str">
        <f t="shared" si="27"/>
        <v>Aug</v>
      </c>
      <c r="K1151" s="12">
        <f t="shared" si="28"/>
        <v>5</v>
      </c>
      <c r="L1151" s="12">
        <f t="shared" si="29"/>
        <v>8</v>
      </c>
    </row>
    <row r="1152" spans="1:12" x14ac:dyDescent="0.3">
      <c r="A1152" s="6">
        <v>45507</v>
      </c>
      <c r="B1152" s="7">
        <v>45507.370678831016</v>
      </c>
      <c r="C1152" s="8">
        <f t="shared" si="24"/>
        <v>8</v>
      </c>
      <c r="D1152" s="8" t="s">
        <v>4</v>
      </c>
      <c r="E1152" s="8" t="s">
        <v>117</v>
      </c>
      <c r="F1152" s="9">
        <v>27.92</v>
      </c>
      <c r="G1152" s="8" t="s">
        <v>20</v>
      </c>
      <c r="H1152" s="8" t="str">
        <f t="shared" si="25"/>
        <v>Morning</v>
      </c>
      <c r="I1152" s="8" t="str">
        <f t="shared" si="26"/>
        <v>Sat</v>
      </c>
      <c r="J1152" s="8" t="str">
        <f t="shared" si="27"/>
        <v>Aug</v>
      </c>
      <c r="K1152" s="8">
        <f t="shared" si="28"/>
        <v>6</v>
      </c>
      <c r="L1152" s="8">
        <f t="shared" si="29"/>
        <v>8</v>
      </c>
    </row>
    <row r="1153" spans="1:12" x14ac:dyDescent="0.3">
      <c r="A1153" s="10">
        <v>45507</v>
      </c>
      <c r="B1153" s="11">
        <v>45507.400916817132</v>
      </c>
      <c r="C1153" s="12">
        <f t="shared" si="24"/>
        <v>9</v>
      </c>
      <c r="D1153" s="12" t="s">
        <v>4</v>
      </c>
      <c r="E1153" s="12" t="s">
        <v>421</v>
      </c>
      <c r="F1153" s="13">
        <v>27.92</v>
      </c>
      <c r="G1153" s="12" t="s">
        <v>20</v>
      </c>
      <c r="H1153" s="12" t="str">
        <f t="shared" si="25"/>
        <v>Morning</v>
      </c>
      <c r="I1153" s="12" t="str">
        <f t="shared" si="26"/>
        <v>Sat</v>
      </c>
      <c r="J1153" s="12" t="str">
        <f t="shared" si="27"/>
        <v>Aug</v>
      </c>
      <c r="K1153" s="12">
        <f t="shared" si="28"/>
        <v>6</v>
      </c>
      <c r="L1153" s="12">
        <f t="shared" si="29"/>
        <v>8</v>
      </c>
    </row>
    <row r="1154" spans="1:12" x14ac:dyDescent="0.3">
      <c r="A1154" s="6">
        <v>45507</v>
      </c>
      <c r="B1154" s="7">
        <v>45507.401863541665</v>
      </c>
      <c r="C1154" s="8">
        <f t="shared" si="24"/>
        <v>9</v>
      </c>
      <c r="D1154" s="8" t="s">
        <v>4</v>
      </c>
      <c r="E1154" s="8" t="s">
        <v>421</v>
      </c>
      <c r="F1154" s="9">
        <v>27.92</v>
      </c>
      <c r="G1154" s="8" t="s">
        <v>20</v>
      </c>
      <c r="H1154" s="8" t="str">
        <f t="shared" si="25"/>
        <v>Morning</v>
      </c>
      <c r="I1154" s="8" t="str">
        <f t="shared" si="26"/>
        <v>Sat</v>
      </c>
      <c r="J1154" s="8" t="str">
        <f t="shared" si="27"/>
        <v>Aug</v>
      </c>
      <c r="K1154" s="8">
        <f t="shared" si="28"/>
        <v>6</v>
      </c>
      <c r="L1154" s="8">
        <f t="shared" si="29"/>
        <v>8</v>
      </c>
    </row>
    <row r="1155" spans="1:12" x14ac:dyDescent="0.3">
      <c r="A1155" s="10">
        <v>45507</v>
      </c>
      <c r="B1155" s="11">
        <v>45507.425296875001</v>
      </c>
      <c r="C1155" s="12">
        <f t="shared" si="24"/>
        <v>10</v>
      </c>
      <c r="D1155" s="12" t="s">
        <v>4</v>
      </c>
      <c r="E1155" s="12" t="s">
        <v>324</v>
      </c>
      <c r="F1155" s="13">
        <v>27.92</v>
      </c>
      <c r="G1155" s="12" t="s">
        <v>20</v>
      </c>
      <c r="H1155" s="12" t="str">
        <f t="shared" si="25"/>
        <v>Morning</v>
      </c>
      <c r="I1155" s="12" t="str">
        <f t="shared" si="26"/>
        <v>Sat</v>
      </c>
      <c r="J1155" s="12" t="str">
        <f t="shared" si="27"/>
        <v>Aug</v>
      </c>
      <c r="K1155" s="12">
        <f t="shared" si="28"/>
        <v>6</v>
      </c>
      <c r="L1155" s="12">
        <f t="shared" si="29"/>
        <v>8</v>
      </c>
    </row>
    <row r="1156" spans="1:12" x14ac:dyDescent="0.3">
      <c r="A1156" s="6">
        <v>45507</v>
      </c>
      <c r="B1156" s="7">
        <v>45507.472529756946</v>
      </c>
      <c r="C1156" s="8">
        <f t="shared" si="24"/>
        <v>11</v>
      </c>
      <c r="D1156" s="8" t="s">
        <v>4</v>
      </c>
      <c r="E1156" s="8" t="s">
        <v>475</v>
      </c>
      <c r="F1156" s="9">
        <v>23.02</v>
      </c>
      <c r="G1156" s="8" t="s">
        <v>34</v>
      </c>
      <c r="H1156" s="8" t="str">
        <f t="shared" si="25"/>
        <v>Morning</v>
      </c>
      <c r="I1156" s="8" t="str">
        <f t="shared" si="26"/>
        <v>Sat</v>
      </c>
      <c r="J1156" s="8" t="str">
        <f t="shared" si="27"/>
        <v>Aug</v>
      </c>
      <c r="K1156" s="8">
        <f t="shared" si="28"/>
        <v>6</v>
      </c>
      <c r="L1156" s="8">
        <f t="shared" si="29"/>
        <v>8</v>
      </c>
    </row>
    <row r="1157" spans="1:12" x14ac:dyDescent="0.3">
      <c r="A1157" s="10">
        <v>45507</v>
      </c>
      <c r="B1157" s="11">
        <v>45507.473171296297</v>
      </c>
      <c r="C1157" s="12">
        <f t="shared" si="24"/>
        <v>11</v>
      </c>
      <c r="D1157" s="12" t="s">
        <v>4</v>
      </c>
      <c r="E1157" s="12" t="s">
        <v>475</v>
      </c>
      <c r="F1157" s="13">
        <v>23.02</v>
      </c>
      <c r="G1157" s="12" t="s">
        <v>34</v>
      </c>
      <c r="H1157" s="12" t="str">
        <f t="shared" si="25"/>
        <v>Morning</v>
      </c>
      <c r="I1157" s="12" t="str">
        <f t="shared" si="26"/>
        <v>Sat</v>
      </c>
      <c r="J1157" s="12" t="str">
        <f t="shared" si="27"/>
        <v>Aug</v>
      </c>
      <c r="K1157" s="12">
        <f t="shared" si="28"/>
        <v>6</v>
      </c>
      <c r="L1157" s="12">
        <f t="shared" si="29"/>
        <v>8</v>
      </c>
    </row>
    <row r="1158" spans="1:12" x14ac:dyDescent="0.3">
      <c r="A1158" s="6">
        <v>45507</v>
      </c>
      <c r="B1158" s="7">
        <v>45507.497646157404</v>
      </c>
      <c r="C1158" s="8">
        <f t="shared" si="24"/>
        <v>11</v>
      </c>
      <c r="D1158" s="8" t="s">
        <v>4</v>
      </c>
      <c r="E1158" s="8" t="s">
        <v>60</v>
      </c>
      <c r="F1158" s="9">
        <v>18.12</v>
      </c>
      <c r="G1158" s="8" t="s">
        <v>41</v>
      </c>
      <c r="H1158" s="8" t="str">
        <f t="shared" si="25"/>
        <v>Morning</v>
      </c>
      <c r="I1158" s="8" t="str">
        <f t="shared" si="26"/>
        <v>Sat</v>
      </c>
      <c r="J1158" s="8" t="str">
        <f t="shared" si="27"/>
        <v>Aug</v>
      </c>
      <c r="K1158" s="8">
        <f t="shared" si="28"/>
        <v>6</v>
      </c>
      <c r="L1158" s="8">
        <f t="shared" si="29"/>
        <v>8</v>
      </c>
    </row>
    <row r="1159" spans="1:12" x14ac:dyDescent="0.3">
      <c r="A1159" s="10">
        <v>45507</v>
      </c>
      <c r="B1159" s="11">
        <v>45507.498278622683</v>
      </c>
      <c r="C1159" s="12">
        <f t="shared" si="24"/>
        <v>11</v>
      </c>
      <c r="D1159" s="12" t="s">
        <v>4</v>
      </c>
      <c r="E1159" s="12" t="s">
        <v>60</v>
      </c>
      <c r="F1159" s="13">
        <v>27.92</v>
      </c>
      <c r="G1159" s="12" t="s">
        <v>20</v>
      </c>
      <c r="H1159" s="12" t="str">
        <f t="shared" si="25"/>
        <v>Morning</v>
      </c>
      <c r="I1159" s="12" t="str">
        <f t="shared" si="26"/>
        <v>Sat</v>
      </c>
      <c r="J1159" s="12" t="str">
        <f t="shared" si="27"/>
        <v>Aug</v>
      </c>
      <c r="K1159" s="12">
        <f t="shared" si="28"/>
        <v>6</v>
      </c>
      <c r="L1159" s="12">
        <f t="shared" si="29"/>
        <v>8</v>
      </c>
    </row>
    <row r="1160" spans="1:12" x14ac:dyDescent="0.3">
      <c r="A1160" s="6">
        <v>45507</v>
      </c>
      <c r="B1160" s="7">
        <v>45507.50249741898</v>
      </c>
      <c r="C1160" s="8">
        <f t="shared" si="24"/>
        <v>12</v>
      </c>
      <c r="D1160" s="8" t="s">
        <v>4</v>
      </c>
      <c r="E1160" s="8" t="s">
        <v>60</v>
      </c>
      <c r="F1160" s="9">
        <v>27.92</v>
      </c>
      <c r="G1160" s="8" t="s">
        <v>20</v>
      </c>
      <c r="H1160" s="8" t="str">
        <f t="shared" si="25"/>
        <v>Afternoon</v>
      </c>
      <c r="I1160" s="8" t="str">
        <f t="shared" si="26"/>
        <v>Sat</v>
      </c>
      <c r="J1160" s="8" t="str">
        <f t="shared" si="27"/>
        <v>Aug</v>
      </c>
      <c r="K1160" s="8">
        <f t="shared" si="28"/>
        <v>6</v>
      </c>
      <c r="L1160" s="8">
        <f t="shared" si="29"/>
        <v>8</v>
      </c>
    </row>
    <row r="1161" spans="1:12" x14ac:dyDescent="0.3">
      <c r="A1161" s="10">
        <v>45507</v>
      </c>
      <c r="B1161" s="11">
        <v>45507.704165821757</v>
      </c>
      <c r="C1161" s="12">
        <f t="shared" si="24"/>
        <v>16</v>
      </c>
      <c r="D1161" s="12" t="s">
        <v>4</v>
      </c>
      <c r="E1161" s="12" t="s">
        <v>342</v>
      </c>
      <c r="F1161" s="13">
        <v>27.92</v>
      </c>
      <c r="G1161" s="12" t="s">
        <v>20</v>
      </c>
      <c r="H1161" s="12" t="str">
        <f t="shared" si="25"/>
        <v>Afternoon</v>
      </c>
      <c r="I1161" s="12" t="str">
        <f t="shared" si="26"/>
        <v>Sat</v>
      </c>
      <c r="J1161" s="12" t="str">
        <f t="shared" si="27"/>
        <v>Aug</v>
      </c>
      <c r="K1161" s="12">
        <f t="shared" si="28"/>
        <v>6</v>
      </c>
      <c r="L1161" s="12">
        <f t="shared" si="29"/>
        <v>8</v>
      </c>
    </row>
    <row r="1162" spans="1:12" x14ac:dyDescent="0.3">
      <c r="A1162" s="6">
        <v>45507</v>
      </c>
      <c r="B1162" s="7">
        <v>45507.77687530093</v>
      </c>
      <c r="C1162" s="8">
        <f t="shared" si="24"/>
        <v>18</v>
      </c>
      <c r="D1162" s="8" t="s">
        <v>4</v>
      </c>
      <c r="E1162" s="8" t="s">
        <v>476</v>
      </c>
      <c r="F1162" s="9">
        <v>32.82</v>
      </c>
      <c r="G1162" s="8" t="s">
        <v>49</v>
      </c>
      <c r="H1162" s="8" t="str">
        <f t="shared" si="25"/>
        <v>Night</v>
      </c>
      <c r="I1162" s="8" t="str">
        <f t="shared" si="26"/>
        <v>Sat</v>
      </c>
      <c r="J1162" s="8" t="str">
        <f t="shared" si="27"/>
        <v>Aug</v>
      </c>
      <c r="K1162" s="8">
        <f t="shared" si="28"/>
        <v>6</v>
      </c>
      <c r="L1162" s="8">
        <f t="shared" si="29"/>
        <v>8</v>
      </c>
    </row>
    <row r="1163" spans="1:12" x14ac:dyDescent="0.3">
      <c r="A1163" s="10">
        <v>45507</v>
      </c>
      <c r="B1163" s="11">
        <v>45507.896399976853</v>
      </c>
      <c r="C1163" s="12">
        <f t="shared" si="24"/>
        <v>21</v>
      </c>
      <c r="D1163" s="12" t="s">
        <v>4</v>
      </c>
      <c r="E1163" s="12" t="s">
        <v>477</v>
      </c>
      <c r="F1163" s="13">
        <v>32.82</v>
      </c>
      <c r="G1163" s="12" t="s">
        <v>13</v>
      </c>
      <c r="H1163" s="12" t="str">
        <f t="shared" si="25"/>
        <v>Night</v>
      </c>
      <c r="I1163" s="12" t="str">
        <f t="shared" si="26"/>
        <v>Sat</v>
      </c>
      <c r="J1163" s="12" t="str">
        <f t="shared" si="27"/>
        <v>Aug</v>
      </c>
      <c r="K1163" s="12">
        <f t="shared" si="28"/>
        <v>6</v>
      </c>
      <c r="L1163" s="12">
        <f t="shared" si="29"/>
        <v>8</v>
      </c>
    </row>
    <row r="1164" spans="1:12" x14ac:dyDescent="0.3">
      <c r="A1164" s="6">
        <v>45507</v>
      </c>
      <c r="B1164" s="7">
        <v>45507.897989178244</v>
      </c>
      <c r="C1164" s="8">
        <f t="shared" si="24"/>
        <v>21</v>
      </c>
      <c r="D1164" s="8" t="s">
        <v>4</v>
      </c>
      <c r="E1164" s="8" t="s">
        <v>477</v>
      </c>
      <c r="F1164" s="9">
        <v>32.82</v>
      </c>
      <c r="G1164" s="8" t="s">
        <v>13</v>
      </c>
      <c r="H1164" s="8" t="str">
        <f t="shared" si="25"/>
        <v>Night</v>
      </c>
      <c r="I1164" s="8" t="str">
        <f t="shared" si="26"/>
        <v>Sat</v>
      </c>
      <c r="J1164" s="8" t="str">
        <f t="shared" si="27"/>
        <v>Aug</v>
      </c>
      <c r="K1164" s="8">
        <f t="shared" si="28"/>
        <v>6</v>
      </c>
      <c r="L1164" s="8">
        <f t="shared" si="29"/>
        <v>8</v>
      </c>
    </row>
    <row r="1165" spans="1:12" x14ac:dyDescent="0.3">
      <c r="A1165" s="10">
        <v>45508</v>
      </c>
      <c r="B1165" s="11">
        <v>45508.346265208333</v>
      </c>
      <c r="C1165" s="12">
        <f t="shared" si="24"/>
        <v>8</v>
      </c>
      <c r="D1165" s="12" t="s">
        <v>4</v>
      </c>
      <c r="E1165" s="12" t="s">
        <v>478</v>
      </c>
      <c r="F1165" s="13">
        <v>32.82</v>
      </c>
      <c r="G1165" s="12" t="s">
        <v>49</v>
      </c>
      <c r="H1165" s="12" t="str">
        <f t="shared" si="25"/>
        <v>Morning</v>
      </c>
      <c r="I1165" s="12" t="str">
        <f t="shared" si="26"/>
        <v>Sun</v>
      </c>
      <c r="J1165" s="12" t="str">
        <f t="shared" si="27"/>
        <v>Aug</v>
      </c>
      <c r="K1165" s="12">
        <f t="shared" si="28"/>
        <v>7</v>
      </c>
      <c r="L1165" s="12">
        <f t="shared" si="29"/>
        <v>8</v>
      </c>
    </row>
    <row r="1166" spans="1:12" x14ac:dyDescent="0.3">
      <c r="A1166" s="6">
        <v>45508</v>
      </c>
      <c r="B1166" s="7">
        <v>45508.442952581019</v>
      </c>
      <c r="C1166" s="8">
        <f t="shared" si="24"/>
        <v>10</v>
      </c>
      <c r="D1166" s="8" t="s">
        <v>4</v>
      </c>
      <c r="E1166" s="8" t="s">
        <v>60</v>
      </c>
      <c r="F1166" s="9">
        <v>27.92</v>
      </c>
      <c r="G1166" s="8" t="s">
        <v>20</v>
      </c>
      <c r="H1166" s="8" t="str">
        <f t="shared" si="25"/>
        <v>Morning</v>
      </c>
      <c r="I1166" s="8" t="str">
        <f t="shared" si="26"/>
        <v>Sun</v>
      </c>
      <c r="J1166" s="8" t="str">
        <f t="shared" si="27"/>
        <v>Aug</v>
      </c>
      <c r="K1166" s="8">
        <f t="shared" si="28"/>
        <v>7</v>
      </c>
      <c r="L1166" s="8">
        <f t="shared" si="29"/>
        <v>8</v>
      </c>
    </row>
    <row r="1167" spans="1:12" x14ac:dyDescent="0.3">
      <c r="A1167" s="10">
        <v>45508</v>
      </c>
      <c r="B1167" s="11">
        <v>45508.493687534719</v>
      </c>
      <c r="C1167" s="12">
        <f t="shared" si="24"/>
        <v>11</v>
      </c>
      <c r="D1167" s="12" t="s">
        <v>4</v>
      </c>
      <c r="E1167" s="12" t="s">
        <v>278</v>
      </c>
      <c r="F1167" s="13">
        <v>32.82</v>
      </c>
      <c r="G1167" s="12" t="s">
        <v>49</v>
      </c>
      <c r="H1167" s="12" t="str">
        <f t="shared" si="25"/>
        <v>Morning</v>
      </c>
      <c r="I1167" s="12" t="str">
        <f t="shared" si="26"/>
        <v>Sun</v>
      </c>
      <c r="J1167" s="12" t="str">
        <f t="shared" si="27"/>
        <v>Aug</v>
      </c>
      <c r="K1167" s="12">
        <f t="shared" si="28"/>
        <v>7</v>
      </c>
      <c r="L1167" s="12">
        <f t="shared" si="29"/>
        <v>8</v>
      </c>
    </row>
    <row r="1168" spans="1:12" x14ac:dyDescent="0.3">
      <c r="A1168" s="6">
        <v>45508</v>
      </c>
      <c r="B1168" s="7">
        <v>45508.494826585651</v>
      </c>
      <c r="C1168" s="8">
        <f t="shared" si="24"/>
        <v>11</v>
      </c>
      <c r="D1168" s="8" t="s">
        <v>4</v>
      </c>
      <c r="E1168" s="8" t="s">
        <v>278</v>
      </c>
      <c r="F1168" s="9">
        <v>27.92</v>
      </c>
      <c r="G1168" s="8" t="s">
        <v>20</v>
      </c>
      <c r="H1168" s="8" t="str">
        <f t="shared" si="25"/>
        <v>Morning</v>
      </c>
      <c r="I1168" s="8" t="str">
        <f t="shared" si="26"/>
        <v>Sun</v>
      </c>
      <c r="J1168" s="8" t="str">
        <f t="shared" si="27"/>
        <v>Aug</v>
      </c>
      <c r="K1168" s="8">
        <f t="shared" si="28"/>
        <v>7</v>
      </c>
      <c r="L1168" s="8">
        <f t="shared" si="29"/>
        <v>8</v>
      </c>
    </row>
    <row r="1169" spans="1:12" x14ac:dyDescent="0.3">
      <c r="A1169" s="10">
        <v>45508</v>
      </c>
      <c r="B1169" s="11">
        <v>45508.648520104165</v>
      </c>
      <c r="C1169" s="12">
        <f t="shared" si="24"/>
        <v>15</v>
      </c>
      <c r="D1169" s="12" t="s">
        <v>4</v>
      </c>
      <c r="E1169" s="12" t="s">
        <v>288</v>
      </c>
      <c r="F1169" s="13">
        <v>32.82</v>
      </c>
      <c r="G1169" s="12" t="s">
        <v>49</v>
      </c>
      <c r="H1169" s="12" t="str">
        <f t="shared" si="25"/>
        <v>Afternoon</v>
      </c>
      <c r="I1169" s="12" t="str">
        <f t="shared" si="26"/>
        <v>Sun</v>
      </c>
      <c r="J1169" s="12" t="str">
        <f t="shared" si="27"/>
        <v>Aug</v>
      </c>
      <c r="K1169" s="12">
        <f t="shared" si="28"/>
        <v>7</v>
      </c>
      <c r="L1169" s="12">
        <f t="shared" si="29"/>
        <v>8</v>
      </c>
    </row>
    <row r="1170" spans="1:12" x14ac:dyDescent="0.3">
      <c r="A1170" s="6">
        <v>45508</v>
      </c>
      <c r="B1170" s="7">
        <v>45508.649373912034</v>
      </c>
      <c r="C1170" s="8">
        <f t="shared" si="24"/>
        <v>15</v>
      </c>
      <c r="D1170" s="8" t="s">
        <v>4</v>
      </c>
      <c r="E1170" s="8" t="s">
        <v>288</v>
      </c>
      <c r="F1170" s="9">
        <v>32.82</v>
      </c>
      <c r="G1170" s="8" t="s">
        <v>49</v>
      </c>
      <c r="H1170" s="8" t="str">
        <f t="shared" si="25"/>
        <v>Afternoon</v>
      </c>
      <c r="I1170" s="8" t="str">
        <f t="shared" si="26"/>
        <v>Sun</v>
      </c>
      <c r="J1170" s="8" t="str">
        <f t="shared" si="27"/>
        <v>Aug</v>
      </c>
      <c r="K1170" s="8">
        <f t="shared" si="28"/>
        <v>7</v>
      </c>
      <c r="L1170" s="8">
        <f t="shared" si="29"/>
        <v>8</v>
      </c>
    </row>
    <row r="1171" spans="1:12" x14ac:dyDescent="0.3">
      <c r="A1171" s="10">
        <v>45509</v>
      </c>
      <c r="B1171" s="11">
        <v>45509.368122141204</v>
      </c>
      <c r="C1171" s="12">
        <f t="shared" si="24"/>
        <v>8</v>
      </c>
      <c r="D1171" s="12" t="s">
        <v>4</v>
      </c>
      <c r="E1171" s="12" t="s">
        <v>479</v>
      </c>
      <c r="F1171" s="13">
        <v>23.02</v>
      </c>
      <c r="G1171" s="12" t="s">
        <v>34</v>
      </c>
      <c r="H1171" s="12" t="str">
        <f t="shared" si="25"/>
        <v>Morning</v>
      </c>
      <c r="I1171" s="12" t="str">
        <f t="shared" si="26"/>
        <v>Mon</v>
      </c>
      <c r="J1171" s="12" t="str">
        <f t="shared" si="27"/>
        <v>Aug</v>
      </c>
      <c r="K1171" s="12">
        <f t="shared" si="28"/>
        <v>1</v>
      </c>
      <c r="L1171" s="12">
        <f t="shared" si="29"/>
        <v>8</v>
      </c>
    </row>
    <row r="1172" spans="1:12" x14ac:dyDescent="0.3">
      <c r="A1172" s="6">
        <v>45509</v>
      </c>
      <c r="B1172" s="7">
        <v>45509.388416388887</v>
      </c>
      <c r="C1172" s="8">
        <f t="shared" si="24"/>
        <v>9</v>
      </c>
      <c r="D1172" s="8" t="s">
        <v>4</v>
      </c>
      <c r="E1172" s="8" t="s">
        <v>117</v>
      </c>
      <c r="F1172" s="9">
        <v>27.92</v>
      </c>
      <c r="G1172" s="8" t="s">
        <v>20</v>
      </c>
      <c r="H1172" s="8" t="str">
        <f t="shared" si="25"/>
        <v>Morning</v>
      </c>
      <c r="I1172" s="8" t="str">
        <f t="shared" si="26"/>
        <v>Mon</v>
      </c>
      <c r="J1172" s="8" t="str">
        <f t="shared" si="27"/>
        <v>Aug</v>
      </c>
      <c r="K1172" s="8">
        <f t="shared" si="28"/>
        <v>1</v>
      </c>
      <c r="L1172" s="8">
        <f t="shared" si="29"/>
        <v>8</v>
      </c>
    </row>
    <row r="1173" spans="1:12" x14ac:dyDescent="0.3">
      <c r="A1173" s="10">
        <v>45509</v>
      </c>
      <c r="B1173" s="11">
        <v>45509.472771342589</v>
      </c>
      <c r="C1173" s="12">
        <f t="shared" si="24"/>
        <v>11</v>
      </c>
      <c r="D1173" s="12" t="s">
        <v>4</v>
      </c>
      <c r="E1173" s="12" t="s">
        <v>395</v>
      </c>
      <c r="F1173" s="13">
        <v>23.02</v>
      </c>
      <c r="G1173" s="12" t="s">
        <v>34</v>
      </c>
      <c r="H1173" s="12" t="str">
        <f t="shared" si="25"/>
        <v>Morning</v>
      </c>
      <c r="I1173" s="12" t="str">
        <f t="shared" si="26"/>
        <v>Mon</v>
      </c>
      <c r="J1173" s="12" t="str">
        <f t="shared" si="27"/>
        <v>Aug</v>
      </c>
      <c r="K1173" s="12">
        <f t="shared" si="28"/>
        <v>1</v>
      </c>
      <c r="L1173" s="12">
        <f t="shared" si="29"/>
        <v>8</v>
      </c>
    </row>
    <row r="1174" spans="1:12" x14ac:dyDescent="0.3">
      <c r="A1174" s="6">
        <v>45509</v>
      </c>
      <c r="B1174" s="7">
        <v>45509.573176550926</v>
      </c>
      <c r="C1174" s="8">
        <f t="shared" si="24"/>
        <v>13</v>
      </c>
      <c r="D1174" s="8" t="s">
        <v>4</v>
      </c>
      <c r="E1174" s="8" t="s">
        <v>480</v>
      </c>
      <c r="F1174" s="9">
        <v>32.82</v>
      </c>
      <c r="G1174" s="8" t="s">
        <v>49</v>
      </c>
      <c r="H1174" s="8" t="str">
        <f t="shared" si="25"/>
        <v>Afternoon</v>
      </c>
      <c r="I1174" s="8" t="str">
        <f t="shared" si="26"/>
        <v>Mon</v>
      </c>
      <c r="J1174" s="8" t="str">
        <f t="shared" si="27"/>
        <v>Aug</v>
      </c>
      <c r="K1174" s="8">
        <f t="shared" si="28"/>
        <v>1</v>
      </c>
      <c r="L1174" s="8">
        <f t="shared" si="29"/>
        <v>8</v>
      </c>
    </row>
    <row r="1175" spans="1:12" x14ac:dyDescent="0.3">
      <c r="A1175" s="10">
        <v>45509</v>
      </c>
      <c r="B1175" s="11">
        <v>45509.670807152776</v>
      </c>
      <c r="C1175" s="12">
        <f t="shared" si="24"/>
        <v>16</v>
      </c>
      <c r="D1175" s="12" t="s">
        <v>4</v>
      </c>
      <c r="E1175" s="12" t="s">
        <v>481</v>
      </c>
      <c r="F1175" s="13">
        <v>32.82</v>
      </c>
      <c r="G1175" s="12" t="s">
        <v>13</v>
      </c>
      <c r="H1175" s="12" t="str">
        <f t="shared" si="25"/>
        <v>Afternoon</v>
      </c>
      <c r="I1175" s="12" t="str">
        <f t="shared" si="26"/>
        <v>Mon</v>
      </c>
      <c r="J1175" s="12" t="str">
        <f t="shared" si="27"/>
        <v>Aug</v>
      </c>
      <c r="K1175" s="12">
        <f t="shared" si="28"/>
        <v>1</v>
      </c>
      <c r="L1175" s="12">
        <f t="shared" si="29"/>
        <v>8</v>
      </c>
    </row>
    <row r="1176" spans="1:12" x14ac:dyDescent="0.3">
      <c r="A1176" s="6">
        <v>45509</v>
      </c>
      <c r="B1176" s="7">
        <v>45509.671745798609</v>
      </c>
      <c r="C1176" s="8">
        <f t="shared" si="24"/>
        <v>16</v>
      </c>
      <c r="D1176" s="8" t="s">
        <v>4</v>
      </c>
      <c r="E1176" s="8" t="s">
        <v>481</v>
      </c>
      <c r="F1176" s="9">
        <v>32.82</v>
      </c>
      <c r="G1176" s="8" t="s">
        <v>13</v>
      </c>
      <c r="H1176" s="8" t="str">
        <f t="shared" si="25"/>
        <v>Afternoon</v>
      </c>
      <c r="I1176" s="8" t="str">
        <f t="shared" si="26"/>
        <v>Mon</v>
      </c>
      <c r="J1176" s="8" t="str">
        <f t="shared" si="27"/>
        <v>Aug</v>
      </c>
      <c r="K1176" s="8">
        <f t="shared" si="28"/>
        <v>1</v>
      </c>
      <c r="L1176" s="8">
        <f t="shared" si="29"/>
        <v>8</v>
      </c>
    </row>
    <row r="1177" spans="1:12" x14ac:dyDescent="0.3">
      <c r="A1177" s="10">
        <v>45509</v>
      </c>
      <c r="B1177" s="11">
        <v>45509.73917252315</v>
      </c>
      <c r="C1177" s="12">
        <f t="shared" si="24"/>
        <v>17</v>
      </c>
      <c r="D1177" s="12" t="s">
        <v>4</v>
      </c>
      <c r="E1177" s="12" t="s">
        <v>482</v>
      </c>
      <c r="F1177" s="13">
        <v>32.82</v>
      </c>
      <c r="G1177" s="12" t="s">
        <v>13</v>
      </c>
      <c r="H1177" s="12" t="str">
        <f t="shared" si="25"/>
        <v>Night</v>
      </c>
      <c r="I1177" s="12" t="str">
        <f t="shared" si="26"/>
        <v>Mon</v>
      </c>
      <c r="J1177" s="12" t="str">
        <f t="shared" si="27"/>
        <v>Aug</v>
      </c>
      <c r="K1177" s="12">
        <f t="shared" si="28"/>
        <v>1</v>
      </c>
      <c r="L1177" s="12">
        <f t="shared" si="29"/>
        <v>8</v>
      </c>
    </row>
    <row r="1178" spans="1:12" x14ac:dyDescent="0.3">
      <c r="A1178" s="6">
        <v>45509</v>
      </c>
      <c r="B1178" s="7">
        <v>45509.73995505787</v>
      </c>
      <c r="C1178" s="8">
        <f t="shared" si="24"/>
        <v>17</v>
      </c>
      <c r="D1178" s="8" t="s">
        <v>4</v>
      </c>
      <c r="E1178" s="8" t="s">
        <v>482</v>
      </c>
      <c r="F1178" s="9">
        <v>27.92</v>
      </c>
      <c r="G1178" s="8" t="s">
        <v>20</v>
      </c>
      <c r="H1178" s="8" t="str">
        <f t="shared" si="25"/>
        <v>Night</v>
      </c>
      <c r="I1178" s="8" t="str">
        <f t="shared" si="26"/>
        <v>Mon</v>
      </c>
      <c r="J1178" s="8" t="str">
        <f t="shared" si="27"/>
        <v>Aug</v>
      </c>
      <c r="K1178" s="8">
        <f t="shared" si="28"/>
        <v>1</v>
      </c>
      <c r="L1178" s="8">
        <f t="shared" si="29"/>
        <v>8</v>
      </c>
    </row>
    <row r="1179" spans="1:12" x14ac:dyDescent="0.3">
      <c r="A1179" s="10">
        <v>45509</v>
      </c>
      <c r="B1179" s="11">
        <v>45509.805586539354</v>
      </c>
      <c r="C1179" s="12">
        <f t="shared" si="24"/>
        <v>19</v>
      </c>
      <c r="D1179" s="12" t="s">
        <v>4</v>
      </c>
      <c r="E1179" s="12" t="s">
        <v>37</v>
      </c>
      <c r="F1179" s="13">
        <v>32.82</v>
      </c>
      <c r="G1179" s="12" t="s">
        <v>13</v>
      </c>
      <c r="H1179" s="12" t="str">
        <f t="shared" si="25"/>
        <v>Night</v>
      </c>
      <c r="I1179" s="12" t="str">
        <f t="shared" si="26"/>
        <v>Mon</v>
      </c>
      <c r="J1179" s="12" t="str">
        <f t="shared" si="27"/>
        <v>Aug</v>
      </c>
      <c r="K1179" s="12">
        <f t="shared" si="28"/>
        <v>1</v>
      </c>
      <c r="L1179" s="12">
        <f t="shared" si="29"/>
        <v>8</v>
      </c>
    </row>
    <row r="1180" spans="1:12" x14ac:dyDescent="0.3">
      <c r="A1180" s="6">
        <v>45509</v>
      </c>
      <c r="B1180" s="7">
        <v>45509.815873657404</v>
      </c>
      <c r="C1180" s="8">
        <f t="shared" si="24"/>
        <v>19</v>
      </c>
      <c r="D1180" s="8" t="s">
        <v>4</v>
      </c>
      <c r="E1180" s="8" t="s">
        <v>25</v>
      </c>
      <c r="F1180" s="9">
        <v>32.82</v>
      </c>
      <c r="G1180" s="8" t="s">
        <v>13</v>
      </c>
      <c r="H1180" s="8" t="str">
        <f t="shared" si="25"/>
        <v>Night</v>
      </c>
      <c r="I1180" s="8" t="str">
        <f t="shared" si="26"/>
        <v>Mon</v>
      </c>
      <c r="J1180" s="8" t="str">
        <f t="shared" si="27"/>
        <v>Aug</v>
      </c>
      <c r="K1180" s="8">
        <f t="shared" si="28"/>
        <v>1</v>
      </c>
      <c r="L1180" s="8">
        <f t="shared" si="29"/>
        <v>8</v>
      </c>
    </row>
    <row r="1181" spans="1:12" x14ac:dyDescent="0.3">
      <c r="A1181" s="10">
        <v>45509</v>
      </c>
      <c r="B1181" s="11">
        <v>45509.867719270835</v>
      </c>
      <c r="C1181" s="12">
        <f t="shared" si="24"/>
        <v>20</v>
      </c>
      <c r="D1181" s="12" t="s">
        <v>4</v>
      </c>
      <c r="E1181" s="12" t="s">
        <v>483</v>
      </c>
      <c r="F1181" s="13">
        <v>32.82</v>
      </c>
      <c r="G1181" s="12" t="s">
        <v>24</v>
      </c>
      <c r="H1181" s="12" t="str">
        <f t="shared" si="25"/>
        <v>Night</v>
      </c>
      <c r="I1181" s="12" t="str">
        <f t="shared" si="26"/>
        <v>Mon</v>
      </c>
      <c r="J1181" s="12" t="str">
        <f t="shared" si="27"/>
        <v>Aug</v>
      </c>
      <c r="K1181" s="12">
        <f t="shared" si="28"/>
        <v>1</v>
      </c>
      <c r="L1181" s="12">
        <f t="shared" si="29"/>
        <v>8</v>
      </c>
    </row>
    <row r="1182" spans="1:12" x14ac:dyDescent="0.3">
      <c r="A1182" s="6">
        <v>45509</v>
      </c>
      <c r="B1182" s="7">
        <v>45509.868309247686</v>
      </c>
      <c r="C1182" s="8">
        <f t="shared" si="24"/>
        <v>20</v>
      </c>
      <c r="D1182" s="8" t="s">
        <v>4</v>
      </c>
      <c r="E1182" s="8" t="s">
        <v>483</v>
      </c>
      <c r="F1182" s="9">
        <v>32.82</v>
      </c>
      <c r="G1182" s="8" t="s">
        <v>24</v>
      </c>
      <c r="H1182" s="8" t="str">
        <f t="shared" si="25"/>
        <v>Night</v>
      </c>
      <c r="I1182" s="8" t="str">
        <f t="shared" si="26"/>
        <v>Mon</v>
      </c>
      <c r="J1182" s="8" t="str">
        <f t="shared" si="27"/>
        <v>Aug</v>
      </c>
      <c r="K1182" s="8">
        <f t="shared" si="28"/>
        <v>1</v>
      </c>
      <c r="L1182" s="8">
        <f t="shared" si="29"/>
        <v>8</v>
      </c>
    </row>
    <row r="1183" spans="1:12" x14ac:dyDescent="0.3">
      <c r="A1183" s="10">
        <v>45509</v>
      </c>
      <c r="B1183" s="11">
        <v>45509.947085567132</v>
      </c>
      <c r="C1183" s="12">
        <f t="shared" si="24"/>
        <v>22</v>
      </c>
      <c r="D1183" s="12" t="s">
        <v>4</v>
      </c>
      <c r="E1183" s="12" t="s">
        <v>484</v>
      </c>
      <c r="F1183" s="13">
        <v>27.92</v>
      </c>
      <c r="G1183" s="12" t="s">
        <v>20</v>
      </c>
      <c r="H1183" s="12" t="str">
        <f t="shared" si="25"/>
        <v>Night</v>
      </c>
      <c r="I1183" s="12" t="str">
        <f t="shared" si="26"/>
        <v>Mon</v>
      </c>
      <c r="J1183" s="12" t="str">
        <f t="shared" si="27"/>
        <v>Aug</v>
      </c>
      <c r="K1183" s="12">
        <f t="shared" si="28"/>
        <v>1</v>
      </c>
      <c r="L1183" s="12">
        <f t="shared" si="29"/>
        <v>8</v>
      </c>
    </row>
    <row r="1184" spans="1:12" x14ac:dyDescent="0.3">
      <c r="A1184" s="6">
        <v>45510</v>
      </c>
      <c r="B1184" s="7">
        <v>45510.431288425927</v>
      </c>
      <c r="C1184" s="8">
        <f t="shared" si="24"/>
        <v>10</v>
      </c>
      <c r="D1184" s="8" t="s">
        <v>4</v>
      </c>
      <c r="E1184" s="8" t="s">
        <v>395</v>
      </c>
      <c r="F1184" s="9">
        <v>23.02</v>
      </c>
      <c r="G1184" s="8" t="s">
        <v>34</v>
      </c>
      <c r="H1184" s="8" t="str">
        <f t="shared" si="25"/>
        <v>Morning</v>
      </c>
      <c r="I1184" s="8" t="str">
        <f t="shared" si="26"/>
        <v>Tue</v>
      </c>
      <c r="J1184" s="8" t="str">
        <f t="shared" si="27"/>
        <v>Aug</v>
      </c>
      <c r="K1184" s="8">
        <f t="shared" si="28"/>
        <v>2</v>
      </c>
      <c r="L1184" s="8">
        <f t="shared" si="29"/>
        <v>8</v>
      </c>
    </row>
    <row r="1185" spans="1:12" x14ac:dyDescent="0.3">
      <c r="A1185" s="10">
        <v>45510</v>
      </c>
      <c r="B1185" s="11">
        <v>45510.439263136577</v>
      </c>
      <c r="C1185" s="12">
        <f t="shared" si="24"/>
        <v>10</v>
      </c>
      <c r="D1185" s="12" t="s">
        <v>4</v>
      </c>
      <c r="E1185" s="12" t="s">
        <v>485</v>
      </c>
      <c r="F1185" s="13">
        <v>32.82</v>
      </c>
      <c r="G1185" s="12" t="s">
        <v>15</v>
      </c>
      <c r="H1185" s="12" t="str">
        <f t="shared" si="25"/>
        <v>Morning</v>
      </c>
      <c r="I1185" s="12" t="str">
        <f t="shared" si="26"/>
        <v>Tue</v>
      </c>
      <c r="J1185" s="12" t="str">
        <f t="shared" si="27"/>
        <v>Aug</v>
      </c>
      <c r="K1185" s="12">
        <f t="shared" si="28"/>
        <v>2</v>
      </c>
      <c r="L1185" s="12">
        <f t="shared" si="29"/>
        <v>8</v>
      </c>
    </row>
    <row r="1186" spans="1:12" x14ac:dyDescent="0.3">
      <c r="A1186" s="6">
        <v>45510</v>
      </c>
      <c r="B1186" s="7">
        <v>45510.736680567126</v>
      </c>
      <c r="C1186" s="8">
        <f t="shared" si="24"/>
        <v>17</v>
      </c>
      <c r="D1186" s="8" t="s">
        <v>4</v>
      </c>
      <c r="E1186" s="8" t="s">
        <v>486</v>
      </c>
      <c r="F1186" s="9">
        <v>32.82</v>
      </c>
      <c r="G1186" s="8" t="s">
        <v>49</v>
      </c>
      <c r="H1186" s="8" t="str">
        <f t="shared" si="25"/>
        <v>Night</v>
      </c>
      <c r="I1186" s="8" t="str">
        <f t="shared" si="26"/>
        <v>Tue</v>
      </c>
      <c r="J1186" s="8" t="str">
        <f t="shared" si="27"/>
        <v>Aug</v>
      </c>
      <c r="K1186" s="8">
        <f t="shared" si="28"/>
        <v>2</v>
      </c>
      <c r="L1186" s="8">
        <f t="shared" si="29"/>
        <v>8</v>
      </c>
    </row>
    <row r="1187" spans="1:12" x14ac:dyDescent="0.3">
      <c r="A1187" s="10">
        <v>45510</v>
      </c>
      <c r="B1187" s="11">
        <v>45510.738109953701</v>
      </c>
      <c r="C1187" s="12">
        <f t="shared" si="24"/>
        <v>17</v>
      </c>
      <c r="D1187" s="12" t="s">
        <v>4</v>
      </c>
      <c r="E1187" s="12" t="s">
        <v>486</v>
      </c>
      <c r="F1187" s="13">
        <v>32.82</v>
      </c>
      <c r="G1187" s="12" t="s">
        <v>13</v>
      </c>
      <c r="H1187" s="12" t="str">
        <f t="shared" si="25"/>
        <v>Night</v>
      </c>
      <c r="I1187" s="12" t="str">
        <f t="shared" si="26"/>
        <v>Tue</v>
      </c>
      <c r="J1187" s="12" t="str">
        <f t="shared" si="27"/>
        <v>Aug</v>
      </c>
      <c r="K1187" s="12">
        <f t="shared" si="28"/>
        <v>2</v>
      </c>
      <c r="L1187" s="12">
        <f t="shared" si="29"/>
        <v>8</v>
      </c>
    </row>
    <row r="1188" spans="1:12" x14ac:dyDescent="0.3">
      <c r="A1188" s="6">
        <v>45510</v>
      </c>
      <c r="B1188" s="7">
        <v>45510.738947534723</v>
      </c>
      <c r="C1188" s="8">
        <f t="shared" si="24"/>
        <v>17</v>
      </c>
      <c r="D1188" s="8" t="s">
        <v>4</v>
      </c>
      <c r="E1188" s="8" t="s">
        <v>486</v>
      </c>
      <c r="F1188" s="9">
        <v>32.82</v>
      </c>
      <c r="G1188" s="8" t="s">
        <v>24</v>
      </c>
      <c r="H1188" s="8" t="str">
        <f t="shared" si="25"/>
        <v>Night</v>
      </c>
      <c r="I1188" s="8" t="str">
        <f t="shared" si="26"/>
        <v>Tue</v>
      </c>
      <c r="J1188" s="8" t="str">
        <f t="shared" si="27"/>
        <v>Aug</v>
      </c>
      <c r="K1188" s="8">
        <f t="shared" si="28"/>
        <v>2</v>
      </c>
      <c r="L1188" s="8">
        <f t="shared" si="29"/>
        <v>8</v>
      </c>
    </row>
    <row r="1189" spans="1:12" x14ac:dyDescent="0.3">
      <c r="A1189" s="10">
        <v>45510</v>
      </c>
      <c r="B1189" s="11">
        <v>45510.794497037037</v>
      </c>
      <c r="C1189" s="12">
        <f t="shared" si="24"/>
        <v>19</v>
      </c>
      <c r="D1189" s="12" t="s">
        <v>4</v>
      </c>
      <c r="E1189" s="12" t="s">
        <v>37</v>
      </c>
      <c r="F1189" s="13">
        <v>32.82</v>
      </c>
      <c r="G1189" s="12" t="s">
        <v>13</v>
      </c>
      <c r="H1189" s="12" t="str">
        <f t="shared" si="25"/>
        <v>Night</v>
      </c>
      <c r="I1189" s="12" t="str">
        <f t="shared" si="26"/>
        <v>Tue</v>
      </c>
      <c r="J1189" s="12" t="str">
        <f t="shared" si="27"/>
        <v>Aug</v>
      </c>
      <c r="K1189" s="12">
        <f t="shared" si="28"/>
        <v>2</v>
      </c>
      <c r="L1189" s="12">
        <f t="shared" si="29"/>
        <v>8</v>
      </c>
    </row>
    <row r="1190" spans="1:12" x14ac:dyDescent="0.3">
      <c r="A1190" s="6">
        <v>45510</v>
      </c>
      <c r="B1190" s="7">
        <v>45510.795406365738</v>
      </c>
      <c r="C1190" s="8">
        <f t="shared" si="24"/>
        <v>19</v>
      </c>
      <c r="D1190" s="8" t="s">
        <v>4</v>
      </c>
      <c r="E1190" s="8" t="s">
        <v>487</v>
      </c>
      <c r="F1190" s="9">
        <v>27.92</v>
      </c>
      <c r="G1190" s="8" t="s">
        <v>20</v>
      </c>
      <c r="H1190" s="8" t="str">
        <f t="shared" si="25"/>
        <v>Night</v>
      </c>
      <c r="I1190" s="8" t="str">
        <f t="shared" si="26"/>
        <v>Tue</v>
      </c>
      <c r="J1190" s="8" t="str">
        <f t="shared" si="27"/>
        <v>Aug</v>
      </c>
      <c r="K1190" s="8">
        <f t="shared" si="28"/>
        <v>2</v>
      </c>
      <c r="L1190" s="8">
        <f t="shared" si="29"/>
        <v>8</v>
      </c>
    </row>
    <row r="1191" spans="1:12" x14ac:dyDescent="0.3">
      <c r="A1191" s="10">
        <v>45510</v>
      </c>
      <c r="B1191" s="11">
        <v>45510.836425150461</v>
      </c>
      <c r="C1191" s="12">
        <f t="shared" si="24"/>
        <v>20</v>
      </c>
      <c r="D1191" s="12" t="s">
        <v>4</v>
      </c>
      <c r="E1191" s="12" t="s">
        <v>488</v>
      </c>
      <c r="F1191" s="13">
        <v>32.82</v>
      </c>
      <c r="G1191" s="12" t="s">
        <v>13</v>
      </c>
      <c r="H1191" s="12" t="str">
        <f t="shared" si="25"/>
        <v>Night</v>
      </c>
      <c r="I1191" s="12" t="str">
        <f t="shared" si="26"/>
        <v>Tue</v>
      </c>
      <c r="J1191" s="12" t="str">
        <f t="shared" si="27"/>
        <v>Aug</v>
      </c>
      <c r="K1191" s="12">
        <f t="shared" si="28"/>
        <v>2</v>
      </c>
      <c r="L1191" s="12">
        <f t="shared" si="29"/>
        <v>8</v>
      </c>
    </row>
    <row r="1192" spans="1:12" x14ac:dyDescent="0.3">
      <c r="A1192" s="6">
        <v>45511</v>
      </c>
      <c r="B1192" s="7">
        <v>45511.372088599535</v>
      </c>
      <c r="C1192" s="8">
        <f t="shared" si="24"/>
        <v>8</v>
      </c>
      <c r="D1192" s="8" t="s">
        <v>4</v>
      </c>
      <c r="E1192" s="8" t="s">
        <v>473</v>
      </c>
      <c r="F1192" s="9">
        <v>27.92</v>
      </c>
      <c r="G1192" s="8" t="s">
        <v>20</v>
      </c>
      <c r="H1192" s="8" t="str">
        <f t="shared" si="25"/>
        <v>Morning</v>
      </c>
      <c r="I1192" s="8" t="str">
        <f t="shared" si="26"/>
        <v>Wed</v>
      </c>
      <c r="J1192" s="8" t="str">
        <f t="shared" si="27"/>
        <v>Aug</v>
      </c>
      <c r="K1192" s="8">
        <f t="shared" si="28"/>
        <v>3</v>
      </c>
      <c r="L1192" s="8">
        <f t="shared" si="29"/>
        <v>8</v>
      </c>
    </row>
    <row r="1193" spans="1:12" x14ac:dyDescent="0.3">
      <c r="A1193" s="10">
        <v>45511</v>
      </c>
      <c r="B1193" s="11">
        <v>45511.508643518522</v>
      </c>
      <c r="C1193" s="12">
        <f t="shared" si="24"/>
        <v>12</v>
      </c>
      <c r="D1193" s="12" t="s">
        <v>4</v>
      </c>
      <c r="E1193" s="12" t="s">
        <v>16</v>
      </c>
      <c r="F1193" s="13">
        <v>23.02</v>
      </c>
      <c r="G1193" s="12" t="s">
        <v>17</v>
      </c>
      <c r="H1193" s="12" t="str">
        <f t="shared" si="25"/>
        <v>Afternoon</v>
      </c>
      <c r="I1193" s="12" t="str">
        <f t="shared" si="26"/>
        <v>Wed</v>
      </c>
      <c r="J1193" s="12" t="str">
        <f t="shared" si="27"/>
        <v>Aug</v>
      </c>
      <c r="K1193" s="12">
        <f t="shared" si="28"/>
        <v>3</v>
      </c>
      <c r="L1193" s="12">
        <f t="shared" si="29"/>
        <v>8</v>
      </c>
    </row>
    <row r="1194" spans="1:12" x14ac:dyDescent="0.3">
      <c r="A1194" s="6">
        <v>45511</v>
      </c>
      <c r="B1194" s="7">
        <v>45511.509498425927</v>
      </c>
      <c r="C1194" s="8">
        <f t="shared" si="24"/>
        <v>12</v>
      </c>
      <c r="D1194" s="8" t="s">
        <v>4</v>
      </c>
      <c r="E1194" s="8" t="s">
        <v>16</v>
      </c>
      <c r="F1194" s="9">
        <v>23.02</v>
      </c>
      <c r="G1194" s="8" t="s">
        <v>17</v>
      </c>
      <c r="H1194" s="8" t="str">
        <f t="shared" si="25"/>
        <v>Afternoon</v>
      </c>
      <c r="I1194" s="8" t="str">
        <f t="shared" si="26"/>
        <v>Wed</v>
      </c>
      <c r="J1194" s="8" t="str">
        <f t="shared" si="27"/>
        <v>Aug</v>
      </c>
      <c r="K1194" s="8">
        <f t="shared" si="28"/>
        <v>3</v>
      </c>
      <c r="L1194" s="8">
        <f t="shared" si="29"/>
        <v>8</v>
      </c>
    </row>
    <row r="1195" spans="1:12" x14ac:dyDescent="0.3">
      <c r="A1195" s="10">
        <v>45511</v>
      </c>
      <c r="B1195" s="11">
        <v>45511.549492534723</v>
      </c>
      <c r="C1195" s="12">
        <f t="shared" si="24"/>
        <v>13</v>
      </c>
      <c r="D1195" s="12" t="s">
        <v>4</v>
      </c>
      <c r="E1195" s="12" t="s">
        <v>489</v>
      </c>
      <c r="F1195" s="13">
        <v>18.12</v>
      </c>
      <c r="G1195" s="12" t="s">
        <v>41</v>
      </c>
      <c r="H1195" s="12" t="str">
        <f t="shared" si="25"/>
        <v>Afternoon</v>
      </c>
      <c r="I1195" s="12" t="str">
        <f t="shared" si="26"/>
        <v>Wed</v>
      </c>
      <c r="J1195" s="12" t="str">
        <f t="shared" si="27"/>
        <v>Aug</v>
      </c>
      <c r="K1195" s="12">
        <f t="shared" si="28"/>
        <v>3</v>
      </c>
      <c r="L1195" s="12">
        <f t="shared" si="29"/>
        <v>8</v>
      </c>
    </row>
    <row r="1196" spans="1:12" x14ac:dyDescent="0.3">
      <c r="A1196" s="6">
        <v>45511</v>
      </c>
      <c r="B1196" s="7">
        <v>45511.679880289354</v>
      </c>
      <c r="C1196" s="8">
        <f t="shared" si="24"/>
        <v>16</v>
      </c>
      <c r="D1196" s="8" t="s">
        <v>4</v>
      </c>
      <c r="E1196" s="8" t="s">
        <v>490</v>
      </c>
      <c r="F1196" s="9">
        <v>23.02</v>
      </c>
      <c r="G1196" s="8" t="s">
        <v>17</v>
      </c>
      <c r="H1196" s="8" t="str">
        <f t="shared" si="25"/>
        <v>Afternoon</v>
      </c>
      <c r="I1196" s="8" t="str">
        <f t="shared" si="26"/>
        <v>Wed</v>
      </c>
      <c r="J1196" s="8" t="str">
        <f t="shared" si="27"/>
        <v>Aug</v>
      </c>
      <c r="K1196" s="8">
        <f t="shared" si="28"/>
        <v>3</v>
      </c>
      <c r="L1196" s="8">
        <f t="shared" si="29"/>
        <v>8</v>
      </c>
    </row>
    <row r="1197" spans="1:12" x14ac:dyDescent="0.3">
      <c r="A1197" s="10">
        <v>45511</v>
      </c>
      <c r="B1197" s="11">
        <v>45511.816929849534</v>
      </c>
      <c r="C1197" s="12">
        <f t="shared" si="24"/>
        <v>19</v>
      </c>
      <c r="D1197" s="12" t="s">
        <v>4</v>
      </c>
      <c r="E1197" s="12" t="s">
        <v>25</v>
      </c>
      <c r="F1197" s="13">
        <v>32.82</v>
      </c>
      <c r="G1197" s="12" t="s">
        <v>13</v>
      </c>
      <c r="H1197" s="12" t="str">
        <f t="shared" si="25"/>
        <v>Night</v>
      </c>
      <c r="I1197" s="12" t="str">
        <f t="shared" si="26"/>
        <v>Wed</v>
      </c>
      <c r="J1197" s="12" t="str">
        <f t="shared" si="27"/>
        <v>Aug</v>
      </c>
      <c r="K1197" s="12">
        <f t="shared" si="28"/>
        <v>3</v>
      </c>
      <c r="L1197" s="12">
        <f t="shared" si="29"/>
        <v>8</v>
      </c>
    </row>
    <row r="1198" spans="1:12" x14ac:dyDescent="0.3">
      <c r="A1198" s="6">
        <v>45511</v>
      </c>
      <c r="B1198" s="7">
        <v>45511.861218530095</v>
      </c>
      <c r="C1198" s="8">
        <f t="shared" si="24"/>
        <v>20</v>
      </c>
      <c r="D1198" s="8" t="s">
        <v>4</v>
      </c>
      <c r="E1198" s="8" t="s">
        <v>462</v>
      </c>
      <c r="F1198" s="9">
        <v>32.82</v>
      </c>
      <c r="G1198" s="8" t="s">
        <v>24</v>
      </c>
      <c r="H1198" s="8" t="str">
        <f t="shared" si="25"/>
        <v>Night</v>
      </c>
      <c r="I1198" s="8" t="str">
        <f t="shared" si="26"/>
        <v>Wed</v>
      </c>
      <c r="J1198" s="8" t="str">
        <f t="shared" si="27"/>
        <v>Aug</v>
      </c>
      <c r="K1198" s="8">
        <f t="shared" si="28"/>
        <v>3</v>
      </c>
      <c r="L1198" s="8">
        <f t="shared" si="29"/>
        <v>8</v>
      </c>
    </row>
    <row r="1199" spans="1:12" x14ac:dyDescent="0.3">
      <c r="A1199" s="10">
        <v>45511</v>
      </c>
      <c r="B1199" s="11">
        <v>45511.887638773151</v>
      </c>
      <c r="C1199" s="12">
        <f t="shared" si="24"/>
        <v>21</v>
      </c>
      <c r="D1199" s="12" t="s">
        <v>4</v>
      </c>
      <c r="E1199" s="12" t="s">
        <v>348</v>
      </c>
      <c r="F1199" s="13">
        <v>32.82</v>
      </c>
      <c r="G1199" s="12" t="s">
        <v>49</v>
      </c>
      <c r="H1199" s="12" t="str">
        <f t="shared" si="25"/>
        <v>Night</v>
      </c>
      <c r="I1199" s="12" t="str">
        <f t="shared" si="26"/>
        <v>Wed</v>
      </c>
      <c r="J1199" s="12" t="str">
        <f t="shared" si="27"/>
        <v>Aug</v>
      </c>
      <c r="K1199" s="12">
        <f t="shared" si="28"/>
        <v>3</v>
      </c>
      <c r="L1199" s="12">
        <f t="shared" si="29"/>
        <v>8</v>
      </c>
    </row>
    <row r="1200" spans="1:12" x14ac:dyDescent="0.3">
      <c r="A1200" s="6">
        <v>45511</v>
      </c>
      <c r="B1200" s="7">
        <v>45511.936767199077</v>
      </c>
      <c r="C1200" s="8">
        <f t="shared" si="24"/>
        <v>22</v>
      </c>
      <c r="D1200" s="8" t="s">
        <v>4</v>
      </c>
      <c r="E1200" s="8" t="s">
        <v>491</v>
      </c>
      <c r="F1200" s="9">
        <v>32.82</v>
      </c>
      <c r="G1200" s="8" t="s">
        <v>13</v>
      </c>
      <c r="H1200" s="8" t="str">
        <f t="shared" si="25"/>
        <v>Night</v>
      </c>
      <c r="I1200" s="8" t="str">
        <f t="shared" si="26"/>
        <v>Wed</v>
      </c>
      <c r="J1200" s="8" t="str">
        <f t="shared" si="27"/>
        <v>Aug</v>
      </c>
      <c r="K1200" s="8">
        <f t="shared" si="28"/>
        <v>3</v>
      </c>
      <c r="L1200" s="8">
        <f t="shared" si="29"/>
        <v>8</v>
      </c>
    </row>
    <row r="1201" spans="1:12" x14ac:dyDescent="0.3">
      <c r="A1201" s="10">
        <v>45511</v>
      </c>
      <c r="B1201" s="11">
        <v>45511.939073738424</v>
      </c>
      <c r="C1201" s="12">
        <f t="shared" si="24"/>
        <v>22</v>
      </c>
      <c r="D1201" s="12" t="s">
        <v>4</v>
      </c>
      <c r="E1201" s="12" t="s">
        <v>492</v>
      </c>
      <c r="F1201" s="13">
        <v>32.82</v>
      </c>
      <c r="G1201" s="12" t="s">
        <v>13</v>
      </c>
      <c r="H1201" s="12" t="str">
        <f t="shared" si="25"/>
        <v>Night</v>
      </c>
      <c r="I1201" s="12" t="str">
        <f t="shared" si="26"/>
        <v>Wed</v>
      </c>
      <c r="J1201" s="12" t="str">
        <f t="shared" si="27"/>
        <v>Aug</v>
      </c>
      <c r="K1201" s="12">
        <f t="shared" si="28"/>
        <v>3</v>
      </c>
      <c r="L1201" s="12">
        <f t="shared" si="29"/>
        <v>8</v>
      </c>
    </row>
    <row r="1202" spans="1:12" x14ac:dyDescent="0.3">
      <c r="A1202" s="6">
        <v>45512</v>
      </c>
      <c r="B1202" s="7">
        <v>45512.365696805558</v>
      </c>
      <c r="C1202" s="8">
        <f t="shared" si="24"/>
        <v>8</v>
      </c>
      <c r="D1202" s="8" t="s">
        <v>4</v>
      </c>
      <c r="E1202" s="8" t="s">
        <v>161</v>
      </c>
      <c r="F1202" s="9">
        <v>18.12</v>
      </c>
      <c r="G1202" s="8" t="s">
        <v>41</v>
      </c>
      <c r="H1202" s="8" t="str">
        <f t="shared" si="25"/>
        <v>Morning</v>
      </c>
      <c r="I1202" s="8" t="str">
        <f t="shared" si="26"/>
        <v>Thu</v>
      </c>
      <c r="J1202" s="8" t="str">
        <f t="shared" si="27"/>
        <v>Aug</v>
      </c>
      <c r="K1202" s="8">
        <f t="shared" si="28"/>
        <v>4</v>
      </c>
      <c r="L1202" s="8">
        <f t="shared" si="29"/>
        <v>8</v>
      </c>
    </row>
    <row r="1203" spans="1:12" x14ac:dyDescent="0.3">
      <c r="A1203" s="10">
        <v>45512</v>
      </c>
      <c r="B1203" s="11">
        <v>45512.366304236108</v>
      </c>
      <c r="C1203" s="12">
        <f t="shared" si="24"/>
        <v>8</v>
      </c>
      <c r="D1203" s="12" t="s">
        <v>4</v>
      </c>
      <c r="E1203" s="12" t="s">
        <v>161</v>
      </c>
      <c r="F1203" s="13">
        <v>23.02</v>
      </c>
      <c r="G1203" s="12" t="s">
        <v>34</v>
      </c>
      <c r="H1203" s="12" t="str">
        <f t="shared" si="25"/>
        <v>Morning</v>
      </c>
      <c r="I1203" s="12" t="str">
        <f t="shared" si="26"/>
        <v>Thu</v>
      </c>
      <c r="J1203" s="12" t="str">
        <f t="shared" si="27"/>
        <v>Aug</v>
      </c>
      <c r="K1203" s="12">
        <f t="shared" si="28"/>
        <v>4</v>
      </c>
      <c r="L1203" s="12">
        <f t="shared" si="29"/>
        <v>8</v>
      </c>
    </row>
    <row r="1204" spans="1:12" x14ac:dyDescent="0.3">
      <c r="A1204" s="6">
        <v>45512</v>
      </c>
      <c r="B1204" s="7">
        <v>45512.518812187503</v>
      </c>
      <c r="C1204" s="8">
        <f t="shared" si="24"/>
        <v>12</v>
      </c>
      <c r="D1204" s="8" t="s">
        <v>4</v>
      </c>
      <c r="E1204" s="8" t="s">
        <v>440</v>
      </c>
      <c r="F1204" s="9">
        <v>27.92</v>
      </c>
      <c r="G1204" s="8" t="s">
        <v>20</v>
      </c>
      <c r="H1204" s="8" t="str">
        <f t="shared" si="25"/>
        <v>Afternoon</v>
      </c>
      <c r="I1204" s="8" t="str">
        <f t="shared" si="26"/>
        <v>Thu</v>
      </c>
      <c r="J1204" s="8" t="str">
        <f t="shared" si="27"/>
        <v>Aug</v>
      </c>
      <c r="K1204" s="8">
        <f t="shared" si="28"/>
        <v>4</v>
      </c>
      <c r="L1204" s="8">
        <f t="shared" si="29"/>
        <v>8</v>
      </c>
    </row>
    <row r="1205" spans="1:12" x14ac:dyDescent="0.3">
      <c r="A1205" s="10">
        <v>45512</v>
      </c>
      <c r="B1205" s="11">
        <v>45512.530087476851</v>
      </c>
      <c r="C1205" s="12">
        <f t="shared" si="24"/>
        <v>12</v>
      </c>
      <c r="D1205" s="12" t="s">
        <v>4</v>
      </c>
      <c r="E1205" s="12" t="s">
        <v>161</v>
      </c>
      <c r="F1205" s="13">
        <v>23.02</v>
      </c>
      <c r="G1205" s="12" t="s">
        <v>34</v>
      </c>
      <c r="H1205" s="12" t="str">
        <f t="shared" si="25"/>
        <v>Afternoon</v>
      </c>
      <c r="I1205" s="12" t="str">
        <f t="shared" si="26"/>
        <v>Thu</v>
      </c>
      <c r="J1205" s="12" t="str">
        <f t="shared" si="27"/>
        <v>Aug</v>
      </c>
      <c r="K1205" s="12">
        <f t="shared" si="28"/>
        <v>4</v>
      </c>
      <c r="L1205" s="12">
        <f t="shared" si="29"/>
        <v>8</v>
      </c>
    </row>
    <row r="1206" spans="1:12" x14ac:dyDescent="0.3">
      <c r="A1206" s="6">
        <v>45512</v>
      </c>
      <c r="B1206" s="7">
        <v>45512.530728622682</v>
      </c>
      <c r="C1206" s="8">
        <f t="shared" si="24"/>
        <v>12</v>
      </c>
      <c r="D1206" s="8" t="s">
        <v>4</v>
      </c>
      <c r="E1206" s="8" t="s">
        <v>161</v>
      </c>
      <c r="F1206" s="9">
        <v>23.02</v>
      </c>
      <c r="G1206" s="8" t="s">
        <v>34</v>
      </c>
      <c r="H1206" s="8" t="str">
        <f t="shared" si="25"/>
        <v>Afternoon</v>
      </c>
      <c r="I1206" s="8" t="str">
        <f t="shared" si="26"/>
        <v>Thu</v>
      </c>
      <c r="J1206" s="8" t="str">
        <f t="shared" si="27"/>
        <v>Aug</v>
      </c>
      <c r="K1206" s="8">
        <f t="shared" si="28"/>
        <v>4</v>
      </c>
      <c r="L1206" s="8">
        <f t="shared" si="29"/>
        <v>8</v>
      </c>
    </row>
    <row r="1207" spans="1:12" x14ac:dyDescent="0.3">
      <c r="A1207" s="10">
        <v>45512</v>
      </c>
      <c r="B1207" s="11">
        <v>45512.706866504632</v>
      </c>
      <c r="C1207" s="12">
        <f t="shared" si="24"/>
        <v>16</v>
      </c>
      <c r="D1207" s="12" t="s">
        <v>4</v>
      </c>
      <c r="E1207" s="12" t="s">
        <v>493</v>
      </c>
      <c r="F1207" s="13">
        <v>32.82</v>
      </c>
      <c r="G1207" s="12" t="s">
        <v>49</v>
      </c>
      <c r="H1207" s="12" t="str">
        <f t="shared" si="25"/>
        <v>Afternoon</v>
      </c>
      <c r="I1207" s="12" t="str">
        <f t="shared" si="26"/>
        <v>Thu</v>
      </c>
      <c r="J1207" s="12" t="str">
        <f t="shared" si="27"/>
        <v>Aug</v>
      </c>
      <c r="K1207" s="12">
        <f t="shared" si="28"/>
        <v>4</v>
      </c>
      <c r="L1207" s="12">
        <f t="shared" si="29"/>
        <v>8</v>
      </c>
    </row>
    <row r="1208" spans="1:12" x14ac:dyDescent="0.3">
      <c r="A1208" s="6">
        <v>45512</v>
      </c>
      <c r="B1208" s="7">
        <v>45512.720737835647</v>
      </c>
      <c r="C1208" s="8">
        <f t="shared" si="24"/>
        <v>17</v>
      </c>
      <c r="D1208" s="8" t="s">
        <v>4</v>
      </c>
      <c r="E1208" s="8" t="s">
        <v>494</v>
      </c>
      <c r="F1208" s="9">
        <v>32.82</v>
      </c>
      <c r="G1208" s="8" t="s">
        <v>49</v>
      </c>
      <c r="H1208" s="8" t="str">
        <f t="shared" si="25"/>
        <v>Night</v>
      </c>
      <c r="I1208" s="8" t="str">
        <f t="shared" si="26"/>
        <v>Thu</v>
      </c>
      <c r="J1208" s="8" t="str">
        <f t="shared" si="27"/>
        <v>Aug</v>
      </c>
      <c r="K1208" s="8">
        <f t="shared" si="28"/>
        <v>4</v>
      </c>
      <c r="L1208" s="8">
        <f t="shared" si="29"/>
        <v>8</v>
      </c>
    </row>
    <row r="1209" spans="1:12" x14ac:dyDescent="0.3">
      <c r="A1209" s="10">
        <v>45512</v>
      </c>
      <c r="B1209" s="11">
        <v>45512.893047048608</v>
      </c>
      <c r="C1209" s="12">
        <f t="shared" si="24"/>
        <v>21</v>
      </c>
      <c r="D1209" s="12" t="s">
        <v>4</v>
      </c>
      <c r="E1209" s="12" t="s">
        <v>331</v>
      </c>
      <c r="F1209" s="13">
        <v>27.92</v>
      </c>
      <c r="G1209" s="12" t="s">
        <v>20</v>
      </c>
      <c r="H1209" s="12" t="str">
        <f t="shared" si="25"/>
        <v>Night</v>
      </c>
      <c r="I1209" s="12" t="str">
        <f t="shared" si="26"/>
        <v>Thu</v>
      </c>
      <c r="J1209" s="12" t="str">
        <f t="shared" si="27"/>
        <v>Aug</v>
      </c>
      <c r="K1209" s="12">
        <f t="shared" si="28"/>
        <v>4</v>
      </c>
      <c r="L1209" s="12">
        <f t="shared" si="29"/>
        <v>8</v>
      </c>
    </row>
    <row r="1210" spans="1:12" x14ac:dyDescent="0.3">
      <c r="A1210" s="6">
        <v>45513</v>
      </c>
      <c r="B1210" s="7">
        <v>45513.316230787037</v>
      </c>
      <c r="C1210" s="8">
        <f t="shared" si="24"/>
        <v>7</v>
      </c>
      <c r="D1210" s="8" t="s">
        <v>4</v>
      </c>
      <c r="E1210" s="8" t="s">
        <v>495</v>
      </c>
      <c r="F1210" s="9">
        <v>32.82</v>
      </c>
      <c r="G1210" s="8" t="s">
        <v>13</v>
      </c>
      <c r="H1210" s="8" t="str">
        <f t="shared" si="25"/>
        <v>Morning</v>
      </c>
      <c r="I1210" s="8" t="str">
        <f t="shared" si="26"/>
        <v>Fri</v>
      </c>
      <c r="J1210" s="8" t="str">
        <f t="shared" si="27"/>
        <v>Aug</v>
      </c>
      <c r="K1210" s="8">
        <f t="shared" si="28"/>
        <v>5</v>
      </c>
      <c r="L1210" s="8">
        <f t="shared" si="29"/>
        <v>8</v>
      </c>
    </row>
    <row r="1211" spans="1:12" x14ac:dyDescent="0.3">
      <c r="A1211" s="10">
        <v>45513</v>
      </c>
      <c r="B1211" s="11">
        <v>45513.412205474538</v>
      </c>
      <c r="C1211" s="12">
        <f t="shared" si="24"/>
        <v>9</v>
      </c>
      <c r="D1211" s="12" t="s">
        <v>4</v>
      </c>
      <c r="E1211" s="12" t="s">
        <v>496</v>
      </c>
      <c r="F1211" s="13">
        <v>23.02</v>
      </c>
      <c r="G1211" s="12" t="s">
        <v>17</v>
      </c>
      <c r="H1211" s="12" t="str">
        <f t="shared" si="25"/>
        <v>Morning</v>
      </c>
      <c r="I1211" s="12" t="str">
        <f t="shared" si="26"/>
        <v>Fri</v>
      </c>
      <c r="J1211" s="12" t="str">
        <f t="shared" si="27"/>
        <v>Aug</v>
      </c>
      <c r="K1211" s="12">
        <f t="shared" si="28"/>
        <v>5</v>
      </c>
      <c r="L1211" s="12">
        <f t="shared" si="29"/>
        <v>8</v>
      </c>
    </row>
    <row r="1212" spans="1:12" x14ac:dyDescent="0.3">
      <c r="A1212" s="6">
        <v>45513</v>
      </c>
      <c r="B1212" s="7">
        <v>45513.425781678241</v>
      </c>
      <c r="C1212" s="8">
        <f t="shared" si="24"/>
        <v>10</v>
      </c>
      <c r="D1212" s="8" t="s">
        <v>4</v>
      </c>
      <c r="E1212" s="8" t="s">
        <v>161</v>
      </c>
      <c r="F1212" s="9">
        <v>23.02</v>
      </c>
      <c r="G1212" s="8" t="s">
        <v>34</v>
      </c>
      <c r="H1212" s="8" t="str">
        <f t="shared" si="25"/>
        <v>Morning</v>
      </c>
      <c r="I1212" s="8" t="str">
        <f t="shared" si="26"/>
        <v>Fri</v>
      </c>
      <c r="J1212" s="8" t="str">
        <f t="shared" si="27"/>
        <v>Aug</v>
      </c>
      <c r="K1212" s="8">
        <f t="shared" si="28"/>
        <v>5</v>
      </c>
      <c r="L1212" s="8">
        <f t="shared" si="29"/>
        <v>8</v>
      </c>
    </row>
    <row r="1213" spans="1:12" x14ac:dyDescent="0.3">
      <c r="A1213" s="10">
        <v>45513</v>
      </c>
      <c r="B1213" s="11">
        <v>45513.435268217596</v>
      </c>
      <c r="C1213" s="12">
        <f t="shared" si="24"/>
        <v>10</v>
      </c>
      <c r="D1213" s="12" t="s">
        <v>4</v>
      </c>
      <c r="E1213" s="12" t="s">
        <v>331</v>
      </c>
      <c r="F1213" s="13">
        <v>27.92</v>
      </c>
      <c r="G1213" s="12" t="s">
        <v>20</v>
      </c>
      <c r="H1213" s="12" t="str">
        <f t="shared" si="25"/>
        <v>Morning</v>
      </c>
      <c r="I1213" s="12" t="str">
        <f t="shared" si="26"/>
        <v>Fri</v>
      </c>
      <c r="J1213" s="12" t="str">
        <f t="shared" si="27"/>
        <v>Aug</v>
      </c>
      <c r="K1213" s="12">
        <f t="shared" si="28"/>
        <v>5</v>
      </c>
      <c r="L1213" s="12">
        <f t="shared" si="29"/>
        <v>8</v>
      </c>
    </row>
    <row r="1214" spans="1:12" x14ac:dyDescent="0.3">
      <c r="A1214" s="6">
        <v>45513</v>
      </c>
      <c r="B1214" s="7">
        <v>45513.477878726851</v>
      </c>
      <c r="C1214" s="8">
        <f t="shared" si="24"/>
        <v>11</v>
      </c>
      <c r="D1214" s="8" t="s">
        <v>4</v>
      </c>
      <c r="E1214" s="8" t="s">
        <v>495</v>
      </c>
      <c r="F1214" s="9">
        <v>32.82</v>
      </c>
      <c r="G1214" s="8" t="s">
        <v>13</v>
      </c>
      <c r="H1214" s="8" t="str">
        <f t="shared" si="25"/>
        <v>Morning</v>
      </c>
      <c r="I1214" s="8" t="str">
        <f t="shared" si="26"/>
        <v>Fri</v>
      </c>
      <c r="J1214" s="8" t="str">
        <f t="shared" si="27"/>
        <v>Aug</v>
      </c>
      <c r="K1214" s="8">
        <f t="shared" si="28"/>
        <v>5</v>
      </c>
      <c r="L1214" s="8">
        <f t="shared" si="29"/>
        <v>8</v>
      </c>
    </row>
    <row r="1215" spans="1:12" x14ac:dyDescent="0.3">
      <c r="A1215" s="10">
        <v>45513</v>
      </c>
      <c r="B1215" s="11">
        <v>45513.479035671298</v>
      </c>
      <c r="C1215" s="12">
        <f t="shared" si="24"/>
        <v>11</v>
      </c>
      <c r="D1215" s="12" t="s">
        <v>4</v>
      </c>
      <c r="E1215" s="12" t="s">
        <v>497</v>
      </c>
      <c r="F1215" s="13">
        <v>23.02</v>
      </c>
      <c r="G1215" s="12" t="s">
        <v>17</v>
      </c>
      <c r="H1215" s="12" t="str">
        <f t="shared" si="25"/>
        <v>Morning</v>
      </c>
      <c r="I1215" s="12" t="str">
        <f t="shared" si="26"/>
        <v>Fri</v>
      </c>
      <c r="J1215" s="12" t="str">
        <f t="shared" si="27"/>
        <v>Aug</v>
      </c>
      <c r="K1215" s="12">
        <f t="shared" si="28"/>
        <v>5</v>
      </c>
      <c r="L1215" s="12">
        <f t="shared" si="29"/>
        <v>8</v>
      </c>
    </row>
    <row r="1216" spans="1:12" x14ac:dyDescent="0.3">
      <c r="A1216" s="6">
        <v>45513</v>
      </c>
      <c r="B1216" s="7">
        <v>45513.789209629627</v>
      </c>
      <c r="C1216" s="8">
        <f t="shared" si="24"/>
        <v>18</v>
      </c>
      <c r="D1216" s="8" t="s">
        <v>4</v>
      </c>
      <c r="E1216" s="8" t="s">
        <v>498</v>
      </c>
      <c r="F1216" s="9">
        <v>23.02</v>
      </c>
      <c r="G1216" s="8" t="s">
        <v>17</v>
      </c>
      <c r="H1216" s="8" t="str">
        <f t="shared" si="25"/>
        <v>Night</v>
      </c>
      <c r="I1216" s="8" t="str">
        <f t="shared" si="26"/>
        <v>Fri</v>
      </c>
      <c r="J1216" s="8" t="str">
        <f t="shared" si="27"/>
        <v>Aug</v>
      </c>
      <c r="K1216" s="8">
        <f t="shared" si="28"/>
        <v>5</v>
      </c>
      <c r="L1216" s="8">
        <f t="shared" si="29"/>
        <v>8</v>
      </c>
    </row>
    <row r="1217" spans="1:12" x14ac:dyDescent="0.3">
      <c r="A1217" s="10">
        <v>45513</v>
      </c>
      <c r="B1217" s="11">
        <v>45513.793826516201</v>
      </c>
      <c r="C1217" s="12">
        <f t="shared" si="24"/>
        <v>19</v>
      </c>
      <c r="D1217" s="12" t="s">
        <v>4</v>
      </c>
      <c r="E1217" s="12" t="s">
        <v>499</v>
      </c>
      <c r="F1217" s="13">
        <v>32.82</v>
      </c>
      <c r="G1217" s="12" t="s">
        <v>15</v>
      </c>
      <c r="H1217" s="12" t="str">
        <f t="shared" si="25"/>
        <v>Night</v>
      </c>
      <c r="I1217" s="12" t="str">
        <f t="shared" si="26"/>
        <v>Fri</v>
      </c>
      <c r="J1217" s="12" t="str">
        <f t="shared" si="27"/>
        <v>Aug</v>
      </c>
      <c r="K1217" s="12">
        <f t="shared" si="28"/>
        <v>5</v>
      </c>
      <c r="L1217" s="12">
        <f t="shared" si="29"/>
        <v>8</v>
      </c>
    </row>
    <row r="1218" spans="1:12" x14ac:dyDescent="0.3">
      <c r="A1218" s="6">
        <v>45514</v>
      </c>
      <c r="B1218" s="7">
        <v>45514.358849861113</v>
      </c>
      <c r="C1218" s="8">
        <f t="shared" si="24"/>
        <v>8</v>
      </c>
      <c r="D1218" s="8" t="s">
        <v>4</v>
      </c>
      <c r="E1218" s="8" t="s">
        <v>500</v>
      </c>
      <c r="F1218" s="9">
        <v>32.82</v>
      </c>
      <c r="G1218" s="8" t="s">
        <v>49</v>
      </c>
      <c r="H1218" s="8" t="str">
        <f t="shared" si="25"/>
        <v>Morning</v>
      </c>
      <c r="I1218" s="8" t="str">
        <f t="shared" si="26"/>
        <v>Sat</v>
      </c>
      <c r="J1218" s="8" t="str">
        <f t="shared" si="27"/>
        <v>Aug</v>
      </c>
      <c r="K1218" s="8">
        <f t="shared" si="28"/>
        <v>6</v>
      </c>
      <c r="L1218" s="8">
        <f t="shared" si="29"/>
        <v>8</v>
      </c>
    </row>
    <row r="1219" spans="1:12" x14ac:dyDescent="0.3">
      <c r="A1219" s="10">
        <v>45514</v>
      </c>
      <c r="B1219" s="11">
        <v>45514.359688298609</v>
      </c>
      <c r="C1219" s="12">
        <f t="shared" si="24"/>
        <v>8</v>
      </c>
      <c r="D1219" s="12" t="s">
        <v>4</v>
      </c>
      <c r="E1219" s="12" t="s">
        <v>500</v>
      </c>
      <c r="F1219" s="13">
        <v>27.92</v>
      </c>
      <c r="G1219" s="12" t="s">
        <v>20</v>
      </c>
      <c r="H1219" s="12" t="str">
        <f t="shared" si="25"/>
        <v>Morning</v>
      </c>
      <c r="I1219" s="12" t="str">
        <f t="shared" si="26"/>
        <v>Sat</v>
      </c>
      <c r="J1219" s="12" t="str">
        <f t="shared" si="27"/>
        <v>Aug</v>
      </c>
      <c r="K1219" s="12">
        <f t="shared" si="28"/>
        <v>6</v>
      </c>
      <c r="L1219" s="12">
        <f t="shared" si="29"/>
        <v>8</v>
      </c>
    </row>
    <row r="1220" spans="1:12" x14ac:dyDescent="0.3">
      <c r="A1220" s="6">
        <v>45514</v>
      </c>
      <c r="B1220" s="7">
        <v>45514.364687719906</v>
      </c>
      <c r="C1220" s="8">
        <f t="shared" si="24"/>
        <v>8</v>
      </c>
      <c r="D1220" s="8" t="s">
        <v>4</v>
      </c>
      <c r="E1220" s="8" t="s">
        <v>161</v>
      </c>
      <c r="F1220" s="9">
        <v>23.02</v>
      </c>
      <c r="G1220" s="8" t="s">
        <v>34</v>
      </c>
      <c r="H1220" s="8" t="str">
        <f t="shared" si="25"/>
        <v>Morning</v>
      </c>
      <c r="I1220" s="8" t="str">
        <f t="shared" si="26"/>
        <v>Sat</v>
      </c>
      <c r="J1220" s="8" t="str">
        <f t="shared" si="27"/>
        <v>Aug</v>
      </c>
      <c r="K1220" s="8">
        <f t="shared" si="28"/>
        <v>6</v>
      </c>
      <c r="L1220" s="8">
        <f t="shared" si="29"/>
        <v>8</v>
      </c>
    </row>
    <row r="1221" spans="1:12" x14ac:dyDescent="0.3">
      <c r="A1221" s="10">
        <v>45514</v>
      </c>
      <c r="B1221" s="11">
        <v>45514.494836064812</v>
      </c>
      <c r="C1221" s="12">
        <f t="shared" si="24"/>
        <v>11</v>
      </c>
      <c r="D1221" s="12" t="s">
        <v>4</v>
      </c>
      <c r="E1221" s="12" t="s">
        <v>29</v>
      </c>
      <c r="F1221" s="13">
        <v>23.02</v>
      </c>
      <c r="G1221" s="12" t="s">
        <v>34</v>
      </c>
      <c r="H1221" s="12" t="str">
        <f t="shared" si="25"/>
        <v>Morning</v>
      </c>
      <c r="I1221" s="12" t="str">
        <f t="shared" si="26"/>
        <v>Sat</v>
      </c>
      <c r="J1221" s="12" t="str">
        <f t="shared" si="27"/>
        <v>Aug</v>
      </c>
      <c r="K1221" s="12">
        <f t="shared" si="28"/>
        <v>6</v>
      </c>
      <c r="L1221" s="12">
        <f t="shared" si="29"/>
        <v>8</v>
      </c>
    </row>
    <row r="1222" spans="1:12" x14ac:dyDescent="0.3">
      <c r="A1222" s="6">
        <v>45514</v>
      </c>
      <c r="B1222" s="7">
        <v>45514.49610571759</v>
      </c>
      <c r="C1222" s="8">
        <f t="shared" si="24"/>
        <v>11</v>
      </c>
      <c r="D1222" s="8" t="s">
        <v>4</v>
      </c>
      <c r="E1222" s="8" t="s">
        <v>29</v>
      </c>
      <c r="F1222" s="9">
        <v>23.02</v>
      </c>
      <c r="G1222" s="8" t="s">
        <v>17</v>
      </c>
      <c r="H1222" s="8" t="str">
        <f t="shared" si="25"/>
        <v>Morning</v>
      </c>
      <c r="I1222" s="8" t="str">
        <f t="shared" si="26"/>
        <v>Sat</v>
      </c>
      <c r="J1222" s="8" t="str">
        <f t="shared" si="27"/>
        <v>Aug</v>
      </c>
      <c r="K1222" s="8">
        <f t="shared" si="28"/>
        <v>6</v>
      </c>
      <c r="L1222" s="8">
        <f t="shared" si="29"/>
        <v>8</v>
      </c>
    </row>
    <row r="1223" spans="1:12" x14ac:dyDescent="0.3">
      <c r="A1223" s="10">
        <v>45514</v>
      </c>
      <c r="B1223" s="11">
        <v>45514.510543136574</v>
      </c>
      <c r="C1223" s="12">
        <f t="shared" si="24"/>
        <v>12</v>
      </c>
      <c r="D1223" s="12" t="s">
        <v>4</v>
      </c>
      <c r="E1223" s="12" t="s">
        <v>501</v>
      </c>
      <c r="F1223" s="13">
        <v>32.82</v>
      </c>
      <c r="G1223" s="12" t="s">
        <v>13</v>
      </c>
      <c r="H1223" s="12" t="str">
        <f t="shared" si="25"/>
        <v>Afternoon</v>
      </c>
      <c r="I1223" s="12" t="str">
        <f t="shared" si="26"/>
        <v>Sat</v>
      </c>
      <c r="J1223" s="12" t="str">
        <f t="shared" si="27"/>
        <v>Aug</v>
      </c>
      <c r="K1223" s="12">
        <f t="shared" si="28"/>
        <v>6</v>
      </c>
      <c r="L1223" s="12">
        <f t="shared" si="29"/>
        <v>8</v>
      </c>
    </row>
    <row r="1224" spans="1:12" x14ac:dyDescent="0.3">
      <c r="A1224" s="6">
        <v>45514</v>
      </c>
      <c r="B1224" s="7">
        <v>45514.523060810185</v>
      </c>
      <c r="C1224" s="8">
        <f t="shared" si="24"/>
        <v>12</v>
      </c>
      <c r="D1224" s="8" t="s">
        <v>4</v>
      </c>
      <c r="E1224" s="8" t="s">
        <v>483</v>
      </c>
      <c r="F1224" s="9">
        <v>27.92</v>
      </c>
      <c r="G1224" s="8" t="s">
        <v>20</v>
      </c>
      <c r="H1224" s="8" t="str">
        <f t="shared" si="25"/>
        <v>Afternoon</v>
      </c>
      <c r="I1224" s="8" t="str">
        <f t="shared" si="26"/>
        <v>Sat</v>
      </c>
      <c r="J1224" s="8" t="str">
        <f t="shared" si="27"/>
        <v>Aug</v>
      </c>
      <c r="K1224" s="8">
        <f t="shared" si="28"/>
        <v>6</v>
      </c>
      <c r="L1224" s="8">
        <f t="shared" si="29"/>
        <v>8</v>
      </c>
    </row>
    <row r="1225" spans="1:12" x14ac:dyDescent="0.3">
      <c r="A1225" s="10">
        <v>45514</v>
      </c>
      <c r="B1225" s="11">
        <v>45514.670973206019</v>
      </c>
      <c r="C1225" s="12">
        <f t="shared" si="24"/>
        <v>16</v>
      </c>
      <c r="D1225" s="12" t="s">
        <v>4</v>
      </c>
      <c r="E1225" s="12" t="s">
        <v>25</v>
      </c>
      <c r="F1225" s="13">
        <v>32.82</v>
      </c>
      <c r="G1225" s="12" t="s">
        <v>13</v>
      </c>
      <c r="H1225" s="12" t="str">
        <f t="shared" si="25"/>
        <v>Afternoon</v>
      </c>
      <c r="I1225" s="12" t="str">
        <f t="shared" si="26"/>
        <v>Sat</v>
      </c>
      <c r="J1225" s="12" t="str">
        <f t="shared" si="27"/>
        <v>Aug</v>
      </c>
      <c r="K1225" s="12">
        <f t="shared" si="28"/>
        <v>6</v>
      </c>
      <c r="L1225" s="12">
        <f t="shared" si="29"/>
        <v>8</v>
      </c>
    </row>
    <row r="1226" spans="1:12" x14ac:dyDescent="0.3">
      <c r="A1226" s="6">
        <v>45514</v>
      </c>
      <c r="B1226" s="7">
        <v>45514.886673171299</v>
      </c>
      <c r="C1226" s="8">
        <f t="shared" si="24"/>
        <v>21</v>
      </c>
      <c r="D1226" s="8" t="s">
        <v>4</v>
      </c>
      <c r="E1226" s="8" t="s">
        <v>502</v>
      </c>
      <c r="F1226" s="9">
        <v>32.82</v>
      </c>
      <c r="G1226" s="8" t="s">
        <v>24</v>
      </c>
      <c r="H1226" s="8" t="str">
        <f t="shared" si="25"/>
        <v>Night</v>
      </c>
      <c r="I1226" s="8" t="str">
        <f t="shared" si="26"/>
        <v>Sat</v>
      </c>
      <c r="J1226" s="8" t="str">
        <f t="shared" si="27"/>
        <v>Aug</v>
      </c>
      <c r="K1226" s="8">
        <f t="shared" si="28"/>
        <v>6</v>
      </c>
      <c r="L1226" s="8">
        <f t="shared" si="29"/>
        <v>8</v>
      </c>
    </row>
    <row r="1227" spans="1:12" x14ac:dyDescent="0.3">
      <c r="A1227" s="10">
        <v>45514</v>
      </c>
      <c r="B1227" s="11">
        <v>45514.887281099538</v>
      </c>
      <c r="C1227" s="12">
        <f t="shared" si="24"/>
        <v>21</v>
      </c>
      <c r="D1227" s="12" t="s">
        <v>4</v>
      </c>
      <c r="E1227" s="12" t="s">
        <v>502</v>
      </c>
      <c r="F1227" s="13">
        <v>32.82</v>
      </c>
      <c r="G1227" s="12" t="s">
        <v>24</v>
      </c>
      <c r="H1227" s="12" t="str">
        <f t="shared" si="25"/>
        <v>Night</v>
      </c>
      <c r="I1227" s="12" t="str">
        <f t="shared" si="26"/>
        <v>Sat</v>
      </c>
      <c r="J1227" s="12" t="str">
        <f t="shared" si="27"/>
        <v>Aug</v>
      </c>
      <c r="K1227" s="12">
        <f t="shared" si="28"/>
        <v>6</v>
      </c>
      <c r="L1227" s="12">
        <f t="shared" si="29"/>
        <v>8</v>
      </c>
    </row>
    <row r="1228" spans="1:12" x14ac:dyDescent="0.3">
      <c r="A1228" s="6">
        <v>45514</v>
      </c>
      <c r="B1228" s="7">
        <v>45514.901174965278</v>
      </c>
      <c r="C1228" s="8">
        <f t="shared" si="24"/>
        <v>21</v>
      </c>
      <c r="D1228" s="8" t="s">
        <v>4</v>
      </c>
      <c r="E1228" s="8" t="s">
        <v>462</v>
      </c>
      <c r="F1228" s="9">
        <v>32.82</v>
      </c>
      <c r="G1228" s="8" t="s">
        <v>24</v>
      </c>
      <c r="H1228" s="8" t="str">
        <f t="shared" si="25"/>
        <v>Night</v>
      </c>
      <c r="I1228" s="8" t="str">
        <f t="shared" si="26"/>
        <v>Sat</v>
      </c>
      <c r="J1228" s="8" t="str">
        <f t="shared" si="27"/>
        <v>Aug</v>
      </c>
      <c r="K1228" s="8">
        <f t="shared" si="28"/>
        <v>6</v>
      </c>
      <c r="L1228" s="8">
        <f t="shared" si="29"/>
        <v>8</v>
      </c>
    </row>
    <row r="1229" spans="1:12" x14ac:dyDescent="0.3">
      <c r="A1229" s="10">
        <v>45515</v>
      </c>
      <c r="B1229" s="11">
        <v>45515.411534606479</v>
      </c>
      <c r="C1229" s="12">
        <f t="shared" si="24"/>
        <v>9</v>
      </c>
      <c r="D1229" s="12" t="s">
        <v>4</v>
      </c>
      <c r="E1229" s="12" t="s">
        <v>460</v>
      </c>
      <c r="F1229" s="13">
        <v>32.82</v>
      </c>
      <c r="G1229" s="12" t="s">
        <v>13</v>
      </c>
      <c r="H1229" s="12" t="str">
        <f t="shared" si="25"/>
        <v>Morning</v>
      </c>
      <c r="I1229" s="12" t="str">
        <f t="shared" si="26"/>
        <v>Sun</v>
      </c>
      <c r="J1229" s="12" t="str">
        <f t="shared" si="27"/>
        <v>Aug</v>
      </c>
      <c r="K1229" s="12">
        <f t="shared" si="28"/>
        <v>7</v>
      </c>
      <c r="L1229" s="12">
        <f t="shared" si="29"/>
        <v>8</v>
      </c>
    </row>
    <row r="1230" spans="1:12" x14ac:dyDescent="0.3">
      <c r="A1230" s="6">
        <v>45515</v>
      </c>
      <c r="B1230" s="7">
        <v>45515.412309768515</v>
      </c>
      <c r="C1230" s="8">
        <f t="shared" si="24"/>
        <v>9</v>
      </c>
      <c r="D1230" s="8" t="s">
        <v>4</v>
      </c>
      <c r="E1230" s="8" t="s">
        <v>460</v>
      </c>
      <c r="F1230" s="9">
        <v>32.82</v>
      </c>
      <c r="G1230" s="8" t="s">
        <v>13</v>
      </c>
      <c r="H1230" s="8" t="str">
        <f t="shared" si="25"/>
        <v>Morning</v>
      </c>
      <c r="I1230" s="8" t="str">
        <f t="shared" si="26"/>
        <v>Sun</v>
      </c>
      <c r="J1230" s="8" t="str">
        <f t="shared" si="27"/>
        <v>Aug</v>
      </c>
      <c r="K1230" s="8">
        <f t="shared" si="28"/>
        <v>7</v>
      </c>
      <c r="L1230" s="8">
        <f t="shared" si="29"/>
        <v>8</v>
      </c>
    </row>
    <row r="1231" spans="1:12" x14ac:dyDescent="0.3">
      <c r="A1231" s="10">
        <v>45515</v>
      </c>
      <c r="B1231" s="11">
        <v>45515.428745787038</v>
      </c>
      <c r="C1231" s="12">
        <f t="shared" si="24"/>
        <v>10</v>
      </c>
      <c r="D1231" s="12" t="s">
        <v>4</v>
      </c>
      <c r="E1231" s="12" t="s">
        <v>367</v>
      </c>
      <c r="F1231" s="13">
        <v>27.92</v>
      </c>
      <c r="G1231" s="12" t="s">
        <v>20</v>
      </c>
      <c r="H1231" s="12" t="str">
        <f t="shared" si="25"/>
        <v>Morning</v>
      </c>
      <c r="I1231" s="12" t="str">
        <f t="shared" si="26"/>
        <v>Sun</v>
      </c>
      <c r="J1231" s="12" t="str">
        <f t="shared" si="27"/>
        <v>Aug</v>
      </c>
      <c r="K1231" s="12">
        <f t="shared" si="28"/>
        <v>7</v>
      </c>
      <c r="L1231" s="12">
        <f t="shared" si="29"/>
        <v>8</v>
      </c>
    </row>
    <row r="1232" spans="1:12" x14ac:dyDescent="0.3">
      <c r="A1232" s="6">
        <v>45515</v>
      </c>
      <c r="B1232" s="7">
        <v>45515.497698425927</v>
      </c>
      <c r="C1232" s="8">
        <f t="shared" si="24"/>
        <v>11</v>
      </c>
      <c r="D1232" s="8" t="s">
        <v>4</v>
      </c>
      <c r="E1232" s="8" t="s">
        <v>500</v>
      </c>
      <c r="F1232" s="9">
        <v>32.82</v>
      </c>
      <c r="G1232" s="8" t="s">
        <v>49</v>
      </c>
      <c r="H1232" s="8" t="str">
        <f t="shared" si="25"/>
        <v>Morning</v>
      </c>
      <c r="I1232" s="8" t="str">
        <f t="shared" si="26"/>
        <v>Sun</v>
      </c>
      <c r="J1232" s="8" t="str">
        <f t="shared" si="27"/>
        <v>Aug</v>
      </c>
      <c r="K1232" s="8">
        <f t="shared" si="28"/>
        <v>7</v>
      </c>
      <c r="L1232" s="8">
        <f t="shared" si="29"/>
        <v>8</v>
      </c>
    </row>
    <row r="1233" spans="1:12" x14ac:dyDescent="0.3">
      <c r="A1233" s="10">
        <v>45515</v>
      </c>
      <c r="B1233" s="11">
        <v>45515.498394317132</v>
      </c>
      <c r="C1233" s="12">
        <f t="shared" si="24"/>
        <v>11</v>
      </c>
      <c r="D1233" s="12" t="s">
        <v>4</v>
      </c>
      <c r="E1233" s="12" t="s">
        <v>500</v>
      </c>
      <c r="F1233" s="13">
        <v>27.92</v>
      </c>
      <c r="G1233" s="12" t="s">
        <v>20</v>
      </c>
      <c r="H1233" s="12" t="str">
        <f t="shared" si="25"/>
        <v>Morning</v>
      </c>
      <c r="I1233" s="12" t="str">
        <f t="shared" si="26"/>
        <v>Sun</v>
      </c>
      <c r="J1233" s="12" t="str">
        <f t="shared" si="27"/>
        <v>Aug</v>
      </c>
      <c r="K1233" s="12">
        <f t="shared" si="28"/>
        <v>7</v>
      </c>
      <c r="L1233" s="12">
        <f t="shared" si="29"/>
        <v>8</v>
      </c>
    </row>
    <row r="1234" spans="1:12" x14ac:dyDescent="0.3">
      <c r="A1234" s="6">
        <v>45515</v>
      </c>
      <c r="B1234" s="7">
        <v>45515.514115393518</v>
      </c>
      <c r="C1234" s="8">
        <f t="shared" si="24"/>
        <v>12</v>
      </c>
      <c r="D1234" s="8" t="s">
        <v>4</v>
      </c>
      <c r="E1234" s="8" t="s">
        <v>161</v>
      </c>
      <c r="F1234" s="9">
        <v>23.02</v>
      </c>
      <c r="G1234" s="8" t="s">
        <v>34</v>
      </c>
      <c r="H1234" s="8" t="str">
        <f t="shared" si="25"/>
        <v>Afternoon</v>
      </c>
      <c r="I1234" s="8" t="str">
        <f t="shared" si="26"/>
        <v>Sun</v>
      </c>
      <c r="J1234" s="8" t="str">
        <f t="shared" si="27"/>
        <v>Aug</v>
      </c>
      <c r="K1234" s="8">
        <f t="shared" si="28"/>
        <v>7</v>
      </c>
      <c r="L1234" s="8">
        <f t="shared" si="29"/>
        <v>8</v>
      </c>
    </row>
    <row r="1235" spans="1:12" x14ac:dyDescent="0.3">
      <c r="A1235" s="10">
        <v>45515</v>
      </c>
      <c r="B1235" s="11">
        <v>45515.662402222224</v>
      </c>
      <c r="C1235" s="12">
        <f t="shared" si="24"/>
        <v>15</v>
      </c>
      <c r="D1235" s="12" t="s">
        <v>4</v>
      </c>
      <c r="E1235" s="12" t="s">
        <v>503</v>
      </c>
      <c r="F1235" s="13">
        <v>32.82</v>
      </c>
      <c r="G1235" s="12" t="s">
        <v>13</v>
      </c>
      <c r="H1235" s="12" t="str">
        <f t="shared" si="25"/>
        <v>Afternoon</v>
      </c>
      <c r="I1235" s="12" t="str">
        <f t="shared" si="26"/>
        <v>Sun</v>
      </c>
      <c r="J1235" s="12" t="str">
        <f t="shared" si="27"/>
        <v>Aug</v>
      </c>
      <c r="K1235" s="12">
        <f t="shared" si="28"/>
        <v>7</v>
      </c>
      <c r="L1235" s="12">
        <f t="shared" si="29"/>
        <v>8</v>
      </c>
    </row>
    <row r="1236" spans="1:12" x14ac:dyDescent="0.3">
      <c r="A1236" s="6">
        <v>45515</v>
      </c>
      <c r="B1236" s="7">
        <v>45515.663366354165</v>
      </c>
      <c r="C1236" s="8">
        <f t="shared" si="24"/>
        <v>15</v>
      </c>
      <c r="D1236" s="8" t="s">
        <v>4</v>
      </c>
      <c r="E1236" s="8" t="s">
        <v>504</v>
      </c>
      <c r="F1236" s="9">
        <v>27.92</v>
      </c>
      <c r="G1236" s="8" t="s">
        <v>20</v>
      </c>
      <c r="H1236" s="8" t="str">
        <f t="shared" si="25"/>
        <v>Afternoon</v>
      </c>
      <c r="I1236" s="8" t="str">
        <f t="shared" si="26"/>
        <v>Sun</v>
      </c>
      <c r="J1236" s="8" t="str">
        <f t="shared" si="27"/>
        <v>Aug</v>
      </c>
      <c r="K1236" s="8">
        <f t="shared" si="28"/>
        <v>7</v>
      </c>
      <c r="L1236" s="8">
        <f t="shared" si="29"/>
        <v>8</v>
      </c>
    </row>
    <row r="1237" spans="1:12" x14ac:dyDescent="0.3">
      <c r="A1237" s="10">
        <v>45515</v>
      </c>
      <c r="B1237" s="11">
        <v>45515.664209456016</v>
      </c>
      <c r="C1237" s="12">
        <f t="shared" si="24"/>
        <v>15</v>
      </c>
      <c r="D1237" s="12" t="s">
        <v>4</v>
      </c>
      <c r="E1237" s="12" t="s">
        <v>504</v>
      </c>
      <c r="F1237" s="13">
        <v>32.82</v>
      </c>
      <c r="G1237" s="12" t="s">
        <v>24</v>
      </c>
      <c r="H1237" s="12" t="str">
        <f t="shared" si="25"/>
        <v>Afternoon</v>
      </c>
      <c r="I1237" s="12" t="str">
        <f t="shared" si="26"/>
        <v>Sun</v>
      </c>
      <c r="J1237" s="12" t="str">
        <f t="shared" si="27"/>
        <v>Aug</v>
      </c>
      <c r="K1237" s="12">
        <f t="shared" si="28"/>
        <v>7</v>
      </c>
      <c r="L1237" s="12">
        <f t="shared" si="29"/>
        <v>8</v>
      </c>
    </row>
    <row r="1238" spans="1:12" x14ac:dyDescent="0.3">
      <c r="A1238" s="6">
        <v>45515</v>
      </c>
      <c r="B1238" s="7">
        <v>45515.685823217595</v>
      </c>
      <c r="C1238" s="8">
        <f t="shared" si="24"/>
        <v>16</v>
      </c>
      <c r="D1238" s="8" t="s">
        <v>4</v>
      </c>
      <c r="E1238" s="8" t="s">
        <v>434</v>
      </c>
      <c r="F1238" s="9">
        <v>32.82</v>
      </c>
      <c r="G1238" s="8" t="s">
        <v>49</v>
      </c>
      <c r="H1238" s="8" t="str">
        <f t="shared" si="25"/>
        <v>Afternoon</v>
      </c>
      <c r="I1238" s="8" t="str">
        <f t="shared" si="26"/>
        <v>Sun</v>
      </c>
      <c r="J1238" s="8" t="str">
        <f t="shared" si="27"/>
        <v>Aug</v>
      </c>
      <c r="K1238" s="8">
        <f t="shared" si="28"/>
        <v>7</v>
      </c>
      <c r="L1238" s="8">
        <f t="shared" si="29"/>
        <v>8</v>
      </c>
    </row>
    <row r="1239" spans="1:12" x14ac:dyDescent="0.3">
      <c r="A1239" s="10">
        <v>45515</v>
      </c>
      <c r="B1239" s="11">
        <v>45515.686554351851</v>
      </c>
      <c r="C1239" s="12">
        <f t="shared" si="24"/>
        <v>16</v>
      </c>
      <c r="D1239" s="12" t="s">
        <v>4</v>
      </c>
      <c r="E1239" s="12" t="s">
        <v>505</v>
      </c>
      <c r="F1239" s="13">
        <v>18.12</v>
      </c>
      <c r="G1239" s="12" t="s">
        <v>41</v>
      </c>
      <c r="H1239" s="12" t="str">
        <f t="shared" si="25"/>
        <v>Afternoon</v>
      </c>
      <c r="I1239" s="12" t="str">
        <f t="shared" si="26"/>
        <v>Sun</v>
      </c>
      <c r="J1239" s="12" t="str">
        <f t="shared" si="27"/>
        <v>Aug</v>
      </c>
      <c r="K1239" s="12">
        <f t="shared" si="28"/>
        <v>7</v>
      </c>
      <c r="L1239" s="12">
        <f t="shared" si="29"/>
        <v>8</v>
      </c>
    </row>
    <row r="1240" spans="1:12" x14ac:dyDescent="0.3">
      <c r="A1240" s="6">
        <v>45515</v>
      </c>
      <c r="B1240" s="7">
        <v>45515.896210057872</v>
      </c>
      <c r="C1240" s="8">
        <f t="shared" si="24"/>
        <v>21</v>
      </c>
      <c r="D1240" s="8" t="s">
        <v>4</v>
      </c>
      <c r="E1240" s="8" t="s">
        <v>506</v>
      </c>
      <c r="F1240" s="9">
        <v>23.02</v>
      </c>
      <c r="G1240" s="8" t="s">
        <v>34</v>
      </c>
      <c r="H1240" s="8" t="str">
        <f t="shared" si="25"/>
        <v>Night</v>
      </c>
      <c r="I1240" s="8" t="str">
        <f t="shared" si="26"/>
        <v>Sun</v>
      </c>
      <c r="J1240" s="8" t="str">
        <f t="shared" si="27"/>
        <v>Aug</v>
      </c>
      <c r="K1240" s="8">
        <f t="shared" si="28"/>
        <v>7</v>
      </c>
      <c r="L1240" s="8">
        <f t="shared" si="29"/>
        <v>8</v>
      </c>
    </row>
    <row r="1241" spans="1:12" x14ac:dyDescent="0.3">
      <c r="A1241" s="10">
        <v>45515</v>
      </c>
      <c r="B1241" s="11">
        <v>45515.903577199075</v>
      </c>
      <c r="C1241" s="12">
        <f t="shared" si="24"/>
        <v>21</v>
      </c>
      <c r="D1241" s="12" t="s">
        <v>4</v>
      </c>
      <c r="E1241" s="12" t="s">
        <v>495</v>
      </c>
      <c r="F1241" s="13">
        <v>32.82</v>
      </c>
      <c r="G1241" s="12" t="s">
        <v>13</v>
      </c>
      <c r="H1241" s="12" t="str">
        <f t="shared" si="25"/>
        <v>Night</v>
      </c>
      <c r="I1241" s="12" t="str">
        <f t="shared" si="26"/>
        <v>Sun</v>
      </c>
      <c r="J1241" s="12" t="str">
        <f t="shared" si="27"/>
        <v>Aug</v>
      </c>
      <c r="K1241" s="12">
        <f t="shared" si="28"/>
        <v>7</v>
      </c>
      <c r="L1241" s="12">
        <f t="shared" si="29"/>
        <v>8</v>
      </c>
    </row>
    <row r="1242" spans="1:12" x14ac:dyDescent="0.3">
      <c r="A1242" s="6">
        <v>45515</v>
      </c>
      <c r="B1242" s="7">
        <v>45515.904978101855</v>
      </c>
      <c r="C1242" s="8">
        <f t="shared" si="24"/>
        <v>21</v>
      </c>
      <c r="D1242" s="8" t="s">
        <v>4</v>
      </c>
      <c r="E1242" s="8" t="s">
        <v>507</v>
      </c>
      <c r="F1242" s="9">
        <v>32.82</v>
      </c>
      <c r="G1242" s="8" t="s">
        <v>13</v>
      </c>
      <c r="H1242" s="8" t="str">
        <f t="shared" si="25"/>
        <v>Night</v>
      </c>
      <c r="I1242" s="8" t="str">
        <f t="shared" si="26"/>
        <v>Sun</v>
      </c>
      <c r="J1242" s="8" t="str">
        <f t="shared" si="27"/>
        <v>Aug</v>
      </c>
      <c r="K1242" s="8">
        <f t="shared" si="28"/>
        <v>7</v>
      </c>
      <c r="L1242" s="8">
        <f t="shared" si="29"/>
        <v>8</v>
      </c>
    </row>
    <row r="1243" spans="1:12" x14ac:dyDescent="0.3">
      <c r="A1243" s="10">
        <v>45515</v>
      </c>
      <c r="B1243" s="11">
        <v>45515.94409621528</v>
      </c>
      <c r="C1243" s="12">
        <f t="shared" si="24"/>
        <v>22</v>
      </c>
      <c r="D1243" s="12" t="s">
        <v>4</v>
      </c>
      <c r="E1243" s="12" t="s">
        <v>508</v>
      </c>
      <c r="F1243" s="13">
        <v>32.82</v>
      </c>
      <c r="G1243" s="12" t="s">
        <v>49</v>
      </c>
      <c r="H1243" s="12" t="str">
        <f t="shared" si="25"/>
        <v>Night</v>
      </c>
      <c r="I1243" s="12" t="str">
        <f t="shared" si="26"/>
        <v>Sun</v>
      </c>
      <c r="J1243" s="12" t="str">
        <f t="shared" si="27"/>
        <v>Aug</v>
      </c>
      <c r="K1243" s="12">
        <f t="shared" si="28"/>
        <v>7</v>
      </c>
      <c r="L1243" s="12">
        <f t="shared" si="29"/>
        <v>8</v>
      </c>
    </row>
    <row r="1244" spans="1:12" x14ac:dyDescent="0.3">
      <c r="A1244" s="6">
        <v>45516</v>
      </c>
      <c r="B1244" s="7">
        <v>45516.351614097221</v>
      </c>
      <c r="C1244" s="8">
        <f t="shared" si="24"/>
        <v>8</v>
      </c>
      <c r="D1244" s="8" t="s">
        <v>4</v>
      </c>
      <c r="E1244" s="8" t="s">
        <v>387</v>
      </c>
      <c r="F1244" s="9">
        <v>32.82</v>
      </c>
      <c r="G1244" s="8" t="s">
        <v>15</v>
      </c>
      <c r="H1244" s="8" t="str">
        <f t="shared" si="25"/>
        <v>Morning</v>
      </c>
      <c r="I1244" s="8" t="str">
        <f t="shared" si="26"/>
        <v>Mon</v>
      </c>
      <c r="J1244" s="8" t="str">
        <f t="shared" si="27"/>
        <v>Aug</v>
      </c>
      <c r="K1244" s="8">
        <f t="shared" si="28"/>
        <v>1</v>
      </c>
      <c r="L1244" s="8">
        <f t="shared" si="29"/>
        <v>8</v>
      </c>
    </row>
    <row r="1245" spans="1:12" x14ac:dyDescent="0.3">
      <c r="A1245" s="10">
        <v>45516</v>
      </c>
      <c r="B1245" s="11">
        <v>45516.468805219905</v>
      </c>
      <c r="C1245" s="12">
        <f t="shared" si="24"/>
        <v>11</v>
      </c>
      <c r="D1245" s="12" t="s">
        <v>4</v>
      </c>
      <c r="E1245" s="12" t="s">
        <v>509</v>
      </c>
      <c r="F1245" s="13">
        <v>27.92</v>
      </c>
      <c r="G1245" s="12" t="s">
        <v>20</v>
      </c>
      <c r="H1245" s="12" t="str">
        <f t="shared" si="25"/>
        <v>Morning</v>
      </c>
      <c r="I1245" s="12" t="str">
        <f t="shared" si="26"/>
        <v>Mon</v>
      </c>
      <c r="J1245" s="12" t="str">
        <f t="shared" si="27"/>
        <v>Aug</v>
      </c>
      <c r="K1245" s="12">
        <f t="shared" si="28"/>
        <v>1</v>
      </c>
      <c r="L1245" s="12">
        <f t="shared" si="29"/>
        <v>8</v>
      </c>
    </row>
    <row r="1246" spans="1:12" x14ac:dyDescent="0.3">
      <c r="A1246" s="6">
        <v>45516</v>
      </c>
      <c r="B1246" s="7">
        <v>45516.471869363428</v>
      </c>
      <c r="C1246" s="8">
        <f t="shared" si="24"/>
        <v>11</v>
      </c>
      <c r="D1246" s="8" t="s">
        <v>4</v>
      </c>
      <c r="E1246" s="8" t="s">
        <v>510</v>
      </c>
      <c r="F1246" s="9">
        <v>23.02</v>
      </c>
      <c r="G1246" s="8" t="s">
        <v>17</v>
      </c>
      <c r="H1246" s="8" t="str">
        <f t="shared" si="25"/>
        <v>Morning</v>
      </c>
      <c r="I1246" s="8" t="str">
        <f t="shared" si="26"/>
        <v>Mon</v>
      </c>
      <c r="J1246" s="8" t="str">
        <f t="shared" si="27"/>
        <v>Aug</v>
      </c>
      <c r="K1246" s="8">
        <f t="shared" si="28"/>
        <v>1</v>
      </c>
      <c r="L1246" s="8">
        <f t="shared" si="29"/>
        <v>8</v>
      </c>
    </row>
    <row r="1247" spans="1:12" x14ac:dyDescent="0.3">
      <c r="A1247" s="10">
        <v>45516</v>
      </c>
      <c r="B1247" s="11">
        <v>45516.472495833332</v>
      </c>
      <c r="C1247" s="12">
        <f t="shared" si="24"/>
        <v>11</v>
      </c>
      <c r="D1247" s="12" t="s">
        <v>4</v>
      </c>
      <c r="E1247" s="12" t="s">
        <v>510</v>
      </c>
      <c r="F1247" s="13">
        <v>32.82</v>
      </c>
      <c r="G1247" s="12" t="s">
        <v>13</v>
      </c>
      <c r="H1247" s="12" t="str">
        <f t="shared" si="25"/>
        <v>Morning</v>
      </c>
      <c r="I1247" s="12" t="str">
        <f t="shared" si="26"/>
        <v>Mon</v>
      </c>
      <c r="J1247" s="12" t="str">
        <f t="shared" si="27"/>
        <v>Aug</v>
      </c>
      <c r="K1247" s="12">
        <f t="shared" si="28"/>
        <v>1</v>
      </c>
      <c r="L1247" s="12">
        <f t="shared" si="29"/>
        <v>8</v>
      </c>
    </row>
    <row r="1248" spans="1:12" x14ac:dyDescent="0.3">
      <c r="A1248" s="6">
        <v>45516</v>
      </c>
      <c r="B1248" s="7">
        <v>45516.489217407405</v>
      </c>
      <c r="C1248" s="8">
        <f t="shared" si="24"/>
        <v>11</v>
      </c>
      <c r="D1248" s="8" t="s">
        <v>4</v>
      </c>
      <c r="E1248" s="8" t="s">
        <v>511</v>
      </c>
      <c r="F1248" s="9">
        <v>32.82</v>
      </c>
      <c r="G1248" s="8" t="s">
        <v>13</v>
      </c>
      <c r="H1248" s="8" t="str">
        <f t="shared" si="25"/>
        <v>Morning</v>
      </c>
      <c r="I1248" s="8" t="str">
        <f t="shared" si="26"/>
        <v>Mon</v>
      </c>
      <c r="J1248" s="8" t="str">
        <f t="shared" si="27"/>
        <v>Aug</v>
      </c>
      <c r="K1248" s="8">
        <f t="shared" si="28"/>
        <v>1</v>
      </c>
      <c r="L1248" s="8">
        <f t="shared" si="29"/>
        <v>8</v>
      </c>
    </row>
    <row r="1249" spans="1:12" x14ac:dyDescent="0.3">
      <c r="A1249" s="10">
        <v>45516</v>
      </c>
      <c r="B1249" s="11">
        <v>45516.586150451389</v>
      </c>
      <c r="C1249" s="12">
        <f t="shared" si="24"/>
        <v>14</v>
      </c>
      <c r="D1249" s="12" t="s">
        <v>4</v>
      </c>
      <c r="E1249" s="12" t="s">
        <v>512</v>
      </c>
      <c r="F1249" s="13">
        <v>18.12</v>
      </c>
      <c r="G1249" s="12" t="s">
        <v>41</v>
      </c>
      <c r="H1249" s="12" t="str">
        <f t="shared" si="25"/>
        <v>Afternoon</v>
      </c>
      <c r="I1249" s="12" t="str">
        <f t="shared" si="26"/>
        <v>Mon</v>
      </c>
      <c r="J1249" s="12" t="str">
        <f t="shared" si="27"/>
        <v>Aug</v>
      </c>
      <c r="K1249" s="12">
        <f t="shared" si="28"/>
        <v>1</v>
      </c>
      <c r="L1249" s="12">
        <f t="shared" si="29"/>
        <v>8</v>
      </c>
    </row>
    <row r="1250" spans="1:12" x14ac:dyDescent="0.3">
      <c r="A1250" s="6">
        <v>45516</v>
      </c>
      <c r="B1250" s="7">
        <v>45516.586885775461</v>
      </c>
      <c r="C1250" s="8">
        <f t="shared" si="24"/>
        <v>14</v>
      </c>
      <c r="D1250" s="8" t="s">
        <v>4</v>
      </c>
      <c r="E1250" s="8" t="s">
        <v>512</v>
      </c>
      <c r="F1250" s="9">
        <v>27.92</v>
      </c>
      <c r="G1250" s="8" t="s">
        <v>20</v>
      </c>
      <c r="H1250" s="8" t="str">
        <f t="shared" si="25"/>
        <v>Afternoon</v>
      </c>
      <c r="I1250" s="8" t="str">
        <f t="shared" si="26"/>
        <v>Mon</v>
      </c>
      <c r="J1250" s="8" t="str">
        <f t="shared" si="27"/>
        <v>Aug</v>
      </c>
      <c r="K1250" s="8">
        <f t="shared" si="28"/>
        <v>1</v>
      </c>
      <c r="L1250" s="8">
        <f t="shared" si="29"/>
        <v>8</v>
      </c>
    </row>
    <row r="1251" spans="1:12" x14ac:dyDescent="0.3">
      <c r="A1251" s="10">
        <v>45516</v>
      </c>
      <c r="B1251" s="11">
        <v>45516.648299884262</v>
      </c>
      <c r="C1251" s="12">
        <f t="shared" si="24"/>
        <v>15</v>
      </c>
      <c r="D1251" s="12" t="s">
        <v>4</v>
      </c>
      <c r="E1251" s="12" t="s">
        <v>513</v>
      </c>
      <c r="F1251" s="13">
        <v>27.92</v>
      </c>
      <c r="G1251" s="12" t="s">
        <v>20</v>
      </c>
      <c r="H1251" s="12" t="str">
        <f t="shared" si="25"/>
        <v>Afternoon</v>
      </c>
      <c r="I1251" s="12" t="str">
        <f t="shared" si="26"/>
        <v>Mon</v>
      </c>
      <c r="J1251" s="12" t="str">
        <f t="shared" si="27"/>
        <v>Aug</v>
      </c>
      <c r="K1251" s="12">
        <f t="shared" si="28"/>
        <v>1</v>
      </c>
      <c r="L1251" s="12">
        <f t="shared" si="29"/>
        <v>8</v>
      </c>
    </row>
    <row r="1252" spans="1:12" x14ac:dyDescent="0.3">
      <c r="A1252" s="6">
        <v>45516</v>
      </c>
      <c r="B1252" s="7">
        <v>45516.753528125002</v>
      </c>
      <c r="C1252" s="8">
        <f t="shared" si="24"/>
        <v>18</v>
      </c>
      <c r="D1252" s="8" t="s">
        <v>4</v>
      </c>
      <c r="E1252" s="8" t="s">
        <v>117</v>
      </c>
      <c r="F1252" s="9">
        <v>27.92</v>
      </c>
      <c r="G1252" s="8" t="s">
        <v>20</v>
      </c>
      <c r="H1252" s="8" t="str">
        <f t="shared" si="25"/>
        <v>Night</v>
      </c>
      <c r="I1252" s="8" t="str">
        <f t="shared" si="26"/>
        <v>Mon</v>
      </c>
      <c r="J1252" s="8" t="str">
        <f t="shared" si="27"/>
        <v>Aug</v>
      </c>
      <c r="K1252" s="8">
        <f t="shared" si="28"/>
        <v>1</v>
      </c>
      <c r="L1252" s="8">
        <f t="shared" si="29"/>
        <v>8</v>
      </c>
    </row>
    <row r="1253" spans="1:12" x14ac:dyDescent="0.3">
      <c r="A1253" s="10">
        <v>45516</v>
      </c>
      <c r="B1253" s="11">
        <v>45516.892932303243</v>
      </c>
      <c r="C1253" s="12">
        <f t="shared" si="24"/>
        <v>21</v>
      </c>
      <c r="D1253" s="12" t="s">
        <v>4</v>
      </c>
      <c r="E1253" s="12" t="s">
        <v>117</v>
      </c>
      <c r="F1253" s="13">
        <v>27.92</v>
      </c>
      <c r="G1253" s="12" t="s">
        <v>20</v>
      </c>
      <c r="H1253" s="12" t="str">
        <f t="shared" si="25"/>
        <v>Night</v>
      </c>
      <c r="I1253" s="12" t="str">
        <f t="shared" si="26"/>
        <v>Mon</v>
      </c>
      <c r="J1253" s="12" t="str">
        <f t="shared" si="27"/>
        <v>Aug</v>
      </c>
      <c r="K1253" s="12">
        <f t="shared" si="28"/>
        <v>1</v>
      </c>
      <c r="L1253" s="12">
        <f t="shared" si="29"/>
        <v>8</v>
      </c>
    </row>
    <row r="1254" spans="1:12" x14ac:dyDescent="0.3">
      <c r="A1254" s="6">
        <v>45516</v>
      </c>
      <c r="B1254" s="7">
        <v>45516.901134733795</v>
      </c>
      <c r="C1254" s="8">
        <f t="shared" si="24"/>
        <v>21</v>
      </c>
      <c r="D1254" s="8" t="s">
        <v>4</v>
      </c>
      <c r="E1254" s="8" t="s">
        <v>514</v>
      </c>
      <c r="F1254" s="9">
        <v>32.82</v>
      </c>
      <c r="G1254" s="8" t="s">
        <v>13</v>
      </c>
      <c r="H1254" s="8" t="str">
        <f t="shared" si="25"/>
        <v>Night</v>
      </c>
      <c r="I1254" s="8" t="str">
        <f t="shared" si="26"/>
        <v>Mon</v>
      </c>
      <c r="J1254" s="8" t="str">
        <f t="shared" si="27"/>
        <v>Aug</v>
      </c>
      <c r="K1254" s="8">
        <f t="shared" si="28"/>
        <v>1</v>
      </c>
      <c r="L1254" s="8">
        <f t="shared" si="29"/>
        <v>8</v>
      </c>
    </row>
    <row r="1255" spans="1:12" x14ac:dyDescent="0.3">
      <c r="A1255" s="10">
        <v>45516</v>
      </c>
      <c r="B1255" s="11">
        <v>45516.957176759257</v>
      </c>
      <c r="C1255" s="12">
        <f t="shared" si="24"/>
        <v>22</v>
      </c>
      <c r="D1255" s="12" t="s">
        <v>4</v>
      </c>
      <c r="E1255" s="12" t="s">
        <v>154</v>
      </c>
      <c r="F1255" s="13">
        <v>32.82</v>
      </c>
      <c r="G1255" s="12" t="s">
        <v>49</v>
      </c>
      <c r="H1255" s="12" t="str">
        <f t="shared" si="25"/>
        <v>Night</v>
      </c>
      <c r="I1255" s="12" t="str">
        <f t="shared" si="26"/>
        <v>Mon</v>
      </c>
      <c r="J1255" s="12" t="str">
        <f t="shared" si="27"/>
        <v>Aug</v>
      </c>
      <c r="K1255" s="12">
        <f t="shared" si="28"/>
        <v>1</v>
      </c>
      <c r="L1255" s="12">
        <f t="shared" si="29"/>
        <v>8</v>
      </c>
    </row>
    <row r="1256" spans="1:12" x14ac:dyDescent="0.3">
      <c r="A1256" s="6">
        <v>45516</v>
      </c>
      <c r="B1256" s="7">
        <v>45516.957853518521</v>
      </c>
      <c r="C1256" s="8">
        <f t="shared" si="24"/>
        <v>22</v>
      </c>
      <c r="D1256" s="8" t="s">
        <v>4</v>
      </c>
      <c r="E1256" s="8" t="s">
        <v>154</v>
      </c>
      <c r="F1256" s="9">
        <v>32.82</v>
      </c>
      <c r="G1256" s="8" t="s">
        <v>49</v>
      </c>
      <c r="H1256" s="8" t="str">
        <f t="shared" si="25"/>
        <v>Night</v>
      </c>
      <c r="I1256" s="8" t="str">
        <f t="shared" si="26"/>
        <v>Mon</v>
      </c>
      <c r="J1256" s="8" t="str">
        <f t="shared" si="27"/>
        <v>Aug</v>
      </c>
      <c r="K1256" s="8">
        <f t="shared" si="28"/>
        <v>1</v>
      </c>
      <c r="L1256" s="8">
        <f t="shared" si="29"/>
        <v>8</v>
      </c>
    </row>
    <row r="1257" spans="1:12" x14ac:dyDescent="0.3">
      <c r="A1257" s="10">
        <v>45517</v>
      </c>
      <c r="B1257" s="11">
        <v>45517.364238275462</v>
      </c>
      <c r="C1257" s="12">
        <f t="shared" si="24"/>
        <v>8</v>
      </c>
      <c r="D1257" s="12" t="s">
        <v>4</v>
      </c>
      <c r="E1257" s="12" t="s">
        <v>515</v>
      </c>
      <c r="F1257" s="13">
        <v>27.92</v>
      </c>
      <c r="G1257" s="12" t="s">
        <v>20</v>
      </c>
      <c r="H1257" s="12" t="str">
        <f t="shared" si="25"/>
        <v>Morning</v>
      </c>
      <c r="I1257" s="12" t="str">
        <f t="shared" si="26"/>
        <v>Tue</v>
      </c>
      <c r="J1257" s="12" t="str">
        <f t="shared" si="27"/>
        <v>Aug</v>
      </c>
      <c r="K1257" s="12">
        <f t="shared" si="28"/>
        <v>2</v>
      </c>
      <c r="L1257" s="12">
        <f t="shared" si="29"/>
        <v>8</v>
      </c>
    </row>
    <row r="1258" spans="1:12" x14ac:dyDescent="0.3">
      <c r="A1258" s="6">
        <v>45517</v>
      </c>
      <c r="B1258" s="7">
        <v>45517.384972199077</v>
      </c>
      <c r="C1258" s="8">
        <f t="shared" si="24"/>
        <v>9</v>
      </c>
      <c r="D1258" s="8" t="s">
        <v>4</v>
      </c>
      <c r="E1258" s="8" t="s">
        <v>117</v>
      </c>
      <c r="F1258" s="9">
        <v>27.92</v>
      </c>
      <c r="G1258" s="8" t="s">
        <v>20</v>
      </c>
      <c r="H1258" s="8" t="str">
        <f t="shared" si="25"/>
        <v>Morning</v>
      </c>
      <c r="I1258" s="8" t="str">
        <f t="shared" si="26"/>
        <v>Tue</v>
      </c>
      <c r="J1258" s="8" t="str">
        <f t="shared" si="27"/>
        <v>Aug</v>
      </c>
      <c r="K1258" s="8">
        <f t="shared" si="28"/>
        <v>2</v>
      </c>
      <c r="L1258" s="8">
        <f t="shared" si="29"/>
        <v>8</v>
      </c>
    </row>
    <row r="1259" spans="1:12" x14ac:dyDescent="0.3">
      <c r="A1259" s="10">
        <v>45517</v>
      </c>
      <c r="B1259" s="11">
        <v>45517.406902430557</v>
      </c>
      <c r="C1259" s="12">
        <f t="shared" si="24"/>
        <v>9</v>
      </c>
      <c r="D1259" s="12" t="s">
        <v>4</v>
      </c>
      <c r="E1259" s="12" t="s">
        <v>405</v>
      </c>
      <c r="F1259" s="13">
        <v>27.92</v>
      </c>
      <c r="G1259" s="12" t="s">
        <v>20</v>
      </c>
      <c r="H1259" s="12" t="str">
        <f t="shared" si="25"/>
        <v>Morning</v>
      </c>
      <c r="I1259" s="12" t="str">
        <f t="shared" si="26"/>
        <v>Tue</v>
      </c>
      <c r="J1259" s="12" t="str">
        <f t="shared" si="27"/>
        <v>Aug</v>
      </c>
      <c r="K1259" s="12">
        <f t="shared" si="28"/>
        <v>2</v>
      </c>
      <c r="L1259" s="12">
        <f t="shared" si="29"/>
        <v>8</v>
      </c>
    </row>
    <row r="1260" spans="1:12" x14ac:dyDescent="0.3">
      <c r="A1260" s="6">
        <v>45517</v>
      </c>
      <c r="B1260" s="7">
        <v>45517.445934872689</v>
      </c>
      <c r="C1260" s="8">
        <f t="shared" si="24"/>
        <v>10</v>
      </c>
      <c r="D1260" s="8" t="s">
        <v>4</v>
      </c>
      <c r="E1260" s="8" t="s">
        <v>161</v>
      </c>
      <c r="F1260" s="9">
        <v>23.02</v>
      </c>
      <c r="G1260" s="8" t="s">
        <v>34</v>
      </c>
      <c r="H1260" s="8" t="str">
        <f t="shared" si="25"/>
        <v>Morning</v>
      </c>
      <c r="I1260" s="8" t="str">
        <f t="shared" si="26"/>
        <v>Tue</v>
      </c>
      <c r="J1260" s="8" t="str">
        <f t="shared" si="27"/>
        <v>Aug</v>
      </c>
      <c r="K1260" s="8">
        <f t="shared" si="28"/>
        <v>2</v>
      </c>
      <c r="L1260" s="8">
        <f t="shared" si="29"/>
        <v>8</v>
      </c>
    </row>
    <row r="1261" spans="1:12" x14ac:dyDescent="0.3">
      <c r="A1261" s="10">
        <v>45517</v>
      </c>
      <c r="B1261" s="11">
        <v>45517.499856620372</v>
      </c>
      <c r="C1261" s="12">
        <f t="shared" si="24"/>
        <v>11</v>
      </c>
      <c r="D1261" s="12" t="s">
        <v>4</v>
      </c>
      <c r="E1261" s="12" t="s">
        <v>516</v>
      </c>
      <c r="F1261" s="13">
        <v>32.82</v>
      </c>
      <c r="G1261" s="12" t="s">
        <v>13</v>
      </c>
      <c r="H1261" s="12" t="str">
        <f t="shared" si="25"/>
        <v>Morning</v>
      </c>
      <c r="I1261" s="12" t="str">
        <f t="shared" si="26"/>
        <v>Tue</v>
      </c>
      <c r="J1261" s="12" t="str">
        <f t="shared" si="27"/>
        <v>Aug</v>
      </c>
      <c r="K1261" s="12">
        <f t="shared" si="28"/>
        <v>2</v>
      </c>
      <c r="L1261" s="12">
        <f t="shared" si="29"/>
        <v>8</v>
      </c>
    </row>
    <row r="1262" spans="1:12" x14ac:dyDescent="0.3">
      <c r="A1262" s="6">
        <v>45517</v>
      </c>
      <c r="B1262" s="7">
        <v>45517.542841284725</v>
      </c>
      <c r="C1262" s="8">
        <f t="shared" si="24"/>
        <v>13</v>
      </c>
      <c r="D1262" s="8" t="s">
        <v>4</v>
      </c>
      <c r="E1262" s="8" t="s">
        <v>517</v>
      </c>
      <c r="F1262" s="9">
        <v>27.92</v>
      </c>
      <c r="G1262" s="8" t="s">
        <v>20</v>
      </c>
      <c r="H1262" s="8" t="str">
        <f t="shared" si="25"/>
        <v>Afternoon</v>
      </c>
      <c r="I1262" s="8" t="str">
        <f t="shared" si="26"/>
        <v>Tue</v>
      </c>
      <c r="J1262" s="8" t="str">
        <f t="shared" si="27"/>
        <v>Aug</v>
      </c>
      <c r="K1262" s="8">
        <f t="shared" si="28"/>
        <v>2</v>
      </c>
      <c r="L1262" s="8">
        <f t="shared" si="29"/>
        <v>8</v>
      </c>
    </row>
    <row r="1263" spans="1:12" x14ac:dyDescent="0.3">
      <c r="A1263" s="10">
        <v>45517</v>
      </c>
      <c r="B1263" s="11">
        <v>45517.615042696758</v>
      </c>
      <c r="C1263" s="12">
        <f t="shared" si="24"/>
        <v>14</v>
      </c>
      <c r="D1263" s="12" t="s">
        <v>4</v>
      </c>
      <c r="E1263" s="12" t="s">
        <v>514</v>
      </c>
      <c r="F1263" s="13">
        <v>32.82</v>
      </c>
      <c r="G1263" s="12" t="s">
        <v>13</v>
      </c>
      <c r="H1263" s="12" t="str">
        <f t="shared" si="25"/>
        <v>Afternoon</v>
      </c>
      <c r="I1263" s="12" t="str">
        <f t="shared" si="26"/>
        <v>Tue</v>
      </c>
      <c r="J1263" s="12" t="str">
        <f t="shared" si="27"/>
        <v>Aug</v>
      </c>
      <c r="K1263" s="12">
        <f t="shared" si="28"/>
        <v>2</v>
      </c>
      <c r="L1263" s="12">
        <f t="shared" si="29"/>
        <v>8</v>
      </c>
    </row>
    <row r="1264" spans="1:12" x14ac:dyDescent="0.3">
      <c r="A1264" s="6">
        <v>45517</v>
      </c>
      <c r="B1264" s="7">
        <v>45517.658295173613</v>
      </c>
      <c r="C1264" s="8">
        <f t="shared" si="24"/>
        <v>15</v>
      </c>
      <c r="D1264" s="8" t="s">
        <v>4</v>
      </c>
      <c r="E1264" s="8" t="s">
        <v>518</v>
      </c>
      <c r="F1264" s="9">
        <v>32.82</v>
      </c>
      <c r="G1264" s="8" t="s">
        <v>49</v>
      </c>
      <c r="H1264" s="8" t="str">
        <f t="shared" si="25"/>
        <v>Afternoon</v>
      </c>
      <c r="I1264" s="8" t="str">
        <f t="shared" si="26"/>
        <v>Tue</v>
      </c>
      <c r="J1264" s="8" t="str">
        <f t="shared" si="27"/>
        <v>Aug</v>
      </c>
      <c r="K1264" s="8">
        <f t="shared" si="28"/>
        <v>2</v>
      </c>
      <c r="L1264" s="8">
        <f t="shared" si="29"/>
        <v>8</v>
      </c>
    </row>
    <row r="1265" spans="1:12" x14ac:dyDescent="0.3">
      <c r="A1265" s="10">
        <v>45517</v>
      </c>
      <c r="B1265" s="11">
        <v>45517.663536793982</v>
      </c>
      <c r="C1265" s="12">
        <f t="shared" si="24"/>
        <v>15</v>
      </c>
      <c r="D1265" s="12" t="s">
        <v>4</v>
      </c>
      <c r="E1265" s="12" t="s">
        <v>117</v>
      </c>
      <c r="F1265" s="13">
        <v>27.92</v>
      </c>
      <c r="G1265" s="12" t="s">
        <v>20</v>
      </c>
      <c r="H1265" s="12" t="str">
        <f t="shared" si="25"/>
        <v>Afternoon</v>
      </c>
      <c r="I1265" s="12" t="str">
        <f t="shared" si="26"/>
        <v>Tue</v>
      </c>
      <c r="J1265" s="12" t="str">
        <f t="shared" si="27"/>
        <v>Aug</v>
      </c>
      <c r="K1265" s="12">
        <f t="shared" si="28"/>
        <v>2</v>
      </c>
      <c r="L1265" s="12">
        <f t="shared" si="29"/>
        <v>8</v>
      </c>
    </row>
    <row r="1266" spans="1:12" x14ac:dyDescent="0.3">
      <c r="A1266" s="6">
        <v>45517</v>
      </c>
      <c r="B1266" s="7">
        <v>45517.853871886575</v>
      </c>
      <c r="C1266" s="8">
        <f t="shared" si="24"/>
        <v>20</v>
      </c>
      <c r="D1266" s="8" t="s">
        <v>4</v>
      </c>
      <c r="E1266" s="8" t="s">
        <v>519</v>
      </c>
      <c r="F1266" s="9">
        <v>32.82</v>
      </c>
      <c r="G1266" s="8" t="s">
        <v>13</v>
      </c>
      <c r="H1266" s="8" t="str">
        <f t="shared" si="25"/>
        <v>Night</v>
      </c>
      <c r="I1266" s="8" t="str">
        <f t="shared" si="26"/>
        <v>Tue</v>
      </c>
      <c r="J1266" s="8" t="str">
        <f t="shared" si="27"/>
        <v>Aug</v>
      </c>
      <c r="K1266" s="8">
        <f t="shared" si="28"/>
        <v>2</v>
      </c>
      <c r="L1266" s="8">
        <f t="shared" si="29"/>
        <v>8</v>
      </c>
    </row>
    <row r="1267" spans="1:12" x14ac:dyDescent="0.3">
      <c r="A1267" s="10">
        <v>45517</v>
      </c>
      <c r="B1267" s="11">
        <v>45517.854596643519</v>
      </c>
      <c r="C1267" s="12">
        <f t="shared" si="24"/>
        <v>20</v>
      </c>
      <c r="D1267" s="12" t="s">
        <v>4</v>
      </c>
      <c r="E1267" s="12" t="s">
        <v>519</v>
      </c>
      <c r="F1267" s="13">
        <v>32.82</v>
      </c>
      <c r="G1267" s="12" t="s">
        <v>24</v>
      </c>
      <c r="H1267" s="12" t="str">
        <f t="shared" si="25"/>
        <v>Night</v>
      </c>
      <c r="I1267" s="12" t="str">
        <f t="shared" si="26"/>
        <v>Tue</v>
      </c>
      <c r="J1267" s="12" t="str">
        <f t="shared" si="27"/>
        <v>Aug</v>
      </c>
      <c r="K1267" s="12">
        <f t="shared" si="28"/>
        <v>2</v>
      </c>
      <c r="L1267" s="12">
        <f t="shared" si="29"/>
        <v>8</v>
      </c>
    </row>
    <row r="1268" spans="1:12" x14ac:dyDescent="0.3">
      <c r="A1268" s="6">
        <v>45517</v>
      </c>
      <c r="B1268" s="7">
        <v>45517.864154988427</v>
      </c>
      <c r="C1268" s="8">
        <f t="shared" si="24"/>
        <v>20</v>
      </c>
      <c r="D1268" s="8" t="s">
        <v>4</v>
      </c>
      <c r="E1268" s="8" t="s">
        <v>520</v>
      </c>
      <c r="F1268" s="9">
        <v>32.82</v>
      </c>
      <c r="G1268" s="8" t="s">
        <v>49</v>
      </c>
      <c r="H1268" s="8" t="str">
        <f t="shared" si="25"/>
        <v>Night</v>
      </c>
      <c r="I1268" s="8" t="str">
        <f t="shared" si="26"/>
        <v>Tue</v>
      </c>
      <c r="J1268" s="8" t="str">
        <f t="shared" si="27"/>
        <v>Aug</v>
      </c>
      <c r="K1268" s="8">
        <f t="shared" si="28"/>
        <v>2</v>
      </c>
      <c r="L1268" s="8">
        <f t="shared" si="29"/>
        <v>8</v>
      </c>
    </row>
    <row r="1269" spans="1:12" x14ac:dyDescent="0.3">
      <c r="A1269" s="10">
        <v>45517</v>
      </c>
      <c r="B1269" s="11">
        <v>45517.875517222223</v>
      </c>
      <c r="C1269" s="12">
        <f t="shared" si="24"/>
        <v>21</v>
      </c>
      <c r="D1269" s="12" t="s">
        <v>4</v>
      </c>
      <c r="E1269" s="12" t="s">
        <v>521</v>
      </c>
      <c r="F1269" s="13">
        <v>23.02</v>
      </c>
      <c r="G1269" s="12" t="s">
        <v>34</v>
      </c>
      <c r="H1269" s="12" t="str">
        <f t="shared" si="25"/>
        <v>Night</v>
      </c>
      <c r="I1269" s="12" t="str">
        <f t="shared" si="26"/>
        <v>Tue</v>
      </c>
      <c r="J1269" s="12" t="str">
        <f t="shared" si="27"/>
        <v>Aug</v>
      </c>
      <c r="K1269" s="12">
        <f t="shared" si="28"/>
        <v>2</v>
      </c>
      <c r="L1269" s="12">
        <f t="shared" si="29"/>
        <v>8</v>
      </c>
    </row>
    <row r="1270" spans="1:12" x14ac:dyDescent="0.3">
      <c r="A1270" s="6">
        <v>45518</v>
      </c>
      <c r="B1270" s="7">
        <v>45518.31652896991</v>
      </c>
      <c r="C1270" s="8">
        <f t="shared" si="24"/>
        <v>7</v>
      </c>
      <c r="D1270" s="8" t="s">
        <v>4</v>
      </c>
      <c r="E1270" s="8" t="s">
        <v>495</v>
      </c>
      <c r="F1270" s="9">
        <v>32.82</v>
      </c>
      <c r="G1270" s="8" t="s">
        <v>13</v>
      </c>
      <c r="H1270" s="8" t="str">
        <f t="shared" si="25"/>
        <v>Morning</v>
      </c>
      <c r="I1270" s="8" t="str">
        <f t="shared" si="26"/>
        <v>Wed</v>
      </c>
      <c r="J1270" s="8" t="str">
        <f t="shared" si="27"/>
        <v>Aug</v>
      </c>
      <c r="K1270" s="8">
        <f t="shared" si="28"/>
        <v>3</v>
      </c>
      <c r="L1270" s="8">
        <f t="shared" si="29"/>
        <v>8</v>
      </c>
    </row>
    <row r="1271" spans="1:12" x14ac:dyDescent="0.3">
      <c r="A1271" s="10">
        <v>45518</v>
      </c>
      <c r="B1271" s="11">
        <v>45518.31731017361</v>
      </c>
      <c r="C1271" s="12">
        <f t="shared" si="24"/>
        <v>7</v>
      </c>
      <c r="D1271" s="12" t="s">
        <v>4</v>
      </c>
      <c r="E1271" s="12" t="s">
        <v>492</v>
      </c>
      <c r="F1271" s="13">
        <v>32.82</v>
      </c>
      <c r="G1271" s="12" t="s">
        <v>49</v>
      </c>
      <c r="H1271" s="12" t="str">
        <f t="shared" si="25"/>
        <v>Morning</v>
      </c>
      <c r="I1271" s="12" t="str">
        <f t="shared" si="26"/>
        <v>Wed</v>
      </c>
      <c r="J1271" s="12" t="str">
        <f t="shared" si="27"/>
        <v>Aug</v>
      </c>
      <c r="K1271" s="12">
        <f t="shared" si="28"/>
        <v>3</v>
      </c>
      <c r="L1271" s="12">
        <f t="shared" si="29"/>
        <v>8</v>
      </c>
    </row>
    <row r="1272" spans="1:12" x14ac:dyDescent="0.3">
      <c r="A1272" s="6">
        <v>45518</v>
      </c>
      <c r="B1272" s="7">
        <v>45518.423253761575</v>
      </c>
      <c r="C1272" s="8">
        <f t="shared" si="24"/>
        <v>10</v>
      </c>
      <c r="D1272" s="8" t="s">
        <v>4</v>
      </c>
      <c r="E1272" s="8" t="s">
        <v>161</v>
      </c>
      <c r="F1272" s="9">
        <v>23.02</v>
      </c>
      <c r="G1272" s="8" t="s">
        <v>34</v>
      </c>
      <c r="H1272" s="8" t="str">
        <f t="shared" si="25"/>
        <v>Morning</v>
      </c>
      <c r="I1272" s="8" t="str">
        <f t="shared" si="26"/>
        <v>Wed</v>
      </c>
      <c r="J1272" s="8" t="str">
        <f t="shared" si="27"/>
        <v>Aug</v>
      </c>
      <c r="K1272" s="8">
        <f t="shared" si="28"/>
        <v>3</v>
      </c>
      <c r="L1272" s="8">
        <f t="shared" si="29"/>
        <v>8</v>
      </c>
    </row>
    <row r="1273" spans="1:12" x14ac:dyDescent="0.3">
      <c r="A1273" s="10">
        <v>45518</v>
      </c>
      <c r="B1273" s="11">
        <v>45518.485507893522</v>
      </c>
      <c r="C1273" s="12">
        <f t="shared" si="24"/>
        <v>11</v>
      </c>
      <c r="D1273" s="12" t="s">
        <v>4</v>
      </c>
      <c r="E1273" s="12" t="s">
        <v>115</v>
      </c>
      <c r="F1273" s="13">
        <v>18.12</v>
      </c>
      <c r="G1273" s="12" t="s">
        <v>41</v>
      </c>
      <c r="H1273" s="12" t="str">
        <f t="shared" si="25"/>
        <v>Morning</v>
      </c>
      <c r="I1273" s="12" t="str">
        <f t="shared" si="26"/>
        <v>Wed</v>
      </c>
      <c r="J1273" s="12" t="str">
        <f t="shared" si="27"/>
        <v>Aug</v>
      </c>
      <c r="K1273" s="12">
        <f t="shared" si="28"/>
        <v>3</v>
      </c>
      <c r="L1273" s="12">
        <f t="shared" si="29"/>
        <v>8</v>
      </c>
    </row>
    <row r="1274" spans="1:12" x14ac:dyDescent="0.3">
      <c r="A1274" s="6">
        <v>45518</v>
      </c>
      <c r="B1274" s="7">
        <v>45518.534223969909</v>
      </c>
      <c r="C1274" s="8">
        <f t="shared" si="24"/>
        <v>12</v>
      </c>
      <c r="D1274" s="8" t="s">
        <v>4</v>
      </c>
      <c r="E1274" s="8" t="s">
        <v>522</v>
      </c>
      <c r="F1274" s="9">
        <v>23.02</v>
      </c>
      <c r="G1274" s="8" t="s">
        <v>17</v>
      </c>
      <c r="H1274" s="8" t="str">
        <f t="shared" si="25"/>
        <v>Afternoon</v>
      </c>
      <c r="I1274" s="8" t="str">
        <f t="shared" si="26"/>
        <v>Wed</v>
      </c>
      <c r="J1274" s="8" t="str">
        <f t="shared" si="27"/>
        <v>Aug</v>
      </c>
      <c r="K1274" s="8">
        <f t="shared" si="28"/>
        <v>3</v>
      </c>
      <c r="L1274" s="8">
        <f t="shared" si="29"/>
        <v>8</v>
      </c>
    </row>
    <row r="1275" spans="1:12" x14ac:dyDescent="0.3">
      <c r="A1275" s="10">
        <v>45518</v>
      </c>
      <c r="B1275" s="11">
        <v>45518.535473032411</v>
      </c>
      <c r="C1275" s="12">
        <f t="shared" si="24"/>
        <v>12</v>
      </c>
      <c r="D1275" s="12" t="s">
        <v>4</v>
      </c>
      <c r="E1275" s="12" t="s">
        <v>470</v>
      </c>
      <c r="F1275" s="13">
        <v>23.02</v>
      </c>
      <c r="G1275" s="12" t="s">
        <v>17</v>
      </c>
      <c r="H1275" s="12" t="str">
        <f t="shared" si="25"/>
        <v>Afternoon</v>
      </c>
      <c r="I1275" s="12" t="str">
        <f t="shared" si="26"/>
        <v>Wed</v>
      </c>
      <c r="J1275" s="12" t="str">
        <f t="shared" si="27"/>
        <v>Aug</v>
      </c>
      <c r="K1275" s="12">
        <f t="shared" si="28"/>
        <v>3</v>
      </c>
      <c r="L1275" s="12">
        <f t="shared" si="29"/>
        <v>8</v>
      </c>
    </row>
    <row r="1276" spans="1:12" x14ac:dyDescent="0.3">
      <c r="A1276" s="6">
        <v>45518</v>
      </c>
      <c r="B1276" s="7">
        <v>45518.639898842594</v>
      </c>
      <c r="C1276" s="8">
        <f t="shared" si="24"/>
        <v>15</v>
      </c>
      <c r="D1276" s="8" t="s">
        <v>4</v>
      </c>
      <c r="E1276" s="8" t="s">
        <v>523</v>
      </c>
      <c r="F1276" s="9">
        <v>32.82</v>
      </c>
      <c r="G1276" s="8" t="s">
        <v>13</v>
      </c>
      <c r="H1276" s="8" t="str">
        <f t="shared" si="25"/>
        <v>Afternoon</v>
      </c>
      <c r="I1276" s="8" t="str">
        <f t="shared" si="26"/>
        <v>Wed</v>
      </c>
      <c r="J1276" s="8" t="str">
        <f t="shared" si="27"/>
        <v>Aug</v>
      </c>
      <c r="K1276" s="8">
        <f t="shared" si="28"/>
        <v>3</v>
      </c>
      <c r="L1276" s="8">
        <f t="shared" si="29"/>
        <v>8</v>
      </c>
    </row>
    <row r="1277" spans="1:12" x14ac:dyDescent="0.3">
      <c r="A1277" s="10">
        <v>45518</v>
      </c>
      <c r="B1277" s="11">
        <v>45518.725263749999</v>
      </c>
      <c r="C1277" s="12">
        <f t="shared" ref="C1277:C1531" si="30">HOUR(B1277)</f>
        <v>17</v>
      </c>
      <c r="D1277" s="12" t="s">
        <v>4</v>
      </c>
      <c r="E1277" s="12" t="s">
        <v>524</v>
      </c>
      <c r="F1277" s="13">
        <v>23.02</v>
      </c>
      <c r="G1277" s="12" t="s">
        <v>17</v>
      </c>
      <c r="H1277" s="12" t="str">
        <f t="shared" ref="H1277:H1531" si="31">IF(AND(C1277&gt;=5,C1277&lt;12),"Morning",
 IF(AND(C1277&gt;=12,C1277&lt;17),"Afternoon","Night"))</f>
        <v>Night</v>
      </c>
      <c r="I1277" s="12" t="str">
        <f t="shared" ref="I1277:I1531" si="32">TEXT(A1277, "ddd")</f>
        <v>Wed</v>
      </c>
      <c r="J1277" s="12" t="str">
        <f t="shared" ref="J1277:J1531" si="33">TEXT(A1277, "mmm")</f>
        <v>Aug</v>
      </c>
      <c r="K1277" s="12">
        <f t="shared" ref="K1277:K1531" si="34">WEEKDAY(A1277, 2)</f>
        <v>3</v>
      </c>
      <c r="L1277" s="12">
        <f t="shared" ref="L1277:L1531" si="35">MONTH(A1277)</f>
        <v>8</v>
      </c>
    </row>
    <row r="1278" spans="1:12" x14ac:dyDescent="0.3">
      <c r="A1278" s="6">
        <v>45518</v>
      </c>
      <c r="B1278" s="7">
        <v>45518.756987534725</v>
      </c>
      <c r="C1278" s="8">
        <f t="shared" si="30"/>
        <v>18</v>
      </c>
      <c r="D1278" s="8" t="s">
        <v>4</v>
      </c>
      <c r="E1278" s="8" t="s">
        <v>525</v>
      </c>
      <c r="F1278" s="9">
        <v>23.02</v>
      </c>
      <c r="G1278" s="8" t="s">
        <v>34</v>
      </c>
      <c r="H1278" s="8" t="str">
        <f t="shared" si="31"/>
        <v>Night</v>
      </c>
      <c r="I1278" s="8" t="str">
        <f t="shared" si="32"/>
        <v>Wed</v>
      </c>
      <c r="J1278" s="8" t="str">
        <f t="shared" si="33"/>
        <v>Aug</v>
      </c>
      <c r="K1278" s="8">
        <f t="shared" si="34"/>
        <v>3</v>
      </c>
      <c r="L1278" s="8">
        <f t="shared" si="35"/>
        <v>8</v>
      </c>
    </row>
    <row r="1279" spans="1:12" x14ac:dyDescent="0.3">
      <c r="A1279" s="10">
        <v>45518</v>
      </c>
      <c r="B1279" s="11">
        <v>45518.79118378472</v>
      </c>
      <c r="C1279" s="12">
        <f t="shared" si="30"/>
        <v>18</v>
      </c>
      <c r="D1279" s="12" t="s">
        <v>4</v>
      </c>
      <c r="E1279" s="12" t="s">
        <v>526</v>
      </c>
      <c r="F1279" s="13">
        <v>27.92</v>
      </c>
      <c r="G1279" s="12" t="s">
        <v>20</v>
      </c>
      <c r="H1279" s="12" t="str">
        <f t="shared" si="31"/>
        <v>Night</v>
      </c>
      <c r="I1279" s="12" t="str">
        <f t="shared" si="32"/>
        <v>Wed</v>
      </c>
      <c r="J1279" s="12" t="str">
        <f t="shared" si="33"/>
        <v>Aug</v>
      </c>
      <c r="K1279" s="12">
        <f t="shared" si="34"/>
        <v>3</v>
      </c>
      <c r="L1279" s="12">
        <f t="shared" si="35"/>
        <v>8</v>
      </c>
    </row>
    <row r="1280" spans="1:12" x14ac:dyDescent="0.3">
      <c r="A1280" s="6">
        <v>45518</v>
      </c>
      <c r="B1280" s="7">
        <v>45518.815876516201</v>
      </c>
      <c r="C1280" s="8">
        <f t="shared" si="30"/>
        <v>19</v>
      </c>
      <c r="D1280" s="8" t="s">
        <v>4</v>
      </c>
      <c r="E1280" s="8" t="s">
        <v>29</v>
      </c>
      <c r="F1280" s="9">
        <v>32.82</v>
      </c>
      <c r="G1280" s="8" t="s">
        <v>13</v>
      </c>
      <c r="H1280" s="8" t="str">
        <f t="shared" si="31"/>
        <v>Night</v>
      </c>
      <c r="I1280" s="8" t="str">
        <f t="shared" si="32"/>
        <v>Wed</v>
      </c>
      <c r="J1280" s="8" t="str">
        <f t="shared" si="33"/>
        <v>Aug</v>
      </c>
      <c r="K1280" s="8">
        <f t="shared" si="34"/>
        <v>3</v>
      </c>
      <c r="L1280" s="8">
        <f t="shared" si="35"/>
        <v>8</v>
      </c>
    </row>
    <row r="1281" spans="1:12" x14ac:dyDescent="0.3">
      <c r="A1281" s="10">
        <v>45518</v>
      </c>
      <c r="B1281" s="11">
        <v>45518.81653408565</v>
      </c>
      <c r="C1281" s="12">
        <f t="shared" si="30"/>
        <v>19</v>
      </c>
      <c r="D1281" s="12" t="s">
        <v>4</v>
      </c>
      <c r="E1281" s="12" t="s">
        <v>29</v>
      </c>
      <c r="F1281" s="13">
        <v>23.02</v>
      </c>
      <c r="G1281" s="12" t="s">
        <v>34</v>
      </c>
      <c r="H1281" s="12" t="str">
        <f t="shared" si="31"/>
        <v>Night</v>
      </c>
      <c r="I1281" s="12" t="str">
        <f t="shared" si="32"/>
        <v>Wed</v>
      </c>
      <c r="J1281" s="12" t="str">
        <f t="shared" si="33"/>
        <v>Aug</v>
      </c>
      <c r="K1281" s="12">
        <f t="shared" si="34"/>
        <v>3</v>
      </c>
      <c r="L1281" s="12">
        <f t="shared" si="35"/>
        <v>8</v>
      </c>
    </row>
    <row r="1282" spans="1:12" x14ac:dyDescent="0.3">
      <c r="A1282" s="6">
        <v>45518</v>
      </c>
      <c r="B1282" s="7">
        <v>45518.90385440972</v>
      </c>
      <c r="C1282" s="8">
        <f t="shared" si="30"/>
        <v>21</v>
      </c>
      <c r="D1282" s="8" t="s">
        <v>4</v>
      </c>
      <c r="E1282" s="8" t="s">
        <v>527</v>
      </c>
      <c r="F1282" s="9">
        <v>32.82</v>
      </c>
      <c r="G1282" s="8" t="s">
        <v>13</v>
      </c>
      <c r="H1282" s="8" t="str">
        <f t="shared" si="31"/>
        <v>Night</v>
      </c>
      <c r="I1282" s="8" t="str">
        <f t="shared" si="32"/>
        <v>Wed</v>
      </c>
      <c r="J1282" s="8" t="str">
        <f t="shared" si="33"/>
        <v>Aug</v>
      </c>
      <c r="K1282" s="8">
        <f t="shared" si="34"/>
        <v>3</v>
      </c>
      <c r="L1282" s="8">
        <f t="shared" si="35"/>
        <v>8</v>
      </c>
    </row>
    <row r="1283" spans="1:12" x14ac:dyDescent="0.3">
      <c r="A1283" s="10">
        <v>45519</v>
      </c>
      <c r="B1283" s="11">
        <v>45519.400129085647</v>
      </c>
      <c r="C1283" s="12">
        <f t="shared" si="30"/>
        <v>9</v>
      </c>
      <c r="D1283" s="12" t="s">
        <v>4</v>
      </c>
      <c r="E1283" s="12" t="s">
        <v>161</v>
      </c>
      <c r="F1283" s="13">
        <v>23.02</v>
      </c>
      <c r="G1283" s="12" t="s">
        <v>34</v>
      </c>
      <c r="H1283" s="12" t="str">
        <f t="shared" si="31"/>
        <v>Morning</v>
      </c>
      <c r="I1283" s="12" t="str">
        <f t="shared" si="32"/>
        <v>Thu</v>
      </c>
      <c r="J1283" s="12" t="str">
        <f t="shared" si="33"/>
        <v>Aug</v>
      </c>
      <c r="K1283" s="12">
        <f t="shared" si="34"/>
        <v>4</v>
      </c>
      <c r="L1283" s="12">
        <f t="shared" si="35"/>
        <v>8</v>
      </c>
    </row>
    <row r="1284" spans="1:12" x14ac:dyDescent="0.3">
      <c r="A1284" s="6">
        <v>45519</v>
      </c>
      <c r="B1284" s="7">
        <v>45519.400719583333</v>
      </c>
      <c r="C1284" s="8">
        <f t="shared" si="30"/>
        <v>9</v>
      </c>
      <c r="D1284" s="8" t="s">
        <v>4</v>
      </c>
      <c r="E1284" s="8" t="s">
        <v>528</v>
      </c>
      <c r="F1284" s="9">
        <v>32.82</v>
      </c>
      <c r="G1284" s="8" t="s">
        <v>49</v>
      </c>
      <c r="H1284" s="8" t="str">
        <f t="shared" si="31"/>
        <v>Morning</v>
      </c>
      <c r="I1284" s="8" t="str">
        <f t="shared" si="32"/>
        <v>Thu</v>
      </c>
      <c r="J1284" s="8" t="str">
        <f t="shared" si="33"/>
        <v>Aug</v>
      </c>
      <c r="K1284" s="8">
        <f t="shared" si="34"/>
        <v>4</v>
      </c>
      <c r="L1284" s="8">
        <f t="shared" si="35"/>
        <v>8</v>
      </c>
    </row>
    <row r="1285" spans="1:12" x14ac:dyDescent="0.3">
      <c r="A1285" s="10">
        <v>45519</v>
      </c>
      <c r="B1285" s="11">
        <v>45519.401445636577</v>
      </c>
      <c r="C1285" s="12">
        <f t="shared" si="30"/>
        <v>9</v>
      </c>
      <c r="D1285" s="12" t="s">
        <v>4</v>
      </c>
      <c r="E1285" s="12" t="s">
        <v>529</v>
      </c>
      <c r="F1285" s="13">
        <v>32.82</v>
      </c>
      <c r="G1285" s="12" t="s">
        <v>15</v>
      </c>
      <c r="H1285" s="12" t="str">
        <f t="shared" si="31"/>
        <v>Morning</v>
      </c>
      <c r="I1285" s="12" t="str">
        <f t="shared" si="32"/>
        <v>Thu</v>
      </c>
      <c r="J1285" s="12" t="str">
        <f t="shared" si="33"/>
        <v>Aug</v>
      </c>
      <c r="K1285" s="12">
        <f t="shared" si="34"/>
        <v>4</v>
      </c>
      <c r="L1285" s="12">
        <f t="shared" si="35"/>
        <v>8</v>
      </c>
    </row>
    <row r="1286" spans="1:12" x14ac:dyDescent="0.3">
      <c r="A1286" s="6">
        <v>45519</v>
      </c>
      <c r="B1286" s="7">
        <v>45519.401964525459</v>
      </c>
      <c r="C1286" s="8">
        <f t="shared" si="30"/>
        <v>9</v>
      </c>
      <c r="D1286" s="8" t="s">
        <v>4</v>
      </c>
      <c r="E1286" s="8" t="s">
        <v>529</v>
      </c>
      <c r="F1286" s="9">
        <v>32.82</v>
      </c>
      <c r="G1286" s="8" t="s">
        <v>13</v>
      </c>
      <c r="H1286" s="8" t="str">
        <f t="shared" si="31"/>
        <v>Morning</v>
      </c>
      <c r="I1286" s="8" t="str">
        <f t="shared" si="32"/>
        <v>Thu</v>
      </c>
      <c r="J1286" s="8" t="str">
        <f t="shared" si="33"/>
        <v>Aug</v>
      </c>
      <c r="K1286" s="8">
        <f t="shared" si="34"/>
        <v>4</v>
      </c>
      <c r="L1286" s="8">
        <f t="shared" si="35"/>
        <v>8</v>
      </c>
    </row>
    <row r="1287" spans="1:12" x14ac:dyDescent="0.3">
      <c r="A1287" s="10">
        <v>45519</v>
      </c>
      <c r="B1287" s="11">
        <v>45519.526823645836</v>
      </c>
      <c r="C1287" s="12">
        <f t="shared" si="30"/>
        <v>12</v>
      </c>
      <c r="D1287" s="12" t="s">
        <v>4</v>
      </c>
      <c r="E1287" s="12" t="s">
        <v>252</v>
      </c>
      <c r="F1287" s="13">
        <v>32.82</v>
      </c>
      <c r="G1287" s="12" t="s">
        <v>13</v>
      </c>
      <c r="H1287" s="12" t="str">
        <f t="shared" si="31"/>
        <v>Afternoon</v>
      </c>
      <c r="I1287" s="12" t="str">
        <f t="shared" si="32"/>
        <v>Thu</v>
      </c>
      <c r="J1287" s="12" t="str">
        <f t="shared" si="33"/>
        <v>Aug</v>
      </c>
      <c r="K1287" s="12">
        <f t="shared" si="34"/>
        <v>4</v>
      </c>
      <c r="L1287" s="12">
        <f t="shared" si="35"/>
        <v>8</v>
      </c>
    </row>
    <row r="1288" spans="1:12" x14ac:dyDescent="0.3">
      <c r="A1288" s="6">
        <v>45519</v>
      </c>
      <c r="B1288" s="7">
        <v>45519.575157418978</v>
      </c>
      <c r="C1288" s="8">
        <f t="shared" si="30"/>
        <v>13</v>
      </c>
      <c r="D1288" s="8" t="s">
        <v>4</v>
      </c>
      <c r="E1288" s="8" t="s">
        <v>530</v>
      </c>
      <c r="F1288" s="9">
        <v>32.82</v>
      </c>
      <c r="G1288" s="8" t="s">
        <v>13</v>
      </c>
      <c r="H1288" s="8" t="str">
        <f t="shared" si="31"/>
        <v>Afternoon</v>
      </c>
      <c r="I1288" s="8" t="str">
        <f t="shared" si="32"/>
        <v>Thu</v>
      </c>
      <c r="J1288" s="8" t="str">
        <f t="shared" si="33"/>
        <v>Aug</v>
      </c>
      <c r="K1288" s="8">
        <f t="shared" si="34"/>
        <v>4</v>
      </c>
      <c r="L1288" s="8">
        <f t="shared" si="35"/>
        <v>8</v>
      </c>
    </row>
    <row r="1289" spans="1:12" x14ac:dyDescent="0.3">
      <c r="A1289" s="10">
        <v>45519</v>
      </c>
      <c r="B1289" s="11">
        <v>45519.595696562501</v>
      </c>
      <c r="C1289" s="12">
        <f t="shared" si="30"/>
        <v>14</v>
      </c>
      <c r="D1289" s="12" t="s">
        <v>4</v>
      </c>
      <c r="E1289" s="12" t="s">
        <v>29</v>
      </c>
      <c r="F1289" s="13">
        <v>23.02</v>
      </c>
      <c r="G1289" s="12" t="s">
        <v>17</v>
      </c>
      <c r="H1289" s="12" t="str">
        <f t="shared" si="31"/>
        <v>Afternoon</v>
      </c>
      <c r="I1289" s="12" t="str">
        <f t="shared" si="32"/>
        <v>Thu</v>
      </c>
      <c r="J1289" s="12" t="str">
        <f t="shared" si="33"/>
        <v>Aug</v>
      </c>
      <c r="K1289" s="12">
        <f t="shared" si="34"/>
        <v>4</v>
      </c>
      <c r="L1289" s="12">
        <f t="shared" si="35"/>
        <v>8</v>
      </c>
    </row>
    <row r="1290" spans="1:12" x14ac:dyDescent="0.3">
      <c r="A1290" s="6">
        <v>45519</v>
      </c>
      <c r="B1290" s="7">
        <v>45519.596421030095</v>
      </c>
      <c r="C1290" s="8">
        <f t="shared" si="30"/>
        <v>14</v>
      </c>
      <c r="D1290" s="8" t="s">
        <v>4</v>
      </c>
      <c r="E1290" s="8" t="s">
        <v>29</v>
      </c>
      <c r="F1290" s="9">
        <v>18.12</v>
      </c>
      <c r="G1290" s="8" t="s">
        <v>41</v>
      </c>
      <c r="H1290" s="8" t="str">
        <f t="shared" si="31"/>
        <v>Afternoon</v>
      </c>
      <c r="I1290" s="8" t="str">
        <f t="shared" si="32"/>
        <v>Thu</v>
      </c>
      <c r="J1290" s="8" t="str">
        <f t="shared" si="33"/>
        <v>Aug</v>
      </c>
      <c r="K1290" s="8">
        <f t="shared" si="34"/>
        <v>4</v>
      </c>
      <c r="L1290" s="8">
        <f t="shared" si="35"/>
        <v>8</v>
      </c>
    </row>
    <row r="1291" spans="1:12" x14ac:dyDescent="0.3">
      <c r="A1291" s="10">
        <v>45519</v>
      </c>
      <c r="B1291" s="11">
        <v>45519.745743344909</v>
      </c>
      <c r="C1291" s="12">
        <f t="shared" si="30"/>
        <v>17</v>
      </c>
      <c r="D1291" s="12" t="s">
        <v>4</v>
      </c>
      <c r="E1291" s="12" t="s">
        <v>531</v>
      </c>
      <c r="F1291" s="13">
        <v>27.92</v>
      </c>
      <c r="G1291" s="12" t="s">
        <v>20</v>
      </c>
      <c r="H1291" s="12" t="str">
        <f t="shared" si="31"/>
        <v>Night</v>
      </c>
      <c r="I1291" s="12" t="str">
        <f t="shared" si="32"/>
        <v>Thu</v>
      </c>
      <c r="J1291" s="12" t="str">
        <f t="shared" si="33"/>
        <v>Aug</v>
      </c>
      <c r="K1291" s="12">
        <f t="shared" si="34"/>
        <v>4</v>
      </c>
      <c r="L1291" s="12">
        <f t="shared" si="35"/>
        <v>8</v>
      </c>
    </row>
    <row r="1292" spans="1:12" x14ac:dyDescent="0.3">
      <c r="A1292" s="6">
        <v>45519</v>
      </c>
      <c r="B1292" s="7">
        <v>45519.799284976849</v>
      </c>
      <c r="C1292" s="8">
        <f t="shared" si="30"/>
        <v>19</v>
      </c>
      <c r="D1292" s="8" t="s">
        <v>4</v>
      </c>
      <c r="E1292" s="8" t="s">
        <v>532</v>
      </c>
      <c r="F1292" s="9">
        <v>32.82</v>
      </c>
      <c r="G1292" s="8" t="s">
        <v>15</v>
      </c>
      <c r="H1292" s="8" t="str">
        <f t="shared" si="31"/>
        <v>Night</v>
      </c>
      <c r="I1292" s="8" t="str">
        <f t="shared" si="32"/>
        <v>Thu</v>
      </c>
      <c r="J1292" s="8" t="str">
        <f t="shared" si="33"/>
        <v>Aug</v>
      </c>
      <c r="K1292" s="8">
        <f t="shared" si="34"/>
        <v>4</v>
      </c>
      <c r="L1292" s="8">
        <f t="shared" si="35"/>
        <v>8</v>
      </c>
    </row>
    <row r="1293" spans="1:12" x14ac:dyDescent="0.3">
      <c r="A1293" s="10">
        <v>45519</v>
      </c>
      <c r="B1293" s="11">
        <v>45519.799930972222</v>
      </c>
      <c r="C1293" s="12">
        <f t="shared" si="30"/>
        <v>19</v>
      </c>
      <c r="D1293" s="12" t="s">
        <v>4</v>
      </c>
      <c r="E1293" s="12" t="s">
        <v>532</v>
      </c>
      <c r="F1293" s="13">
        <v>27.92</v>
      </c>
      <c r="G1293" s="12" t="s">
        <v>20</v>
      </c>
      <c r="H1293" s="12" t="str">
        <f t="shared" si="31"/>
        <v>Night</v>
      </c>
      <c r="I1293" s="12" t="str">
        <f t="shared" si="32"/>
        <v>Thu</v>
      </c>
      <c r="J1293" s="12" t="str">
        <f t="shared" si="33"/>
        <v>Aug</v>
      </c>
      <c r="K1293" s="12">
        <f t="shared" si="34"/>
        <v>4</v>
      </c>
      <c r="L1293" s="12">
        <f t="shared" si="35"/>
        <v>8</v>
      </c>
    </row>
    <row r="1294" spans="1:12" x14ac:dyDescent="0.3">
      <c r="A1294" s="6">
        <v>45519</v>
      </c>
      <c r="B1294" s="7">
        <v>45519.820488935184</v>
      </c>
      <c r="C1294" s="8">
        <f t="shared" si="30"/>
        <v>19</v>
      </c>
      <c r="D1294" s="8" t="s">
        <v>4</v>
      </c>
      <c r="E1294" s="8" t="s">
        <v>533</v>
      </c>
      <c r="F1294" s="9">
        <v>27.92</v>
      </c>
      <c r="G1294" s="8" t="s">
        <v>20</v>
      </c>
      <c r="H1294" s="8" t="str">
        <f t="shared" si="31"/>
        <v>Night</v>
      </c>
      <c r="I1294" s="8" t="str">
        <f t="shared" si="32"/>
        <v>Thu</v>
      </c>
      <c r="J1294" s="8" t="str">
        <f t="shared" si="33"/>
        <v>Aug</v>
      </c>
      <c r="K1294" s="8">
        <f t="shared" si="34"/>
        <v>4</v>
      </c>
      <c r="L1294" s="8">
        <f t="shared" si="35"/>
        <v>8</v>
      </c>
    </row>
    <row r="1295" spans="1:12" x14ac:dyDescent="0.3">
      <c r="A1295" s="10">
        <v>45519</v>
      </c>
      <c r="B1295" s="11">
        <v>45519.821272997688</v>
      </c>
      <c r="C1295" s="12">
        <f t="shared" si="30"/>
        <v>19</v>
      </c>
      <c r="D1295" s="12" t="s">
        <v>4</v>
      </c>
      <c r="E1295" s="12" t="s">
        <v>533</v>
      </c>
      <c r="F1295" s="13">
        <v>23.02</v>
      </c>
      <c r="G1295" s="12" t="s">
        <v>17</v>
      </c>
      <c r="H1295" s="12" t="str">
        <f t="shared" si="31"/>
        <v>Night</v>
      </c>
      <c r="I1295" s="12" t="str">
        <f t="shared" si="32"/>
        <v>Thu</v>
      </c>
      <c r="J1295" s="12" t="str">
        <f t="shared" si="33"/>
        <v>Aug</v>
      </c>
      <c r="K1295" s="12">
        <f t="shared" si="34"/>
        <v>4</v>
      </c>
      <c r="L1295" s="12">
        <f t="shared" si="35"/>
        <v>8</v>
      </c>
    </row>
    <row r="1296" spans="1:12" x14ac:dyDescent="0.3">
      <c r="A1296" s="6">
        <v>45519</v>
      </c>
      <c r="B1296" s="7">
        <v>45519.861591620371</v>
      </c>
      <c r="C1296" s="8">
        <f t="shared" si="30"/>
        <v>20</v>
      </c>
      <c r="D1296" s="8" t="s">
        <v>4</v>
      </c>
      <c r="E1296" s="8" t="s">
        <v>534</v>
      </c>
      <c r="F1296" s="9">
        <v>32.82</v>
      </c>
      <c r="G1296" s="8" t="s">
        <v>49</v>
      </c>
      <c r="H1296" s="8" t="str">
        <f t="shared" si="31"/>
        <v>Night</v>
      </c>
      <c r="I1296" s="8" t="str">
        <f t="shared" si="32"/>
        <v>Thu</v>
      </c>
      <c r="J1296" s="8" t="str">
        <f t="shared" si="33"/>
        <v>Aug</v>
      </c>
      <c r="K1296" s="8">
        <f t="shared" si="34"/>
        <v>4</v>
      </c>
      <c r="L1296" s="8">
        <f t="shared" si="35"/>
        <v>8</v>
      </c>
    </row>
    <row r="1297" spans="1:12" x14ac:dyDescent="0.3">
      <c r="A1297" s="10">
        <v>45519</v>
      </c>
      <c r="B1297" s="11">
        <v>45519.899537962963</v>
      </c>
      <c r="C1297" s="12">
        <f t="shared" si="30"/>
        <v>21</v>
      </c>
      <c r="D1297" s="12" t="s">
        <v>4</v>
      </c>
      <c r="E1297" s="12" t="s">
        <v>60</v>
      </c>
      <c r="F1297" s="13">
        <v>18.12</v>
      </c>
      <c r="G1297" s="12" t="s">
        <v>41</v>
      </c>
      <c r="H1297" s="12" t="str">
        <f t="shared" si="31"/>
        <v>Night</v>
      </c>
      <c r="I1297" s="12" t="str">
        <f t="shared" si="32"/>
        <v>Thu</v>
      </c>
      <c r="J1297" s="12" t="str">
        <f t="shared" si="33"/>
        <v>Aug</v>
      </c>
      <c r="K1297" s="12">
        <f t="shared" si="34"/>
        <v>4</v>
      </c>
      <c r="L1297" s="12">
        <f t="shared" si="35"/>
        <v>8</v>
      </c>
    </row>
    <row r="1298" spans="1:12" x14ac:dyDescent="0.3">
      <c r="A1298" s="6">
        <v>45519</v>
      </c>
      <c r="B1298" s="7">
        <v>45519.900127696761</v>
      </c>
      <c r="C1298" s="8">
        <f t="shared" si="30"/>
        <v>21</v>
      </c>
      <c r="D1298" s="8" t="s">
        <v>4</v>
      </c>
      <c r="E1298" s="8" t="s">
        <v>60</v>
      </c>
      <c r="F1298" s="9">
        <v>27.92</v>
      </c>
      <c r="G1298" s="8" t="s">
        <v>20</v>
      </c>
      <c r="H1298" s="8" t="str">
        <f t="shared" si="31"/>
        <v>Night</v>
      </c>
      <c r="I1298" s="8" t="str">
        <f t="shared" si="32"/>
        <v>Thu</v>
      </c>
      <c r="J1298" s="8" t="str">
        <f t="shared" si="33"/>
        <v>Aug</v>
      </c>
      <c r="K1298" s="8">
        <f t="shared" si="34"/>
        <v>4</v>
      </c>
      <c r="L1298" s="8">
        <f t="shared" si="35"/>
        <v>8</v>
      </c>
    </row>
    <row r="1299" spans="1:12" x14ac:dyDescent="0.3">
      <c r="A1299" s="10">
        <v>45520</v>
      </c>
      <c r="B1299" s="11">
        <v>45520.520332546294</v>
      </c>
      <c r="C1299" s="12">
        <f t="shared" si="30"/>
        <v>12</v>
      </c>
      <c r="D1299" s="12" t="s">
        <v>4</v>
      </c>
      <c r="E1299" s="12" t="s">
        <v>533</v>
      </c>
      <c r="F1299" s="13">
        <v>32.82</v>
      </c>
      <c r="G1299" s="12" t="s">
        <v>13</v>
      </c>
      <c r="H1299" s="12" t="str">
        <f t="shared" si="31"/>
        <v>Afternoon</v>
      </c>
      <c r="I1299" s="12" t="str">
        <f t="shared" si="32"/>
        <v>Fri</v>
      </c>
      <c r="J1299" s="12" t="str">
        <f t="shared" si="33"/>
        <v>Aug</v>
      </c>
      <c r="K1299" s="12">
        <f t="shared" si="34"/>
        <v>5</v>
      </c>
      <c r="L1299" s="12">
        <f t="shared" si="35"/>
        <v>8</v>
      </c>
    </row>
    <row r="1300" spans="1:12" x14ac:dyDescent="0.3">
      <c r="A1300" s="6">
        <v>45520</v>
      </c>
      <c r="B1300" s="7">
        <v>45520.537701990739</v>
      </c>
      <c r="C1300" s="8">
        <f t="shared" si="30"/>
        <v>12</v>
      </c>
      <c r="D1300" s="8" t="s">
        <v>4</v>
      </c>
      <c r="E1300" s="8" t="s">
        <v>535</v>
      </c>
      <c r="F1300" s="9">
        <v>23.02</v>
      </c>
      <c r="G1300" s="8" t="s">
        <v>17</v>
      </c>
      <c r="H1300" s="8" t="str">
        <f t="shared" si="31"/>
        <v>Afternoon</v>
      </c>
      <c r="I1300" s="8" t="str">
        <f t="shared" si="32"/>
        <v>Fri</v>
      </c>
      <c r="J1300" s="8" t="str">
        <f t="shared" si="33"/>
        <v>Aug</v>
      </c>
      <c r="K1300" s="8">
        <f t="shared" si="34"/>
        <v>5</v>
      </c>
      <c r="L1300" s="8">
        <f t="shared" si="35"/>
        <v>8</v>
      </c>
    </row>
    <row r="1301" spans="1:12" x14ac:dyDescent="0.3">
      <c r="A1301" s="10">
        <v>45520</v>
      </c>
      <c r="B1301" s="11">
        <v>45520.566814791666</v>
      </c>
      <c r="C1301" s="12">
        <f t="shared" si="30"/>
        <v>13</v>
      </c>
      <c r="D1301" s="12" t="s">
        <v>4</v>
      </c>
      <c r="E1301" s="12" t="s">
        <v>449</v>
      </c>
      <c r="F1301" s="13">
        <v>27.92</v>
      </c>
      <c r="G1301" s="12" t="s">
        <v>20</v>
      </c>
      <c r="H1301" s="12" t="str">
        <f t="shared" si="31"/>
        <v>Afternoon</v>
      </c>
      <c r="I1301" s="12" t="str">
        <f t="shared" si="32"/>
        <v>Fri</v>
      </c>
      <c r="J1301" s="12" t="str">
        <f t="shared" si="33"/>
        <v>Aug</v>
      </c>
      <c r="K1301" s="12">
        <f t="shared" si="34"/>
        <v>5</v>
      </c>
      <c r="L1301" s="12">
        <f t="shared" si="35"/>
        <v>8</v>
      </c>
    </row>
    <row r="1302" spans="1:12" x14ac:dyDescent="0.3">
      <c r="A1302" s="6">
        <v>45520</v>
      </c>
      <c r="B1302" s="7">
        <v>45520.638098807867</v>
      </c>
      <c r="C1302" s="8">
        <f t="shared" si="30"/>
        <v>15</v>
      </c>
      <c r="D1302" s="8" t="s">
        <v>4</v>
      </c>
      <c r="E1302" s="8" t="s">
        <v>29</v>
      </c>
      <c r="F1302" s="9">
        <v>18.12</v>
      </c>
      <c r="G1302" s="8" t="s">
        <v>41</v>
      </c>
      <c r="H1302" s="8" t="str">
        <f t="shared" si="31"/>
        <v>Afternoon</v>
      </c>
      <c r="I1302" s="8" t="str">
        <f t="shared" si="32"/>
        <v>Fri</v>
      </c>
      <c r="J1302" s="8" t="str">
        <f t="shared" si="33"/>
        <v>Aug</v>
      </c>
      <c r="K1302" s="8">
        <f t="shared" si="34"/>
        <v>5</v>
      </c>
      <c r="L1302" s="8">
        <f t="shared" si="35"/>
        <v>8</v>
      </c>
    </row>
    <row r="1303" spans="1:12" x14ac:dyDescent="0.3">
      <c r="A1303" s="10">
        <v>45520</v>
      </c>
      <c r="B1303" s="11">
        <v>45520.638649004628</v>
      </c>
      <c r="C1303" s="12">
        <f t="shared" si="30"/>
        <v>15</v>
      </c>
      <c r="D1303" s="12" t="s">
        <v>4</v>
      </c>
      <c r="E1303" s="12" t="s">
        <v>29</v>
      </c>
      <c r="F1303" s="13">
        <v>18.12</v>
      </c>
      <c r="G1303" s="12" t="s">
        <v>41</v>
      </c>
      <c r="H1303" s="12" t="str">
        <f t="shared" si="31"/>
        <v>Afternoon</v>
      </c>
      <c r="I1303" s="12" t="str">
        <f t="shared" si="32"/>
        <v>Fri</v>
      </c>
      <c r="J1303" s="12" t="str">
        <f t="shared" si="33"/>
        <v>Aug</v>
      </c>
      <c r="K1303" s="12">
        <f t="shared" si="34"/>
        <v>5</v>
      </c>
      <c r="L1303" s="12">
        <f t="shared" si="35"/>
        <v>8</v>
      </c>
    </row>
    <row r="1304" spans="1:12" x14ac:dyDescent="0.3">
      <c r="A1304" s="6">
        <v>45521</v>
      </c>
      <c r="B1304" s="7">
        <v>45521.386730219907</v>
      </c>
      <c r="C1304" s="8">
        <f t="shared" si="30"/>
        <v>9</v>
      </c>
      <c r="D1304" s="8" t="s">
        <v>4</v>
      </c>
      <c r="E1304" s="8" t="s">
        <v>117</v>
      </c>
      <c r="F1304" s="9">
        <v>27.92</v>
      </c>
      <c r="G1304" s="8" t="s">
        <v>20</v>
      </c>
      <c r="H1304" s="8" t="str">
        <f t="shared" si="31"/>
        <v>Morning</v>
      </c>
      <c r="I1304" s="8" t="str">
        <f t="shared" si="32"/>
        <v>Sat</v>
      </c>
      <c r="J1304" s="8" t="str">
        <f t="shared" si="33"/>
        <v>Aug</v>
      </c>
      <c r="K1304" s="8">
        <f t="shared" si="34"/>
        <v>6</v>
      </c>
      <c r="L1304" s="8">
        <f t="shared" si="35"/>
        <v>8</v>
      </c>
    </row>
    <row r="1305" spans="1:12" x14ac:dyDescent="0.3">
      <c r="A1305" s="10">
        <v>45521</v>
      </c>
      <c r="B1305" s="11">
        <v>45521.38760396991</v>
      </c>
      <c r="C1305" s="12">
        <f t="shared" si="30"/>
        <v>9</v>
      </c>
      <c r="D1305" s="12" t="s">
        <v>4</v>
      </c>
      <c r="E1305" s="12" t="s">
        <v>536</v>
      </c>
      <c r="F1305" s="13">
        <v>32.82</v>
      </c>
      <c r="G1305" s="12" t="s">
        <v>49</v>
      </c>
      <c r="H1305" s="12" t="str">
        <f t="shared" si="31"/>
        <v>Morning</v>
      </c>
      <c r="I1305" s="12" t="str">
        <f t="shared" si="32"/>
        <v>Sat</v>
      </c>
      <c r="J1305" s="12" t="str">
        <f t="shared" si="33"/>
        <v>Aug</v>
      </c>
      <c r="K1305" s="12">
        <f t="shared" si="34"/>
        <v>6</v>
      </c>
      <c r="L1305" s="12">
        <f t="shared" si="35"/>
        <v>8</v>
      </c>
    </row>
    <row r="1306" spans="1:12" x14ac:dyDescent="0.3">
      <c r="A1306" s="6">
        <v>45521</v>
      </c>
      <c r="B1306" s="7">
        <v>45521.453950543983</v>
      </c>
      <c r="C1306" s="8">
        <f t="shared" si="30"/>
        <v>10</v>
      </c>
      <c r="D1306" s="8" t="s">
        <v>4</v>
      </c>
      <c r="E1306" s="8" t="s">
        <v>537</v>
      </c>
      <c r="F1306" s="9">
        <v>27.92</v>
      </c>
      <c r="G1306" s="8" t="s">
        <v>20</v>
      </c>
      <c r="H1306" s="8" t="str">
        <f t="shared" si="31"/>
        <v>Morning</v>
      </c>
      <c r="I1306" s="8" t="str">
        <f t="shared" si="32"/>
        <v>Sat</v>
      </c>
      <c r="J1306" s="8" t="str">
        <f t="shared" si="33"/>
        <v>Aug</v>
      </c>
      <c r="K1306" s="8">
        <f t="shared" si="34"/>
        <v>6</v>
      </c>
      <c r="L1306" s="8">
        <f t="shared" si="35"/>
        <v>8</v>
      </c>
    </row>
    <row r="1307" spans="1:12" x14ac:dyDescent="0.3">
      <c r="A1307" s="10">
        <v>45521</v>
      </c>
      <c r="B1307" s="11">
        <v>45521.49909315972</v>
      </c>
      <c r="C1307" s="12">
        <f t="shared" si="30"/>
        <v>11</v>
      </c>
      <c r="D1307" s="12" t="s">
        <v>4</v>
      </c>
      <c r="E1307" s="12" t="s">
        <v>161</v>
      </c>
      <c r="F1307" s="13">
        <v>23.02</v>
      </c>
      <c r="G1307" s="12" t="s">
        <v>34</v>
      </c>
      <c r="H1307" s="12" t="str">
        <f t="shared" si="31"/>
        <v>Morning</v>
      </c>
      <c r="I1307" s="12" t="str">
        <f t="shared" si="32"/>
        <v>Sat</v>
      </c>
      <c r="J1307" s="12" t="str">
        <f t="shared" si="33"/>
        <v>Aug</v>
      </c>
      <c r="K1307" s="12">
        <f t="shared" si="34"/>
        <v>6</v>
      </c>
      <c r="L1307" s="12">
        <f t="shared" si="35"/>
        <v>8</v>
      </c>
    </row>
    <row r="1308" spans="1:12" x14ac:dyDescent="0.3">
      <c r="A1308" s="6">
        <v>45521</v>
      </c>
      <c r="B1308" s="7">
        <v>45521.499633078703</v>
      </c>
      <c r="C1308" s="8">
        <f t="shared" si="30"/>
        <v>11</v>
      </c>
      <c r="D1308" s="8" t="s">
        <v>4</v>
      </c>
      <c r="E1308" s="8" t="s">
        <v>161</v>
      </c>
      <c r="F1308" s="9">
        <v>23.02</v>
      </c>
      <c r="G1308" s="8" t="s">
        <v>34</v>
      </c>
      <c r="H1308" s="8" t="str">
        <f t="shared" si="31"/>
        <v>Morning</v>
      </c>
      <c r="I1308" s="8" t="str">
        <f t="shared" si="32"/>
        <v>Sat</v>
      </c>
      <c r="J1308" s="8" t="str">
        <f t="shared" si="33"/>
        <v>Aug</v>
      </c>
      <c r="K1308" s="8">
        <f t="shared" si="34"/>
        <v>6</v>
      </c>
      <c r="L1308" s="8">
        <f t="shared" si="35"/>
        <v>8</v>
      </c>
    </row>
    <row r="1309" spans="1:12" x14ac:dyDescent="0.3">
      <c r="A1309" s="10">
        <v>45521</v>
      </c>
      <c r="B1309" s="11">
        <v>45521.55463175926</v>
      </c>
      <c r="C1309" s="12">
        <f t="shared" si="30"/>
        <v>13</v>
      </c>
      <c r="D1309" s="12" t="s">
        <v>4</v>
      </c>
      <c r="E1309" s="12" t="s">
        <v>538</v>
      </c>
      <c r="F1309" s="13">
        <v>27.92</v>
      </c>
      <c r="G1309" s="12" t="s">
        <v>20</v>
      </c>
      <c r="H1309" s="12" t="str">
        <f t="shared" si="31"/>
        <v>Afternoon</v>
      </c>
      <c r="I1309" s="12" t="str">
        <f t="shared" si="32"/>
        <v>Sat</v>
      </c>
      <c r="J1309" s="12" t="str">
        <f t="shared" si="33"/>
        <v>Aug</v>
      </c>
      <c r="K1309" s="12">
        <f t="shared" si="34"/>
        <v>6</v>
      </c>
      <c r="L1309" s="12">
        <f t="shared" si="35"/>
        <v>8</v>
      </c>
    </row>
    <row r="1310" spans="1:12" x14ac:dyDescent="0.3">
      <c r="A1310" s="6">
        <v>45521</v>
      </c>
      <c r="B1310" s="7">
        <v>45521.688829131941</v>
      </c>
      <c r="C1310" s="8">
        <f t="shared" si="30"/>
        <v>16</v>
      </c>
      <c r="D1310" s="8" t="s">
        <v>4</v>
      </c>
      <c r="E1310" s="8" t="s">
        <v>297</v>
      </c>
      <c r="F1310" s="9">
        <v>23.02</v>
      </c>
      <c r="G1310" s="8" t="s">
        <v>34</v>
      </c>
      <c r="H1310" s="8" t="str">
        <f t="shared" si="31"/>
        <v>Afternoon</v>
      </c>
      <c r="I1310" s="8" t="str">
        <f t="shared" si="32"/>
        <v>Sat</v>
      </c>
      <c r="J1310" s="8" t="str">
        <f t="shared" si="33"/>
        <v>Aug</v>
      </c>
      <c r="K1310" s="8">
        <f t="shared" si="34"/>
        <v>6</v>
      </c>
      <c r="L1310" s="8">
        <f t="shared" si="35"/>
        <v>8</v>
      </c>
    </row>
    <row r="1311" spans="1:12" x14ac:dyDescent="0.3">
      <c r="A1311" s="10">
        <v>45521</v>
      </c>
      <c r="B1311" s="11">
        <v>45521.690150196759</v>
      </c>
      <c r="C1311" s="12">
        <f t="shared" si="30"/>
        <v>16</v>
      </c>
      <c r="D1311" s="12" t="s">
        <v>4</v>
      </c>
      <c r="E1311" s="12" t="s">
        <v>212</v>
      </c>
      <c r="F1311" s="13">
        <v>32.82</v>
      </c>
      <c r="G1311" s="12" t="s">
        <v>13</v>
      </c>
      <c r="H1311" s="12" t="str">
        <f t="shared" si="31"/>
        <v>Afternoon</v>
      </c>
      <c r="I1311" s="12" t="str">
        <f t="shared" si="32"/>
        <v>Sat</v>
      </c>
      <c r="J1311" s="12" t="str">
        <f t="shared" si="33"/>
        <v>Aug</v>
      </c>
      <c r="K1311" s="12">
        <f t="shared" si="34"/>
        <v>6</v>
      </c>
      <c r="L1311" s="12">
        <f t="shared" si="35"/>
        <v>8</v>
      </c>
    </row>
    <row r="1312" spans="1:12" x14ac:dyDescent="0.3">
      <c r="A1312" s="6">
        <v>45521</v>
      </c>
      <c r="B1312" s="7">
        <v>45521.784014490739</v>
      </c>
      <c r="C1312" s="8">
        <f t="shared" si="30"/>
        <v>18</v>
      </c>
      <c r="D1312" s="8" t="s">
        <v>4</v>
      </c>
      <c r="E1312" s="8" t="s">
        <v>476</v>
      </c>
      <c r="F1312" s="9">
        <v>32.82</v>
      </c>
      <c r="G1312" s="8" t="s">
        <v>49</v>
      </c>
      <c r="H1312" s="8" t="str">
        <f t="shared" si="31"/>
        <v>Night</v>
      </c>
      <c r="I1312" s="8" t="str">
        <f t="shared" si="32"/>
        <v>Sat</v>
      </c>
      <c r="J1312" s="8" t="str">
        <f t="shared" si="33"/>
        <v>Aug</v>
      </c>
      <c r="K1312" s="8">
        <f t="shared" si="34"/>
        <v>6</v>
      </c>
      <c r="L1312" s="8">
        <f t="shared" si="35"/>
        <v>8</v>
      </c>
    </row>
    <row r="1313" spans="1:12" x14ac:dyDescent="0.3">
      <c r="A1313" s="10">
        <v>45521</v>
      </c>
      <c r="B1313" s="11">
        <v>45521.888157476853</v>
      </c>
      <c r="C1313" s="12">
        <f t="shared" si="30"/>
        <v>21</v>
      </c>
      <c r="D1313" s="12" t="s">
        <v>4</v>
      </c>
      <c r="E1313" s="12" t="s">
        <v>60</v>
      </c>
      <c r="F1313" s="13">
        <v>27.92</v>
      </c>
      <c r="G1313" s="12" t="s">
        <v>20</v>
      </c>
      <c r="H1313" s="12" t="str">
        <f t="shared" si="31"/>
        <v>Night</v>
      </c>
      <c r="I1313" s="12" t="str">
        <f t="shared" si="32"/>
        <v>Sat</v>
      </c>
      <c r="J1313" s="12" t="str">
        <f t="shared" si="33"/>
        <v>Aug</v>
      </c>
      <c r="K1313" s="12">
        <f t="shared" si="34"/>
        <v>6</v>
      </c>
      <c r="L1313" s="12">
        <f t="shared" si="35"/>
        <v>8</v>
      </c>
    </row>
    <row r="1314" spans="1:12" x14ac:dyDescent="0.3">
      <c r="A1314" s="6">
        <v>45521</v>
      </c>
      <c r="B1314" s="7">
        <v>45521.946288784726</v>
      </c>
      <c r="C1314" s="8">
        <f t="shared" si="30"/>
        <v>22</v>
      </c>
      <c r="D1314" s="8" t="s">
        <v>4</v>
      </c>
      <c r="E1314" s="8" t="s">
        <v>539</v>
      </c>
      <c r="F1314" s="9">
        <v>32.82</v>
      </c>
      <c r="G1314" s="8" t="s">
        <v>13</v>
      </c>
      <c r="H1314" s="8" t="str">
        <f t="shared" si="31"/>
        <v>Night</v>
      </c>
      <c r="I1314" s="8" t="str">
        <f t="shared" si="32"/>
        <v>Sat</v>
      </c>
      <c r="J1314" s="8" t="str">
        <f t="shared" si="33"/>
        <v>Aug</v>
      </c>
      <c r="K1314" s="8">
        <f t="shared" si="34"/>
        <v>6</v>
      </c>
      <c r="L1314" s="8">
        <f t="shared" si="35"/>
        <v>8</v>
      </c>
    </row>
    <row r="1315" spans="1:12" x14ac:dyDescent="0.3">
      <c r="A1315" s="10">
        <v>45522</v>
      </c>
      <c r="B1315" s="11">
        <v>45522.340076400462</v>
      </c>
      <c r="C1315" s="12">
        <f t="shared" si="30"/>
        <v>8</v>
      </c>
      <c r="D1315" s="12" t="s">
        <v>4</v>
      </c>
      <c r="E1315" s="12" t="s">
        <v>540</v>
      </c>
      <c r="F1315" s="13">
        <v>32.82</v>
      </c>
      <c r="G1315" s="12" t="s">
        <v>49</v>
      </c>
      <c r="H1315" s="12" t="str">
        <f t="shared" si="31"/>
        <v>Morning</v>
      </c>
      <c r="I1315" s="12" t="str">
        <f t="shared" si="32"/>
        <v>Sun</v>
      </c>
      <c r="J1315" s="12" t="str">
        <f t="shared" si="33"/>
        <v>Aug</v>
      </c>
      <c r="K1315" s="12">
        <f t="shared" si="34"/>
        <v>7</v>
      </c>
      <c r="L1315" s="12">
        <f t="shared" si="35"/>
        <v>8</v>
      </c>
    </row>
    <row r="1316" spans="1:12" x14ac:dyDescent="0.3">
      <c r="A1316" s="6">
        <v>45522</v>
      </c>
      <c r="B1316" s="7">
        <v>45522.355620335649</v>
      </c>
      <c r="C1316" s="8">
        <f t="shared" si="30"/>
        <v>8</v>
      </c>
      <c r="D1316" s="8" t="s">
        <v>4</v>
      </c>
      <c r="E1316" s="8" t="s">
        <v>541</v>
      </c>
      <c r="F1316" s="9">
        <v>32.82</v>
      </c>
      <c r="G1316" s="8" t="s">
        <v>49</v>
      </c>
      <c r="H1316" s="8" t="str">
        <f t="shared" si="31"/>
        <v>Morning</v>
      </c>
      <c r="I1316" s="8" t="str">
        <f t="shared" si="32"/>
        <v>Sun</v>
      </c>
      <c r="J1316" s="8" t="str">
        <f t="shared" si="33"/>
        <v>Aug</v>
      </c>
      <c r="K1316" s="8">
        <f t="shared" si="34"/>
        <v>7</v>
      </c>
      <c r="L1316" s="8">
        <f t="shared" si="35"/>
        <v>8</v>
      </c>
    </row>
    <row r="1317" spans="1:12" x14ac:dyDescent="0.3">
      <c r="A1317" s="10">
        <v>45522</v>
      </c>
      <c r="B1317" s="11">
        <v>45522.361877881944</v>
      </c>
      <c r="C1317" s="12">
        <f t="shared" si="30"/>
        <v>8</v>
      </c>
      <c r="D1317" s="12" t="s">
        <v>4</v>
      </c>
      <c r="E1317" s="12" t="s">
        <v>161</v>
      </c>
      <c r="F1317" s="13">
        <v>23.02</v>
      </c>
      <c r="G1317" s="12" t="s">
        <v>34</v>
      </c>
      <c r="H1317" s="12" t="str">
        <f t="shared" si="31"/>
        <v>Morning</v>
      </c>
      <c r="I1317" s="12" t="str">
        <f t="shared" si="32"/>
        <v>Sun</v>
      </c>
      <c r="J1317" s="12" t="str">
        <f t="shared" si="33"/>
        <v>Aug</v>
      </c>
      <c r="K1317" s="12">
        <f t="shared" si="34"/>
        <v>7</v>
      </c>
      <c r="L1317" s="12">
        <f t="shared" si="35"/>
        <v>8</v>
      </c>
    </row>
    <row r="1318" spans="1:12" x14ac:dyDescent="0.3">
      <c r="A1318" s="6">
        <v>45522</v>
      </c>
      <c r="B1318" s="7">
        <v>45522.372237175929</v>
      </c>
      <c r="C1318" s="8">
        <f t="shared" si="30"/>
        <v>8</v>
      </c>
      <c r="D1318" s="8" t="s">
        <v>4</v>
      </c>
      <c r="E1318" s="8" t="s">
        <v>542</v>
      </c>
      <c r="F1318" s="9">
        <v>27.92</v>
      </c>
      <c r="G1318" s="8" t="s">
        <v>20</v>
      </c>
      <c r="H1318" s="8" t="str">
        <f t="shared" si="31"/>
        <v>Morning</v>
      </c>
      <c r="I1318" s="8" t="str">
        <f t="shared" si="32"/>
        <v>Sun</v>
      </c>
      <c r="J1318" s="8" t="str">
        <f t="shared" si="33"/>
        <v>Aug</v>
      </c>
      <c r="K1318" s="8">
        <f t="shared" si="34"/>
        <v>7</v>
      </c>
      <c r="L1318" s="8">
        <f t="shared" si="35"/>
        <v>8</v>
      </c>
    </row>
    <row r="1319" spans="1:12" x14ac:dyDescent="0.3">
      <c r="A1319" s="10">
        <v>45522</v>
      </c>
      <c r="B1319" s="11">
        <v>45522.522001064812</v>
      </c>
      <c r="C1319" s="12">
        <f t="shared" si="30"/>
        <v>12</v>
      </c>
      <c r="D1319" s="12" t="s">
        <v>4</v>
      </c>
      <c r="E1319" s="12" t="s">
        <v>483</v>
      </c>
      <c r="F1319" s="13">
        <v>32.82</v>
      </c>
      <c r="G1319" s="12" t="s">
        <v>49</v>
      </c>
      <c r="H1319" s="12" t="str">
        <f t="shared" si="31"/>
        <v>Afternoon</v>
      </c>
      <c r="I1319" s="12" t="str">
        <f t="shared" si="32"/>
        <v>Sun</v>
      </c>
      <c r="J1319" s="12" t="str">
        <f t="shared" si="33"/>
        <v>Aug</v>
      </c>
      <c r="K1319" s="12">
        <f t="shared" si="34"/>
        <v>7</v>
      </c>
      <c r="L1319" s="12">
        <f t="shared" si="35"/>
        <v>8</v>
      </c>
    </row>
    <row r="1320" spans="1:12" x14ac:dyDescent="0.3">
      <c r="A1320" s="6">
        <v>45522</v>
      </c>
      <c r="B1320" s="7">
        <v>45522.604416724535</v>
      </c>
      <c r="C1320" s="8">
        <f t="shared" si="30"/>
        <v>14</v>
      </c>
      <c r="D1320" s="8" t="s">
        <v>4</v>
      </c>
      <c r="E1320" s="8" t="s">
        <v>60</v>
      </c>
      <c r="F1320" s="9">
        <v>27.92</v>
      </c>
      <c r="G1320" s="8" t="s">
        <v>20</v>
      </c>
      <c r="H1320" s="8" t="str">
        <f t="shared" si="31"/>
        <v>Afternoon</v>
      </c>
      <c r="I1320" s="8" t="str">
        <f t="shared" si="32"/>
        <v>Sun</v>
      </c>
      <c r="J1320" s="8" t="str">
        <f t="shared" si="33"/>
        <v>Aug</v>
      </c>
      <c r="K1320" s="8">
        <f t="shared" si="34"/>
        <v>7</v>
      </c>
      <c r="L1320" s="8">
        <f t="shared" si="35"/>
        <v>8</v>
      </c>
    </row>
    <row r="1321" spans="1:12" x14ac:dyDescent="0.3">
      <c r="A1321" s="10">
        <v>45522</v>
      </c>
      <c r="B1321" s="11">
        <v>45522.766791388887</v>
      </c>
      <c r="C1321" s="12">
        <f t="shared" si="30"/>
        <v>18</v>
      </c>
      <c r="D1321" s="12" t="s">
        <v>4</v>
      </c>
      <c r="E1321" s="12" t="s">
        <v>543</v>
      </c>
      <c r="F1321" s="13">
        <v>27.92</v>
      </c>
      <c r="G1321" s="12" t="s">
        <v>20</v>
      </c>
      <c r="H1321" s="12" t="str">
        <f t="shared" si="31"/>
        <v>Night</v>
      </c>
      <c r="I1321" s="12" t="str">
        <f t="shared" si="32"/>
        <v>Sun</v>
      </c>
      <c r="J1321" s="12" t="str">
        <f t="shared" si="33"/>
        <v>Aug</v>
      </c>
      <c r="K1321" s="12">
        <f t="shared" si="34"/>
        <v>7</v>
      </c>
      <c r="L1321" s="12">
        <f t="shared" si="35"/>
        <v>8</v>
      </c>
    </row>
    <row r="1322" spans="1:12" x14ac:dyDescent="0.3">
      <c r="A1322" s="6">
        <v>45522</v>
      </c>
      <c r="B1322" s="7">
        <v>45522.768099374996</v>
      </c>
      <c r="C1322" s="8">
        <f t="shared" si="30"/>
        <v>18</v>
      </c>
      <c r="D1322" s="8" t="s">
        <v>4</v>
      </c>
      <c r="E1322" s="8" t="s">
        <v>543</v>
      </c>
      <c r="F1322" s="9">
        <v>27.92</v>
      </c>
      <c r="G1322" s="8" t="s">
        <v>20</v>
      </c>
      <c r="H1322" s="8" t="str">
        <f t="shared" si="31"/>
        <v>Night</v>
      </c>
      <c r="I1322" s="8" t="str">
        <f t="shared" si="32"/>
        <v>Sun</v>
      </c>
      <c r="J1322" s="8" t="str">
        <f t="shared" si="33"/>
        <v>Aug</v>
      </c>
      <c r="K1322" s="8">
        <f t="shared" si="34"/>
        <v>7</v>
      </c>
      <c r="L1322" s="8">
        <f t="shared" si="35"/>
        <v>8</v>
      </c>
    </row>
    <row r="1323" spans="1:12" x14ac:dyDescent="0.3">
      <c r="A1323" s="10">
        <v>45522</v>
      </c>
      <c r="B1323" s="11">
        <v>45522.768953159721</v>
      </c>
      <c r="C1323" s="12">
        <f t="shared" si="30"/>
        <v>18</v>
      </c>
      <c r="D1323" s="12" t="s">
        <v>4</v>
      </c>
      <c r="E1323" s="12" t="s">
        <v>543</v>
      </c>
      <c r="F1323" s="13">
        <v>23.02</v>
      </c>
      <c r="G1323" s="12" t="s">
        <v>17</v>
      </c>
      <c r="H1323" s="12" t="str">
        <f t="shared" si="31"/>
        <v>Night</v>
      </c>
      <c r="I1323" s="12" t="str">
        <f t="shared" si="32"/>
        <v>Sun</v>
      </c>
      <c r="J1323" s="12" t="str">
        <f t="shared" si="33"/>
        <v>Aug</v>
      </c>
      <c r="K1323" s="12">
        <f t="shared" si="34"/>
        <v>7</v>
      </c>
      <c r="L1323" s="12">
        <f t="shared" si="35"/>
        <v>8</v>
      </c>
    </row>
    <row r="1324" spans="1:12" x14ac:dyDescent="0.3">
      <c r="A1324" s="6">
        <v>45522</v>
      </c>
      <c r="B1324" s="7">
        <v>45522.76959570602</v>
      </c>
      <c r="C1324" s="8">
        <f t="shared" si="30"/>
        <v>18</v>
      </c>
      <c r="D1324" s="8" t="s">
        <v>4</v>
      </c>
      <c r="E1324" s="8" t="s">
        <v>543</v>
      </c>
      <c r="F1324" s="9">
        <v>23.02</v>
      </c>
      <c r="G1324" s="8" t="s">
        <v>17</v>
      </c>
      <c r="H1324" s="8" t="str">
        <f t="shared" si="31"/>
        <v>Night</v>
      </c>
      <c r="I1324" s="8" t="str">
        <f t="shared" si="32"/>
        <v>Sun</v>
      </c>
      <c r="J1324" s="8" t="str">
        <f t="shared" si="33"/>
        <v>Aug</v>
      </c>
      <c r="K1324" s="8">
        <f t="shared" si="34"/>
        <v>7</v>
      </c>
      <c r="L1324" s="8">
        <f t="shared" si="35"/>
        <v>8</v>
      </c>
    </row>
    <row r="1325" spans="1:12" x14ac:dyDescent="0.3">
      <c r="A1325" s="10">
        <v>45523</v>
      </c>
      <c r="B1325" s="11">
        <v>45523.631816921297</v>
      </c>
      <c r="C1325" s="12">
        <f t="shared" si="30"/>
        <v>15</v>
      </c>
      <c r="D1325" s="12" t="s">
        <v>4</v>
      </c>
      <c r="E1325" s="12" t="s">
        <v>544</v>
      </c>
      <c r="F1325" s="13">
        <v>27.92</v>
      </c>
      <c r="G1325" s="12" t="s">
        <v>20</v>
      </c>
      <c r="H1325" s="12" t="str">
        <f t="shared" si="31"/>
        <v>Afternoon</v>
      </c>
      <c r="I1325" s="12" t="str">
        <f t="shared" si="32"/>
        <v>Mon</v>
      </c>
      <c r="J1325" s="12" t="str">
        <f t="shared" si="33"/>
        <v>Aug</v>
      </c>
      <c r="K1325" s="12">
        <f t="shared" si="34"/>
        <v>1</v>
      </c>
      <c r="L1325" s="12">
        <f t="shared" si="35"/>
        <v>8</v>
      </c>
    </row>
    <row r="1326" spans="1:12" x14ac:dyDescent="0.3">
      <c r="A1326" s="6">
        <v>45523</v>
      </c>
      <c r="B1326" s="7">
        <v>45523.632537175923</v>
      </c>
      <c r="C1326" s="8">
        <f t="shared" si="30"/>
        <v>15</v>
      </c>
      <c r="D1326" s="8" t="s">
        <v>4</v>
      </c>
      <c r="E1326" s="8" t="s">
        <v>544</v>
      </c>
      <c r="F1326" s="9">
        <v>27.92</v>
      </c>
      <c r="G1326" s="8" t="s">
        <v>20</v>
      </c>
      <c r="H1326" s="8" t="str">
        <f t="shared" si="31"/>
        <v>Afternoon</v>
      </c>
      <c r="I1326" s="8" t="str">
        <f t="shared" si="32"/>
        <v>Mon</v>
      </c>
      <c r="J1326" s="8" t="str">
        <f t="shared" si="33"/>
        <v>Aug</v>
      </c>
      <c r="K1326" s="8">
        <f t="shared" si="34"/>
        <v>1</v>
      </c>
      <c r="L1326" s="8">
        <f t="shared" si="35"/>
        <v>8</v>
      </c>
    </row>
    <row r="1327" spans="1:12" x14ac:dyDescent="0.3">
      <c r="A1327" s="10">
        <v>45523</v>
      </c>
      <c r="B1327" s="11">
        <v>45523.889723159722</v>
      </c>
      <c r="C1327" s="12">
        <f t="shared" si="30"/>
        <v>21</v>
      </c>
      <c r="D1327" s="12" t="s">
        <v>4</v>
      </c>
      <c r="E1327" s="12" t="s">
        <v>527</v>
      </c>
      <c r="F1327" s="13">
        <v>32.82</v>
      </c>
      <c r="G1327" s="12" t="s">
        <v>13</v>
      </c>
      <c r="H1327" s="12" t="str">
        <f t="shared" si="31"/>
        <v>Night</v>
      </c>
      <c r="I1327" s="12" t="str">
        <f t="shared" si="32"/>
        <v>Mon</v>
      </c>
      <c r="J1327" s="12" t="str">
        <f t="shared" si="33"/>
        <v>Aug</v>
      </c>
      <c r="K1327" s="12">
        <f t="shared" si="34"/>
        <v>1</v>
      </c>
      <c r="L1327" s="12">
        <f t="shared" si="35"/>
        <v>8</v>
      </c>
    </row>
    <row r="1328" spans="1:12" x14ac:dyDescent="0.3">
      <c r="A1328" s="6">
        <v>45523</v>
      </c>
      <c r="B1328" s="7">
        <v>45523.897187916664</v>
      </c>
      <c r="C1328" s="8">
        <f t="shared" si="30"/>
        <v>21</v>
      </c>
      <c r="D1328" s="8" t="s">
        <v>4</v>
      </c>
      <c r="E1328" s="8" t="s">
        <v>511</v>
      </c>
      <c r="F1328" s="9">
        <v>32.82</v>
      </c>
      <c r="G1328" s="8" t="s">
        <v>24</v>
      </c>
      <c r="H1328" s="8" t="str">
        <f t="shared" si="31"/>
        <v>Night</v>
      </c>
      <c r="I1328" s="8" t="str">
        <f t="shared" si="32"/>
        <v>Mon</v>
      </c>
      <c r="J1328" s="8" t="str">
        <f t="shared" si="33"/>
        <v>Aug</v>
      </c>
      <c r="K1328" s="8">
        <f t="shared" si="34"/>
        <v>1</v>
      </c>
      <c r="L1328" s="8">
        <f t="shared" si="35"/>
        <v>8</v>
      </c>
    </row>
    <row r="1329" spans="1:12" x14ac:dyDescent="0.3">
      <c r="A1329" s="10">
        <v>45524</v>
      </c>
      <c r="B1329" s="11">
        <v>45524.352273240744</v>
      </c>
      <c r="C1329" s="12">
        <f t="shared" si="30"/>
        <v>8</v>
      </c>
      <c r="D1329" s="12" t="s">
        <v>4</v>
      </c>
      <c r="E1329" s="12" t="s">
        <v>161</v>
      </c>
      <c r="F1329" s="13">
        <v>23.02</v>
      </c>
      <c r="G1329" s="12" t="s">
        <v>34</v>
      </c>
      <c r="H1329" s="12" t="str">
        <f t="shared" si="31"/>
        <v>Morning</v>
      </c>
      <c r="I1329" s="12" t="str">
        <f t="shared" si="32"/>
        <v>Tue</v>
      </c>
      <c r="J1329" s="12" t="str">
        <f t="shared" si="33"/>
        <v>Aug</v>
      </c>
      <c r="K1329" s="12">
        <f t="shared" si="34"/>
        <v>2</v>
      </c>
      <c r="L1329" s="12">
        <f t="shared" si="35"/>
        <v>8</v>
      </c>
    </row>
    <row r="1330" spans="1:12" x14ac:dyDescent="0.3">
      <c r="A1330" s="6">
        <v>45524</v>
      </c>
      <c r="B1330" s="7">
        <v>45524.353644861112</v>
      </c>
      <c r="C1330" s="8">
        <f t="shared" si="30"/>
        <v>8</v>
      </c>
      <c r="D1330" s="8" t="s">
        <v>4</v>
      </c>
      <c r="E1330" s="8" t="s">
        <v>545</v>
      </c>
      <c r="F1330" s="9">
        <v>32.82</v>
      </c>
      <c r="G1330" s="8" t="s">
        <v>13</v>
      </c>
      <c r="H1330" s="8" t="str">
        <f t="shared" si="31"/>
        <v>Morning</v>
      </c>
      <c r="I1330" s="8" t="str">
        <f t="shared" si="32"/>
        <v>Tue</v>
      </c>
      <c r="J1330" s="8" t="str">
        <f t="shared" si="33"/>
        <v>Aug</v>
      </c>
      <c r="K1330" s="8">
        <f t="shared" si="34"/>
        <v>2</v>
      </c>
      <c r="L1330" s="8">
        <f t="shared" si="35"/>
        <v>8</v>
      </c>
    </row>
    <row r="1331" spans="1:12" x14ac:dyDescent="0.3">
      <c r="A1331" s="10">
        <v>45524</v>
      </c>
      <c r="B1331" s="11">
        <v>45524.367910578701</v>
      </c>
      <c r="C1331" s="12">
        <f t="shared" si="30"/>
        <v>8</v>
      </c>
      <c r="D1331" s="12" t="s">
        <v>4</v>
      </c>
      <c r="E1331" s="12" t="s">
        <v>546</v>
      </c>
      <c r="F1331" s="13">
        <v>18.12</v>
      </c>
      <c r="G1331" s="12" t="s">
        <v>41</v>
      </c>
      <c r="H1331" s="12" t="str">
        <f t="shared" si="31"/>
        <v>Morning</v>
      </c>
      <c r="I1331" s="12" t="str">
        <f t="shared" si="32"/>
        <v>Tue</v>
      </c>
      <c r="J1331" s="12" t="str">
        <f t="shared" si="33"/>
        <v>Aug</v>
      </c>
      <c r="K1331" s="12">
        <f t="shared" si="34"/>
        <v>2</v>
      </c>
      <c r="L1331" s="12">
        <f t="shared" si="35"/>
        <v>8</v>
      </c>
    </row>
    <row r="1332" spans="1:12" x14ac:dyDescent="0.3">
      <c r="A1332" s="6">
        <v>45524</v>
      </c>
      <c r="B1332" s="7">
        <v>45524.368476192132</v>
      </c>
      <c r="C1332" s="8">
        <f t="shared" si="30"/>
        <v>8</v>
      </c>
      <c r="D1332" s="8" t="s">
        <v>4</v>
      </c>
      <c r="E1332" s="8" t="s">
        <v>546</v>
      </c>
      <c r="F1332" s="9">
        <v>23.02</v>
      </c>
      <c r="G1332" s="8" t="s">
        <v>34</v>
      </c>
      <c r="H1332" s="8" t="str">
        <f t="shared" si="31"/>
        <v>Morning</v>
      </c>
      <c r="I1332" s="8" t="str">
        <f t="shared" si="32"/>
        <v>Tue</v>
      </c>
      <c r="J1332" s="8" t="str">
        <f t="shared" si="33"/>
        <v>Aug</v>
      </c>
      <c r="K1332" s="8">
        <f t="shared" si="34"/>
        <v>2</v>
      </c>
      <c r="L1332" s="8">
        <f t="shared" si="35"/>
        <v>8</v>
      </c>
    </row>
    <row r="1333" spans="1:12" x14ac:dyDescent="0.3">
      <c r="A1333" s="10">
        <v>45524</v>
      </c>
      <c r="B1333" s="11">
        <v>45524.385357465275</v>
      </c>
      <c r="C1333" s="12">
        <f t="shared" si="30"/>
        <v>9</v>
      </c>
      <c r="D1333" s="12" t="s">
        <v>4</v>
      </c>
      <c r="E1333" s="12" t="s">
        <v>117</v>
      </c>
      <c r="F1333" s="13">
        <v>27.92</v>
      </c>
      <c r="G1333" s="12" t="s">
        <v>20</v>
      </c>
      <c r="H1333" s="12" t="str">
        <f t="shared" si="31"/>
        <v>Morning</v>
      </c>
      <c r="I1333" s="12" t="str">
        <f t="shared" si="32"/>
        <v>Tue</v>
      </c>
      <c r="J1333" s="12" t="str">
        <f t="shared" si="33"/>
        <v>Aug</v>
      </c>
      <c r="K1333" s="12">
        <f t="shared" si="34"/>
        <v>2</v>
      </c>
      <c r="L1333" s="12">
        <f t="shared" si="35"/>
        <v>8</v>
      </c>
    </row>
    <row r="1334" spans="1:12" x14ac:dyDescent="0.3">
      <c r="A1334" s="6">
        <v>45524</v>
      </c>
      <c r="B1334" s="7">
        <v>45524.465226562497</v>
      </c>
      <c r="C1334" s="8">
        <f t="shared" si="30"/>
        <v>11</v>
      </c>
      <c r="D1334" s="8" t="s">
        <v>4</v>
      </c>
      <c r="E1334" s="8" t="s">
        <v>547</v>
      </c>
      <c r="F1334" s="9">
        <v>23.02</v>
      </c>
      <c r="G1334" s="8" t="s">
        <v>17</v>
      </c>
      <c r="H1334" s="8" t="str">
        <f t="shared" si="31"/>
        <v>Morning</v>
      </c>
      <c r="I1334" s="8" t="str">
        <f t="shared" si="32"/>
        <v>Tue</v>
      </c>
      <c r="J1334" s="8" t="str">
        <f t="shared" si="33"/>
        <v>Aug</v>
      </c>
      <c r="K1334" s="8">
        <f t="shared" si="34"/>
        <v>2</v>
      </c>
      <c r="L1334" s="8">
        <f t="shared" si="35"/>
        <v>8</v>
      </c>
    </row>
    <row r="1335" spans="1:12" x14ac:dyDescent="0.3">
      <c r="A1335" s="10">
        <v>45524</v>
      </c>
      <c r="B1335" s="11">
        <v>45524.466424571758</v>
      </c>
      <c r="C1335" s="12">
        <f t="shared" si="30"/>
        <v>11</v>
      </c>
      <c r="D1335" s="12" t="s">
        <v>4</v>
      </c>
      <c r="E1335" s="12" t="s">
        <v>548</v>
      </c>
      <c r="F1335" s="13">
        <v>23.02</v>
      </c>
      <c r="G1335" s="12" t="s">
        <v>17</v>
      </c>
      <c r="H1335" s="12" t="str">
        <f t="shared" si="31"/>
        <v>Morning</v>
      </c>
      <c r="I1335" s="12" t="str">
        <f t="shared" si="32"/>
        <v>Tue</v>
      </c>
      <c r="J1335" s="12" t="str">
        <f t="shared" si="33"/>
        <v>Aug</v>
      </c>
      <c r="K1335" s="12">
        <f t="shared" si="34"/>
        <v>2</v>
      </c>
      <c r="L1335" s="12">
        <f t="shared" si="35"/>
        <v>8</v>
      </c>
    </row>
    <row r="1336" spans="1:12" x14ac:dyDescent="0.3">
      <c r="A1336" s="6">
        <v>45524</v>
      </c>
      <c r="B1336" s="7">
        <v>45524.467027557868</v>
      </c>
      <c r="C1336" s="8">
        <f t="shared" si="30"/>
        <v>11</v>
      </c>
      <c r="D1336" s="8" t="s">
        <v>4</v>
      </c>
      <c r="E1336" s="8" t="s">
        <v>549</v>
      </c>
      <c r="F1336" s="9">
        <v>23.02</v>
      </c>
      <c r="G1336" s="8" t="s">
        <v>17</v>
      </c>
      <c r="H1336" s="8" t="str">
        <f t="shared" si="31"/>
        <v>Morning</v>
      </c>
      <c r="I1336" s="8" t="str">
        <f t="shared" si="32"/>
        <v>Tue</v>
      </c>
      <c r="J1336" s="8" t="str">
        <f t="shared" si="33"/>
        <v>Aug</v>
      </c>
      <c r="K1336" s="8">
        <f t="shared" si="34"/>
        <v>2</v>
      </c>
      <c r="L1336" s="8">
        <f t="shared" si="35"/>
        <v>8</v>
      </c>
    </row>
    <row r="1337" spans="1:12" x14ac:dyDescent="0.3">
      <c r="A1337" s="10">
        <v>45524</v>
      </c>
      <c r="B1337" s="11">
        <v>45524.48773148148</v>
      </c>
      <c r="C1337" s="12">
        <f t="shared" si="30"/>
        <v>11</v>
      </c>
      <c r="D1337" s="12" t="s">
        <v>4</v>
      </c>
      <c r="E1337" s="12" t="s">
        <v>161</v>
      </c>
      <c r="F1337" s="13">
        <v>32.82</v>
      </c>
      <c r="G1337" s="12" t="s">
        <v>13</v>
      </c>
      <c r="H1337" s="12" t="str">
        <f t="shared" si="31"/>
        <v>Morning</v>
      </c>
      <c r="I1337" s="12" t="str">
        <f t="shared" si="32"/>
        <v>Tue</v>
      </c>
      <c r="J1337" s="12" t="str">
        <f t="shared" si="33"/>
        <v>Aug</v>
      </c>
      <c r="K1337" s="12">
        <f t="shared" si="34"/>
        <v>2</v>
      </c>
      <c r="L1337" s="12">
        <f t="shared" si="35"/>
        <v>8</v>
      </c>
    </row>
    <row r="1338" spans="1:12" x14ac:dyDescent="0.3">
      <c r="A1338" s="6">
        <v>45524</v>
      </c>
      <c r="B1338" s="7">
        <v>45524.862973067131</v>
      </c>
      <c r="C1338" s="8">
        <f t="shared" si="30"/>
        <v>20</v>
      </c>
      <c r="D1338" s="8" t="s">
        <v>4</v>
      </c>
      <c r="E1338" s="8" t="s">
        <v>550</v>
      </c>
      <c r="F1338" s="9">
        <v>32.82</v>
      </c>
      <c r="G1338" s="8" t="s">
        <v>13</v>
      </c>
      <c r="H1338" s="8" t="str">
        <f t="shared" si="31"/>
        <v>Night</v>
      </c>
      <c r="I1338" s="8" t="str">
        <f t="shared" si="32"/>
        <v>Tue</v>
      </c>
      <c r="J1338" s="8" t="str">
        <f t="shared" si="33"/>
        <v>Aug</v>
      </c>
      <c r="K1338" s="8">
        <f t="shared" si="34"/>
        <v>2</v>
      </c>
      <c r="L1338" s="8">
        <f t="shared" si="35"/>
        <v>8</v>
      </c>
    </row>
    <row r="1339" spans="1:12" x14ac:dyDescent="0.3">
      <c r="A1339" s="10">
        <v>45524</v>
      </c>
      <c r="B1339" s="11">
        <v>45524.86406078704</v>
      </c>
      <c r="C1339" s="12">
        <f t="shared" si="30"/>
        <v>20</v>
      </c>
      <c r="D1339" s="12" t="s">
        <v>4</v>
      </c>
      <c r="E1339" s="12" t="s">
        <v>551</v>
      </c>
      <c r="F1339" s="13">
        <v>32.82</v>
      </c>
      <c r="G1339" s="12" t="s">
        <v>13</v>
      </c>
      <c r="H1339" s="12" t="str">
        <f t="shared" si="31"/>
        <v>Night</v>
      </c>
      <c r="I1339" s="12" t="str">
        <f t="shared" si="32"/>
        <v>Tue</v>
      </c>
      <c r="J1339" s="12" t="str">
        <f t="shared" si="33"/>
        <v>Aug</v>
      </c>
      <c r="K1339" s="12">
        <f t="shared" si="34"/>
        <v>2</v>
      </c>
      <c r="L1339" s="12">
        <f t="shared" si="35"/>
        <v>8</v>
      </c>
    </row>
    <row r="1340" spans="1:12" x14ac:dyDescent="0.3">
      <c r="A1340" s="6">
        <v>45524</v>
      </c>
      <c r="B1340" s="7">
        <v>45524.86472622685</v>
      </c>
      <c r="C1340" s="8">
        <f t="shared" si="30"/>
        <v>20</v>
      </c>
      <c r="D1340" s="8" t="s">
        <v>4</v>
      </c>
      <c r="E1340" s="8" t="s">
        <v>551</v>
      </c>
      <c r="F1340" s="9">
        <v>32.82</v>
      </c>
      <c r="G1340" s="8" t="s">
        <v>13</v>
      </c>
      <c r="H1340" s="8" t="str">
        <f t="shared" si="31"/>
        <v>Night</v>
      </c>
      <c r="I1340" s="8" t="str">
        <f t="shared" si="32"/>
        <v>Tue</v>
      </c>
      <c r="J1340" s="8" t="str">
        <f t="shared" si="33"/>
        <v>Aug</v>
      </c>
      <c r="K1340" s="8">
        <f t="shared" si="34"/>
        <v>2</v>
      </c>
      <c r="L1340" s="8">
        <f t="shared" si="35"/>
        <v>8</v>
      </c>
    </row>
    <row r="1341" spans="1:12" x14ac:dyDescent="0.3">
      <c r="A1341" s="10">
        <v>45524</v>
      </c>
      <c r="B1341" s="11">
        <v>45524.86532394676</v>
      </c>
      <c r="C1341" s="12">
        <f t="shared" si="30"/>
        <v>20</v>
      </c>
      <c r="D1341" s="12" t="s">
        <v>4</v>
      </c>
      <c r="E1341" s="12" t="s">
        <v>552</v>
      </c>
      <c r="F1341" s="13">
        <v>32.82</v>
      </c>
      <c r="G1341" s="12" t="s">
        <v>13</v>
      </c>
      <c r="H1341" s="12" t="str">
        <f t="shared" si="31"/>
        <v>Night</v>
      </c>
      <c r="I1341" s="12" t="str">
        <f t="shared" si="32"/>
        <v>Tue</v>
      </c>
      <c r="J1341" s="12" t="str">
        <f t="shared" si="33"/>
        <v>Aug</v>
      </c>
      <c r="K1341" s="12">
        <f t="shared" si="34"/>
        <v>2</v>
      </c>
      <c r="L1341" s="12">
        <f t="shared" si="35"/>
        <v>8</v>
      </c>
    </row>
    <row r="1342" spans="1:12" x14ac:dyDescent="0.3">
      <c r="A1342" s="6">
        <v>45525</v>
      </c>
      <c r="B1342" s="7">
        <v>45525.332790486114</v>
      </c>
      <c r="C1342" s="8">
        <f t="shared" si="30"/>
        <v>7</v>
      </c>
      <c r="D1342" s="8" t="s">
        <v>4</v>
      </c>
      <c r="E1342" s="8" t="s">
        <v>553</v>
      </c>
      <c r="F1342" s="9">
        <v>27.92</v>
      </c>
      <c r="G1342" s="8" t="s">
        <v>20</v>
      </c>
      <c r="H1342" s="8" t="str">
        <f t="shared" si="31"/>
        <v>Morning</v>
      </c>
      <c r="I1342" s="8" t="str">
        <f t="shared" si="32"/>
        <v>Wed</v>
      </c>
      <c r="J1342" s="8" t="str">
        <f t="shared" si="33"/>
        <v>Aug</v>
      </c>
      <c r="K1342" s="8">
        <f t="shared" si="34"/>
        <v>3</v>
      </c>
      <c r="L1342" s="8">
        <f t="shared" si="35"/>
        <v>8</v>
      </c>
    </row>
    <row r="1343" spans="1:12" x14ac:dyDescent="0.3">
      <c r="A1343" s="10">
        <v>45525</v>
      </c>
      <c r="B1343" s="11">
        <v>45525.361428159726</v>
      </c>
      <c r="C1343" s="12">
        <f t="shared" si="30"/>
        <v>8</v>
      </c>
      <c r="D1343" s="12" t="s">
        <v>4</v>
      </c>
      <c r="E1343" s="12" t="s">
        <v>161</v>
      </c>
      <c r="F1343" s="13">
        <v>23.02</v>
      </c>
      <c r="G1343" s="12" t="s">
        <v>34</v>
      </c>
      <c r="H1343" s="12" t="str">
        <f t="shared" si="31"/>
        <v>Morning</v>
      </c>
      <c r="I1343" s="12" t="str">
        <f t="shared" si="32"/>
        <v>Wed</v>
      </c>
      <c r="J1343" s="12" t="str">
        <f t="shared" si="33"/>
        <v>Aug</v>
      </c>
      <c r="K1343" s="12">
        <f t="shared" si="34"/>
        <v>3</v>
      </c>
      <c r="L1343" s="12">
        <f t="shared" si="35"/>
        <v>8</v>
      </c>
    </row>
    <row r="1344" spans="1:12" x14ac:dyDescent="0.3">
      <c r="A1344" s="6">
        <v>45525</v>
      </c>
      <c r="B1344" s="7">
        <v>45525.426069490743</v>
      </c>
      <c r="C1344" s="8">
        <f t="shared" si="30"/>
        <v>10</v>
      </c>
      <c r="D1344" s="8" t="s">
        <v>4</v>
      </c>
      <c r="E1344" s="8" t="s">
        <v>395</v>
      </c>
      <c r="F1344" s="9">
        <v>23.02</v>
      </c>
      <c r="G1344" s="8" t="s">
        <v>17</v>
      </c>
      <c r="H1344" s="8" t="str">
        <f t="shared" si="31"/>
        <v>Morning</v>
      </c>
      <c r="I1344" s="8" t="str">
        <f t="shared" si="32"/>
        <v>Wed</v>
      </c>
      <c r="J1344" s="8" t="str">
        <f t="shared" si="33"/>
        <v>Aug</v>
      </c>
      <c r="K1344" s="8">
        <f t="shared" si="34"/>
        <v>3</v>
      </c>
      <c r="L1344" s="8">
        <f t="shared" si="35"/>
        <v>8</v>
      </c>
    </row>
    <row r="1345" spans="1:12" x14ac:dyDescent="0.3">
      <c r="A1345" s="10">
        <v>45525</v>
      </c>
      <c r="B1345" s="11">
        <v>45525.443570914351</v>
      </c>
      <c r="C1345" s="12">
        <f t="shared" si="30"/>
        <v>10</v>
      </c>
      <c r="D1345" s="12" t="s">
        <v>4</v>
      </c>
      <c r="E1345" s="12" t="s">
        <v>296</v>
      </c>
      <c r="F1345" s="13">
        <v>27.92</v>
      </c>
      <c r="G1345" s="12" t="s">
        <v>20</v>
      </c>
      <c r="H1345" s="12" t="str">
        <f t="shared" si="31"/>
        <v>Morning</v>
      </c>
      <c r="I1345" s="12" t="str">
        <f t="shared" si="32"/>
        <v>Wed</v>
      </c>
      <c r="J1345" s="12" t="str">
        <f t="shared" si="33"/>
        <v>Aug</v>
      </c>
      <c r="K1345" s="12">
        <f t="shared" si="34"/>
        <v>3</v>
      </c>
      <c r="L1345" s="12">
        <f t="shared" si="35"/>
        <v>8</v>
      </c>
    </row>
    <row r="1346" spans="1:12" x14ac:dyDescent="0.3">
      <c r="A1346" s="6">
        <v>45525</v>
      </c>
      <c r="B1346" s="7">
        <v>45525.494229618052</v>
      </c>
      <c r="C1346" s="8">
        <f t="shared" si="30"/>
        <v>11</v>
      </c>
      <c r="D1346" s="8" t="s">
        <v>4</v>
      </c>
      <c r="E1346" s="8" t="s">
        <v>161</v>
      </c>
      <c r="F1346" s="9">
        <v>23.02</v>
      </c>
      <c r="G1346" s="8" t="s">
        <v>34</v>
      </c>
      <c r="H1346" s="8" t="str">
        <f t="shared" si="31"/>
        <v>Morning</v>
      </c>
      <c r="I1346" s="8" t="str">
        <f t="shared" si="32"/>
        <v>Wed</v>
      </c>
      <c r="J1346" s="8" t="str">
        <f t="shared" si="33"/>
        <v>Aug</v>
      </c>
      <c r="K1346" s="8">
        <f t="shared" si="34"/>
        <v>3</v>
      </c>
      <c r="L1346" s="8">
        <f t="shared" si="35"/>
        <v>8</v>
      </c>
    </row>
    <row r="1347" spans="1:12" x14ac:dyDescent="0.3">
      <c r="A1347" s="10">
        <v>45525</v>
      </c>
      <c r="B1347" s="11">
        <v>45525.55359664352</v>
      </c>
      <c r="C1347" s="12">
        <f t="shared" si="30"/>
        <v>13</v>
      </c>
      <c r="D1347" s="12" t="s">
        <v>4</v>
      </c>
      <c r="E1347" s="12" t="s">
        <v>554</v>
      </c>
      <c r="F1347" s="13">
        <v>32.82</v>
      </c>
      <c r="G1347" s="12" t="s">
        <v>13</v>
      </c>
      <c r="H1347" s="12" t="str">
        <f t="shared" si="31"/>
        <v>Afternoon</v>
      </c>
      <c r="I1347" s="12" t="str">
        <f t="shared" si="32"/>
        <v>Wed</v>
      </c>
      <c r="J1347" s="12" t="str">
        <f t="shared" si="33"/>
        <v>Aug</v>
      </c>
      <c r="K1347" s="12">
        <f t="shared" si="34"/>
        <v>3</v>
      </c>
      <c r="L1347" s="12">
        <f t="shared" si="35"/>
        <v>8</v>
      </c>
    </row>
    <row r="1348" spans="1:12" x14ac:dyDescent="0.3">
      <c r="A1348" s="6">
        <v>45525</v>
      </c>
      <c r="B1348" s="7">
        <v>45525.820874108795</v>
      </c>
      <c r="C1348" s="8">
        <f t="shared" si="30"/>
        <v>19</v>
      </c>
      <c r="D1348" s="8" t="s">
        <v>4</v>
      </c>
      <c r="E1348" s="8" t="s">
        <v>527</v>
      </c>
      <c r="F1348" s="9">
        <v>32.82</v>
      </c>
      <c r="G1348" s="8" t="s">
        <v>13</v>
      </c>
      <c r="H1348" s="8" t="str">
        <f t="shared" si="31"/>
        <v>Night</v>
      </c>
      <c r="I1348" s="8" t="str">
        <f t="shared" si="32"/>
        <v>Wed</v>
      </c>
      <c r="J1348" s="8" t="str">
        <f t="shared" si="33"/>
        <v>Aug</v>
      </c>
      <c r="K1348" s="8">
        <f t="shared" si="34"/>
        <v>3</v>
      </c>
      <c r="L1348" s="8">
        <f t="shared" si="35"/>
        <v>8</v>
      </c>
    </row>
    <row r="1349" spans="1:12" x14ac:dyDescent="0.3">
      <c r="A1349" s="10">
        <v>45526</v>
      </c>
      <c r="B1349" s="11">
        <v>45526.390582141205</v>
      </c>
      <c r="C1349" s="12">
        <f t="shared" si="30"/>
        <v>9</v>
      </c>
      <c r="D1349" s="12" t="s">
        <v>4</v>
      </c>
      <c r="E1349" s="12" t="s">
        <v>161</v>
      </c>
      <c r="F1349" s="13">
        <v>23.02</v>
      </c>
      <c r="G1349" s="12" t="s">
        <v>34</v>
      </c>
      <c r="H1349" s="12" t="str">
        <f t="shared" si="31"/>
        <v>Morning</v>
      </c>
      <c r="I1349" s="12" t="str">
        <f t="shared" si="32"/>
        <v>Thu</v>
      </c>
      <c r="J1349" s="12" t="str">
        <f t="shared" si="33"/>
        <v>Aug</v>
      </c>
      <c r="K1349" s="12">
        <f t="shared" si="34"/>
        <v>4</v>
      </c>
      <c r="L1349" s="12">
        <f t="shared" si="35"/>
        <v>8</v>
      </c>
    </row>
    <row r="1350" spans="1:12" x14ac:dyDescent="0.3">
      <c r="A1350" s="6">
        <v>45526</v>
      </c>
      <c r="B1350" s="7">
        <v>45526.423188310182</v>
      </c>
      <c r="C1350" s="8">
        <f t="shared" si="30"/>
        <v>10</v>
      </c>
      <c r="D1350" s="8" t="s">
        <v>4</v>
      </c>
      <c r="E1350" s="8" t="s">
        <v>439</v>
      </c>
      <c r="F1350" s="9">
        <v>27.92</v>
      </c>
      <c r="G1350" s="8" t="s">
        <v>20</v>
      </c>
      <c r="H1350" s="8" t="str">
        <f t="shared" si="31"/>
        <v>Morning</v>
      </c>
      <c r="I1350" s="8" t="str">
        <f t="shared" si="32"/>
        <v>Thu</v>
      </c>
      <c r="J1350" s="8" t="str">
        <f t="shared" si="33"/>
        <v>Aug</v>
      </c>
      <c r="K1350" s="8">
        <f t="shared" si="34"/>
        <v>4</v>
      </c>
      <c r="L1350" s="8">
        <f t="shared" si="35"/>
        <v>8</v>
      </c>
    </row>
    <row r="1351" spans="1:12" x14ac:dyDescent="0.3">
      <c r="A1351" s="10">
        <v>45526</v>
      </c>
      <c r="B1351" s="11">
        <v>45526.449992546295</v>
      </c>
      <c r="C1351" s="12">
        <f t="shared" si="30"/>
        <v>10</v>
      </c>
      <c r="D1351" s="12" t="s">
        <v>4</v>
      </c>
      <c r="E1351" s="12" t="s">
        <v>555</v>
      </c>
      <c r="F1351" s="13">
        <v>27.92</v>
      </c>
      <c r="G1351" s="12" t="s">
        <v>20</v>
      </c>
      <c r="H1351" s="12" t="str">
        <f t="shared" si="31"/>
        <v>Morning</v>
      </c>
      <c r="I1351" s="12" t="str">
        <f t="shared" si="32"/>
        <v>Thu</v>
      </c>
      <c r="J1351" s="12" t="str">
        <f t="shared" si="33"/>
        <v>Aug</v>
      </c>
      <c r="K1351" s="12">
        <f t="shared" si="34"/>
        <v>4</v>
      </c>
      <c r="L1351" s="12">
        <f t="shared" si="35"/>
        <v>8</v>
      </c>
    </row>
    <row r="1352" spans="1:12" x14ac:dyDescent="0.3">
      <c r="A1352" s="6">
        <v>45526</v>
      </c>
      <c r="B1352" s="7">
        <v>45526.59458409722</v>
      </c>
      <c r="C1352" s="8">
        <f t="shared" si="30"/>
        <v>14</v>
      </c>
      <c r="D1352" s="8" t="s">
        <v>4</v>
      </c>
      <c r="E1352" s="8" t="s">
        <v>530</v>
      </c>
      <c r="F1352" s="9">
        <v>32.82</v>
      </c>
      <c r="G1352" s="8" t="s">
        <v>13</v>
      </c>
      <c r="H1352" s="8" t="str">
        <f t="shared" si="31"/>
        <v>Afternoon</v>
      </c>
      <c r="I1352" s="8" t="str">
        <f t="shared" si="32"/>
        <v>Thu</v>
      </c>
      <c r="J1352" s="8" t="str">
        <f t="shared" si="33"/>
        <v>Aug</v>
      </c>
      <c r="K1352" s="8">
        <f t="shared" si="34"/>
        <v>4</v>
      </c>
      <c r="L1352" s="8">
        <f t="shared" si="35"/>
        <v>8</v>
      </c>
    </row>
    <row r="1353" spans="1:12" x14ac:dyDescent="0.3">
      <c r="A1353" s="10">
        <v>45526</v>
      </c>
      <c r="B1353" s="11">
        <v>45526.602063634258</v>
      </c>
      <c r="C1353" s="12">
        <f t="shared" si="30"/>
        <v>14</v>
      </c>
      <c r="D1353" s="12" t="s">
        <v>4</v>
      </c>
      <c r="E1353" s="12" t="s">
        <v>556</v>
      </c>
      <c r="F1353" s="13">
        <v>32.82</v>
      </c>
      <c r="G1353" s="12" t="s">
        <v>13</v>
      </c>
      <c r="H1353" s="12" t="str">
        <f t="shared" si="31"/>
        <v>Afternoon</v>
      </c>
      <c r="I1353" s="12" t="str">
        <f t="shared" si="32"/>
        <v>Thu</v>
      </c>
      <c r="J1353" s="12" t="str">
        <f t="shared" si="33"/>
        <v>Aug</v>
      </c>
      <c r="K1353" s="12">
        <f t="shared" si="34"/>
        <v>4</v>
      </c>
      <c r="L1353" s="12">
        <f t="shared" si="35"/>
        <v>8</v>
      </c>
    </row>
    <row r="1354" spans="1:12" x14ac:dyDescent="0.3">
      <c r="A1354" s="6">
        <v>45526</v>
      </c>
      <c r="B1354" s="7">
        <v>45526.629947071757</v>
      </c>
      <c r="C1354" s="8">
        <f t="shared" si="30"/>
        <v>15</v>
      </c>
      <c r="D1354" s="8" t="s">
        <v>4</v>
      </c>
      <c r="E1354" s="8" t="s">
        <v>557</v>
      </c>
      <c r="F1354" s="9">
        <v>32.82</v>
      </c>
      <c r="G1354" s="8" t="s">
        <v>49</v>
      </c>
      <c r="H1354" s="8" t="str">
        <f t="shared" si="31"/>
        <v>Afternoon</v>
      </c>
      <c r="I1354" s="8" t="str">
        <f t="shared" si="32"/>
        <v>Thu</v>
      </c>
      <c r="J1354" s="8" t="str">
        <f t="shared" si="33"/>
        <v>Aug</v>
      </c>
      <c r="K1354" s="8">
        <f t="shared" si="34"/>
        <v>4</v>
      </c>
      <c r="L1354" s="8">
        <f t="shared" si="35"/>
        <v>8</v>
      </c>
    </row>
    <row r="1355" spans="1:12" x14ac:dyDescent="0.3">
      <c r="A1355" s="10">
        <v>45526</v>
      </c>
      <c r="B1355" s="11">
        <v>45526.644066168985</v>
      </c>
      <c r="C1355" s="12">
        <f t="shared" si="30"/>
        <v>15</v>
      </c>
      <c r="D1355" s="12" t="s">
        <v>4</v>
      </c>
      <c r="E1355" s="12" t="s">
        <v>558</v>
      </c>
      <c r="F1355" s="13">
        <v>23.02</v>
      </c>
      <c r="G1355" s="12" t="s">
        <v>17</v>
      </c>
      <c r="H1355" s="12" t="str">
        <f t="shared" si="31"/>
        <v>Afternoon</v>
      </c>
      <c r="I1355" s="12" t="str">
        <f t="shared" si="32"/>
        <v>Thu</v>
      </c>
      <c r="J1355" s="12" t="str">
        <f t="shared" si="33"/>
        <v>Aug</v>
      </c>
      <c r="K1355" s="12">
        <f t="shared" si="34"/>
        <v>4</v>
      </c>
      <c r="L1355" s="12">
        <f t="shared" si="35"/>
        <v>8</v>
      </c>
    </row>
    <row r="1356" spans="1:12" x14ac:dyDescent="0.3">
      <c r="A1356" s="6">
        <v>45527</v>
      </c>
      <c r="B1356" s="7">
        <v>45527.321714432874</v>
      </c>
      <c r="C1356" s="8">
        <f t="shared" si="30"/>
        <v>7</v>
      </c>
      <c r="D1356" s="8" t="s">
        <v>4</v>
      </c>
      <c r="E1356" s="8" t="s">
        <v>495</v>
      </c>
      <c r="F1356" s="9">
        <v>32.82</v>
      </c>
      <c r="G1356" s="8" t="s">
        <v>13</v>
      </c>
      <c r="H1356" s="8" t="str">
        <f t="shared" si="31"/>
        <v>Morning</v>
      </c>
      <c r="I1356" s="8" t="str">
        <f t="shared" si="32"/>
        <v>Fri</v>
      </c>
      <c r="J1356" s="8" t="str">
        <f t="shared" si="33"/>
        <v>Aug</v>
      </c>
      <c r="K1356" s="8">
        <f t="shared" si="34"/>
        <v>5</v>
      </c>
      <c r="L1356" s="8">
        <f t="shared" si="35"/>
        <v>8</v>
      </c>
    </row>
    <row r="1357" spans="1:12" x14ac:dyDescent="0.3">
      <c r="A1357" s="10">
        <v>45527</v>
      </c>
      <c r="B1357" s="11">
        <v>45527.348472847225</v>
      </c>
      <c r="C1357" s="12">
        <f t="shared" si="30"/>
        <v>8</v>
      </c>
      <c r="D1357" s="12" t="s">
        <v>4</v>
      </c>
      <c r="E1357" s="12" t="s">
        <v>161</v>
      </c>
      <c r="F1357" s="13">
        <v>23.02</v>
      </c>
      <c r="G1357" s="12" t="s">
        <v>34</v>
      </c>
      <c r="H1357" s="12" t="str">
        <f t="shared" si="31"/>
        <v>Morning</v>
      </c>
      <c r="I1357" s="12" t="str">
        <f t="shared" si="32"/>
        <v>Fri</v>
      </c>
      <c r="J1357" s="12" t="str">
        <f t="shared" si="33"/>
        <v>Aug</v>
      </c>
      <c r="K1357" s="12">
        <f t="shared" si="34"/>
        <v>5</v>
      </c>
      <c r="L1357" s="12">
        <f t="shared" si="35"/>
        <v>8</v>
      </c>
    </row>
    <row r="1358" spans="1:12" x14ac:dyDescent="0.3">
      <c r="A1358" s="6">
        <v>45527</v>
      </c>
      <c r="B1358" s="7">
        <v>45527.349265821758</v>
      </c>
      <c r="C1358" s="8">
        <f t="shared" si="30"/>
        <v>8</v>
      </c>
      <c r="D1358" s="8" t="s">
        <v>4</v>
      </c>
      <c r="E1358" s="8" t="s">
        <v>445</v>
      </c>
      <c r="F1358" s="9">
        <v>32.82</v>
      </c>
      <c r="G1358" s="8" t="s">
        <v>13</v>
      </c>
      <c r="H1358" s="8" t="str">
        <f t="shared" si="31"/>
        <v>Morning</v>
      </c>
      <c r="I1358" s="8" t="str">
        <f t="shared" si="32"/>
        <v>Fri</v>
      </c>
      <c r="J1358" s="8" t="str">
        <f t="shared" si="33"/>
        <v>Aug</v>
      </c>
      <c r="K1358" s="8">
        <f t="shared" si="34"/>
        <v>5</v>
      </c>
      <c r="L1358" s="8">
        <f t="shared" si="35"/>
        <v>8</v>
      </c>
    </row>
    <row r="1359" spans="1:12" x14ac:dyDescent="0.3">
      <c r="A1359" s="10">
        <v>45527</v>
      </c>
      <c r="B1359" s="11">
        <v>45527.356698055555</v>
      </c>
      <c r="C1359" s="12">
        <f t="shared" si="30"/>
        <v>8</v>
      </c>
      <c r="D1359" s="12" t="s">
        <v>4</v>
      </c>
      <c r="E1359" s="12" t="s">
        <v>245</v>
      </c>
      <c r="F1359" s="13">
        <v>23.02</v>
      </c>
      <c r="G1359" s="12" t="s">
        <v>17</v>
      </c>
      <c r="H1359" s="12" t="str">
        <f t="shared" si="31"/>
        <v>Morning</v>
      </c>
      <c r="I1359" s="12" t="str">
        <f t="shared" si="32"/>
        <v>Fri</v>
      </c>
      <c r="J1359" s="12" t="str">
        <f t="shared" si="33"/>
        <v>Aug</v>
      </c>
      <c r="K1359" s="12">
        <f t="shared" si="34"/>
        <v>5</v>
      </c>
      <c r="L1359" s="12">
        <f t="shared" si="35"/>
        <v>8</v>
      </c>
    </row>
    <row r="1360" spans="1:12" x14ac:dyDescent="0.3">
      <c r="A1360" s="6">
        <v>45527</v>
      </c>
      <c r="B1360" s="7">
        <v>45527.357349560189</v>
      </c>
      <c r="C1360" s="8">
        <f t="shared" si="30"/>
        <v>8</v>
      </c>
      <c r="D1360" s="8" t="s">
        <v>4</v>
      </c>
      <c r="E1360" s="8" t="s">
        <v>245</v>
      </c>
      <c r="F1360" s="9">
        <v>23.02</v>
      </c>
      <c r="G1360" s="8" t="s">
        <v>17</v>
      </c>
      <c r="H1360" s="8" t="str">
        <f t="shared" si="31"/>
        <v>Morning</v>
      </c>
      <c r="I1360" s="8" t="str">
        <f t="shared" si="32"/>
        <v>Fri</v>
      </c>
      <c r="J1360" s="8" t="str">
        <f t="shared" si="33"/>
        <v>Aug</v>
      </c>
      <c r="K1360" s="8">
        <f t="shared" si="34"/>
        <v>5</v>
      </c>
      <c r="L1360" s="8">
        <f t="shared" si="35"/>
        <v>8</v>
      </c>
    </row>
    <row r="1361" spans="1:12" x14ac:dyDescent="0.3">
      <c r="A1361" s="10">
        <v>45527</v>
      </c>
      <c r="B1361" s="11">
        <v>45527.385324351853</v>
      </c>
      <c r="C1361" s="12">
        <f t="shared" si="30"/>
        <v>9</v>
      </c>
      <c r="D1361" s="12" t="s">
        <v>4</v>
      </c>
      <c r="E1361" s="12" t="s">
        <v>439</v>
      </c>
      <c r="F1361" s="13">
        <v>27.92</v>
      </c>
      <c r="G1361" s="12" t="s">
        <v>20</v>
      </c>
      <c r="H1361" s="12" t="str">
        <f t="shared" si="31"/>
        <v>Morning</v>
      </c>
      <c r="I1361" s="12" t="str">
        <f t="shared" si="32"/>
        <v>Fri</v>
      </c>
      <c r="J1361" s="12" t="str">
        <f t="shared" si="33"/>
        <v>Aug</v>
      </c>
      <c r="K1361" s="12">
        <f t="shared" si="34"/>
        <v>5</v>
      </c>
      <c r="L1361" s="12">
        <f t="shared" si="35"/>
        <v>8</v>
      </c>
    </row>
    <row r="1362" spans="1:12" x14ac:dyDescent="0.3">
      <c r="A1362" s="6">
        <v>45527</v>
      </c>
      <c r="B1362" s="7">
        <v>45527.424290555558</v>
      </c>
      <c r="C1362" s="8">
        <f t="shared" si="30"/>
        <v>10</v>
      </c>
      <c r="D1362" s="8" t="s">
        <v>4</v>
      </c>
      <c r="E1362" s="8" t="s">
        <v>559</v>
      </c>
      <c r="F1362" s="9">
        <v>32.82</v>
      </c>
      <c r="G1362" s="8" t="s">
        <v>24</v>
      </c>
      <c r="H1362" s="8" t="str">
        <f t="shared" si="31"/>
        <v>Morning</v>
      </c>
      <c r="I1362" s="8" t="str">
        <f t="shared" si="32"/>
        <v>Fri</v>
      </c>
      <c r="J1362" s="8" t="str">
        <f t="shared" si="33"/>
        <v>Aug</v>
      </c>
      <c r="K1362" s="8">
        <f t="shared" si="34"/>
        <v>5</v>
      </c>
      <c r="L1362" s="8">
        <f t="shared" si="35"/>
        <v>8</v>
      </c>
    </row>
    <row r="1363" spans="1:12" x14ac:dyDescent="0.3">
      <c r="A1363" s="10">
        <v>45527</v>
      </c>
      <c r="B1363" s="11">
        <v>45527.424947557869</v>
      </c>
      <c r="C1363" s="12">
        <f t="shared" si="30"/>
        <v>10</v>
      </c>
      <c r="D1363" s="12" t="s">
        <v>4</v>
      </c>
      <c r="E1363" s="12" t="s">
        <v>559</v>
      </c>
      <c r="F1363" s="13">
        <v>23.02</v>
      </c>
      <c r="G1363" s="12" t="s">
        <v>17</v>
      </c>
      <c r="H1363" s="12" t="str">
        <f t="shared" si="31"/>
        <v>Morning</v>
      </c>
      <c r="I1363" s="12" t="str">
        <f t="shared" si="32"/>
        <v>Fri</v>
      </c>
      <c r="J1363" s="12" t="str">
        <f t="shared" si="33"/>
        <v>Aug</v>
      </c>
      <c r="K1363" s="12">
        <f t="shared" si="34"/>
        <v>5</v>
      </c>
      <c r="L1363" s="12">
        <f t="shared" si="35"/>
        <v>8</v>
      </c>
    </row>
    <row r="1364" spans="1:12" x14ac:dyDescent="0.3">
      <c r="A1364" s="6">
        <v>45527</v>
      </c>
      <c r="B1364" s="7">
        <v>45527.443892118055</v>
      </c>
      <c r="C1364" s="8">
        <f t="shared" si="30"/>
        <v>10</v>
      </c>
      <c r="D1364" s="8" t="s">
        <v>4</v>
      </c>
      <c r="E1364" s="8" t="s">
        <v>161</v>
      </c>
      <c r="F1364" s="9">
        <v>23.02</v>
      </c>
      <c r="G1364" s="8" t="s">
        <v>34</v>
      </c>
      <c r="H1364" s="8" t="str">
        <f t="shared" si="31"/>
        <v>Morning</v>
      </c>
      <c r="I1364" s="8" t="str">
        <f t="shared" si="32"/>
        <v>Fri</v>
      </c>
      <c r="J1364" s="8" t="str">
        <f t="shared" si="33"/>
        <v>Aug</v>
      </c>
      <c r="K1364" s="8">
        <f t="shared" si="34"/>
        <v>5</v>
      </c>
      <c r="L1364" s="8">
        <f t="shared" si="35"/>
        <v>8</v>
      </c>
    </row>
    <row r="1365" spans="1:12" x14ac:dyDescent="0.3">
      <c r="A1365" s="10">
        <v>45527</v>
      </c>
      <c r="B1365" s="11">
        <v>45527.467354016204</v>
      </c>
      <c r="C1365" s="12">
        <f t="shared" si="30"/>
        <v>11</v>
      </c>
      <c r="D1365" s="12" t="s">
        <v>4</v>
      </c>
      <c r="E1365" s="12" t="s">
        <v>560</v>
      </c>
      <c r="F1365" s="13">
        <v>32.82</v>
      </c>
      <c r="G1365" s="12" t="s">
        <v>15</v>
      </c>
      <c r="H1365" s="12" t="str">
        <f t="shared" si="31"/>
        <v>Morning</v>
      </c>
      <c r="I1365" s="12" t="str">
        <f t="shared" si="32"/>
        <v>Fri</v>
      </c>
      <c r="J1365" s="12" t="str">
        <f t="shared" si="33"/>
        <v>Aug</v>
      </c>
      <c r="K1365" s="12">
        <f t="shared" si="34"/>
        <v>5</v>
      </c>
      <c r="L1365" s="12">
        <f t="shared" si="35"/>
        <v>8</v>
      </c>
    </row>
    <row r="1366" spans="1:12" x14ac:dyDescent="0.3">
      <c r="A1366" s="6">
        <v>45527</v>
      </c>
      <c r="B1366" s="7">
        <v>45527.558966990742</v>
      </c>
      <c r="C1366" s="8">
        <f t="shared" si="30"/>
        <v>13</v>
      </c>
      <c r="D1366" s="8" t="s">
        <v>4</v>
      </c>
      <c r="E1366" s="8" t="s">
        <v>561</v>
      </c>
      <c r="F1366" s="9">
        <v>23.02</v>
      </c>
      <c r="G1366" s="8" t="s">
        <v>17</v>
      </c>
      <c r="H1366" s="8" t="str">
        <f t="shared" si="31"/>
        <v>Afternoon</v>
      </c>
      <c r="I1366" s="8" t="str">
        <f t="shared" si="32"/>
        <v>Fri</v>
      </c>
      <c r="J1366" s="8" t="str">
        <f t="shared" si="33"/>
        <v>Aug</v>
      </c>
      <c r="K1366" s="8">
        <f t="shared" si="34"/>
        <v>5</v>
      </c>
      <c r="L1366" s="8">
        <f t="shared" si="35"/>
        <v>8</v>
      </c>
    </row>
    <row r="1367" spans="1:12" x14ac:dyDescent="0.3">
      <c r="A1367" s="10">
        <v>45527</v>
      </c>
      <c r="B1367" s="11">
        <v>45527.645055312503</v>
      </c>
      <c r="C1367" s="12">
        <f t="shared" si="30"/>
        <v>15</v>
      </c>
      <c r="D1367" s="12" t="s">
        <v>4</v>
      </c>
      <c r="E1367" s="12" t="s">
        <v>562</v>
      </c>
      <c r="F1367" s="13">
        <v>23.02</v>
      </c>
      <c r="G1367" s="12" t="s">
        <v>17</v>
      </c>
      <c r="H1367" s="12" t="str">
        <f t="shared" si="31"/>
        <v>Afternoon</v>
      </c>
      <c r="I1367" s="12" t="str">
        <f t="shared" si="32"/>
        <v>Fri</v>
      </c>
      <c r="J1367" s="12" t="str">
        <f t="shared" si="33"/>
        <v>Aug</v>
      </c>
      <c r="K1367" s="12">
        <f t="shared" si="34"/>
        <v>5</v>
      </c>
      <c r="L1367" s="12">
        <f t="shared" si="35"/>
        <v>8</v>
      </c>
    </row>
    <row r="1368" spans="1:12" x14ac:dyDescent="0.3">
      <c r="A1368" s="6">
        <v>45527</v>
      </c>
      <c r="B1368" s="7">
        <v>45527.825032488428</v>
      </c>
      <c r="C1368" s="8">
        <f t="shared" si="30"/>
        <v>19</v>
      </c>
      <c r="D1368" s="8" t="s">
        <v>4</v>
      </c>
      <c r="E1368" s="8" t="s">
        <v>527</v>
      </c>
      <c r="F1368" s="9">
        <v>32.82</v>
      </c>
      <c r="G1368" s="8" t="s">
        <v>13</v>
      </c>
      <c r="H1368" s="8" t="str">
        <f t="shared" si="31"/>
        <v>Night</v>
      </c>
      <c r="I1368" s="8" t="str">
        <f t="shared" si="32"/>
        <v>Fri</v>
      </c>
      <c r="J1368" s="8" t="str">
        <f t="shared" si="33"/>
        <v>Aug</v>
      </c>
      <c r="K1368" s="8">
        <f t="shared" si="34"/>
        <v>5</v>
      </c>
      <c r="L1368" s="8">
        <f t="shared" si="35"/>
        <v>8</v>
      </c>
    </row>
    <row r="1369" spans="1:12" x14ac:dyDescent="0.3">
      <c r="A1369" s="10">
        <v>45528</v>
      </c>
      <c r="B1369" s="11">
        <v>45528.342850347224</v>
      </c>
      <c r="C1369" s="12">
        <f t="shared" si="30"/>
        <v>8</v>
      </c>
      <c r="D1369" s="12" t="s">
        <v>4</v>
      </c>
      <c r="E1369" s="12" t="s">
        <v>161</v>
      </c>
      <c r="F1369" s="13">
        <v>23.02</v>
      </c>
      <c r="G1369" s="12" t="s">
        <v>34</v>
      </c>
      <c r="H1369" s="12" t="str">
        <f t="shared" si="31"/>
        <v>Morning</v>
      </c>
      <c r="I1369" s="12" t="str">
        <f t="shared" si="32"/>
        <v>Sat</v>
      </c>
      <c r="J1369" s="12" t="str">
        <f t="shared" si="33"/>
        <v>Aug</v>
      </c>
      <c r="K1369" s="12">
        <f t="shared" si="34"/>
        <v>6</v>
      </c>
      <c r="L1369" s="12">
        <f t="shared" si="35"/>
        <v>8</v>
      </c>
    </row>
    <row r="1370" spans="1:12" x14ac:dyDescent="0.3">
      <c r="A1370" s="6">
        <v>45528</v>
      </c>
      <c r="B1370" s="7">
        <v>45528.343606909722</v>
      </c>
      <c r="C1370" s="8">
        <f t="shared" si="30"/>
        <v>8</v>
      </c>
      <c r="D1370" s="8" t="s">
        <v>4</v>
      </c>
      <c r="E1370" s="8" t="s">
        <v>161</v>
      </c>
      <c r="F1370" s="9">
        <v>23.02</v>
      </c>
      <c r="G1370" s="8" t="s">
        <v>34</v>
      </c>
      <c r="H1370" s="8" t="str">
        <f t="shared" si="31"/>
        <v>Morning</v>
      </c>
      <c r="I1370" s="8" t="str">
        <f t="shared" si="32"/>
        <v>Sat</v>
      </c>
      <c r="J1370" s="8" t="str">
        <f t="shared" si="33"/>
        <v>Aug</v>
      </c>
      <c r="K1370" s="8">
        <f t="shared" si="34"/>
        <v>6</v>
      </c>
      <c r="L1370" s="8">
        <f t="shared" si="35"/>
        <v>8</v>
      </c>
    </row>
    <row r="1371" spans="1:12" x14ac:dyDescent="0.3">
      <c r="A1371" s="10">
        <v>45528</v>
      </c>
      <c r="B1371" s="11">
        <v>45528.364022858797</v>
      </c>
      <c r="C1371" s="12">
        <f t="shared" si="30"/>
        <v>8</v>
      </c>
      <c r="D1371" s="12" t="s">
        <v>4</v>
      </c>
      <c r="E1371" s="12" t="s">
        <v>563</v>
      </c>
      <c r="F1371" s="13">
        <v>23.02</v>
      </c>
      <c r="G1371" s="12" t="s">
        <v>34</v>
      </c>
      <c r="H1371" s="12" t="str">
        <f t="shared" si="31"/>
        <v>Morning</v>
      </c>
      <c r="I1371" s="12" t="str">
        <f t="shared" si="32"/>
        <v>Sat</v>
      </c>
      <c r="J1371" s="12" t="str">
        <f t="shared" si="33"/>
        <v>Aug</v>
      </c>
      <c r="K1371" s="12">
        <f t="shared" si="34"/>
        <v>6</v>
      </c>
      <c r="L1371" s="12">
        <f t="shared" si="35"/>
        <v>8</v>
      </c>
    </row>
    <row r="1372" spans="1:12" x14ac:dyDescent="0.3">
      <c r="A1372" s="6">
        <v>45528</v>
      </c>
      <c r="B1372" s="7">
        <v>45528.429276446761</v>
      </c>
      <c r="C1372" s="8">
        <f t="shared" si="30"/>
        <v>10</v>
      </c>
      <c r="D1372" s="8" t="s">
        <v>4</v>
      </c>
      <c r="E1372" s="8" t="s">
        <v>564</v>
      </c>
      <c r="F1372" s="9">
        <v>18.12</v>
      </c>
      <c r="G1372" s="8" t="s">
        <v>41</v>
      </c>
      <c r="H1372" s="8" t="str">
        <f t="shared" si="31"/>
        <v>Morning</v>
      </c>
      <c r="I1372" s="8" t="str">
        <f t="shared" si="32"/>
        <v>Sat</v>
      </c>
      <c r="J1372" s="8" t="str">
        <f t="shared" si="33"/>
        <v>Aug</v>
      </c>
      <c r="K1372" s="8">
        <f t="shared" si="34"/>
        <v>6</v>
      </c>
      <c r="L1372" s="8">
        <f t="shared" si="35"/>
        <v>8</v>
      </c>
    </row>
    <row r="1373" spans="1:12" x14ac:dyDescent="0.3">
      <c r="A1373" s="10">
        <v>45528</v>
      </c>
      <c r="B1373" s="11">
        <v>45528.4297715625</v>
      </c>
      <c r="C1373" s="12">
        <f t="shared" si="30"/>
        <v>10</v>
      </c>
      <c r="D1373" s="12" t="s">
        <v>4</v>
      </c>
      <c r="E1373" s="12" t="s">
        <v>564</v>
      </c>
      <c r="F1373" s="13">
        <v>18.12</v>
      </c>
      <c r="G1373" s="12" t="s">
        <v>41</v>
      </c>
      <c r="H1373" s="12" t="str">
        <f t="shared" si="31"/>
        <v>Morning</v>
      </c>
      <c r="I1373" s="12" t="str">
        <f t="shared" si="32"/>
        <v>Sat</v>
      </c>
      <c r="J1373" s="12" t="str">
        <f t="shared" si="33"/>
        <v>Aug</v>
      </c>
      <c r="K1373" s="12">
        <f t="shared" si="34"/>
        <v>6</v>
      </c>
      <c r="L1373" s="12">
        <f t="shared" si="35"/>
        <v>8</v>
      </c>
    </row>
    <row r="1374" spans="1:12" x14ac:dyDescent="0.3">
      <c r="A1374" s="6">
        <v>45528</v>
      </c>
      <c r="B1374" s="7">
        <v>45528.430431053239</v>
      </c>
      <c r="C1374" s="8">
        <f t="shared" si="30"/>
        <v>10</v>
      </c>
      <c r="D1374" s="8" t="s">
        <v>4</v>
      </c>
      <c r="E1374" s="8" t="s">
        <v>564</v>
      </c>
      <c r="F1374" s="9">
        <v>23.02</v>
      </c>
      <c r="G1374" s="8" t="s">
        <v>17</v>
      </c>
      <c r="H1374" s="8" t="str">
        <f t="shared" si="31"/>
        <v>Morning</v>
      </c>
      <c r="I1374" s="8" t="str">
        <f t="shared" si="32"/>
        <v>Sat</v>
      </c>
      <c r="J1374" s="8" t="str">
        <f t="shared" si="33"/>
        <v>Aug</v>
      </c>
      <c r="K1374" s="8">
        <f t="shared" si="34"/>
        <v>6</v>
      </c>
      <c r="L1374" s="8">
        <f t="shared" si="35"/>
        <v>8</v>
      </c>
    </row>
    <row r="1375" spans="1:12" x14ac:dyDescent="0.3">
      <c r="A1375" s="10">
        <v>45529</v>
      </c>
      <c r="B1375" s="11">
        <v>45529.343488217593</v>
      </c>
      <c r="C1375" s="12">
        <f t="shared" si="30"/>
        <v>8</v>
      </c>
      <c r="D1375" s="12" t="s">
        <v>4</v>
      </c>
      <c r="E1375" s="12" t="s">
        <v>161</v>
      </c>
      <c r="F1375" s="13">
        <v>23.02</v>
      </c>
      <c r="G1375" s="12" t="s">
        <v>34</v>
      </c>
      <c r="H1375" s="12" t="str">
        <f t="shared" si="31"/>
        <v>Morning</v>
      </c>
      <c r="I1375" s="12" t="str">
        <f t="shared" si="32"/>
        <v>Sun</v>
      </c>
      <c r="J1375" s="12" t="str">
        <f t="shared" si="33"/>
        <v>Aug</v>
      </c>
      <c r="K1375" s="12">
        <f t="shared" si="34"/>
        <v>7</v>
      </c>
      <c r="L1375" s="12">
        <f t="shared" si="35"/>
        <v>8</v>
      </c>
    </row>
    <row r="1376" spans="1:12" x14ac:dyDescent="0.3">
      <c r="A1376" s="6">
        <v>45529</v>
      </c>
      <c r="B1376" s="7">
        <v>45529.351709155089</v>
      </c>
      <c r="C1376" s="8">
        <f t="shared" si="30"/>
        <v>8</v>
      </c>
      <c r="D1376" s="8" t="s">
        <v>4</v>
      </c>
      <c r="E1376" s="8" t="s">
        <v>428</v>
      </c>
      <c r="F1376" s="9">
        <v>23.02</v>
      </c>
      <c r="G1376" s="8" t="s">
        <v>17</v>
      </c>
      <c r="H1376" s="8" t="str">
        <f t="shared" si="31"/>
        <v>Morning</v>
      </c>
      <c r="I1376" s="8" t="str">
        <f t="shared" si="32"/>
        <v>Sun</v>
      </c>
      <c r="J1376" s="8" t="str">
        <f t="shared" si="33"/>
        <v>Aug</v>
      </c>
      <c r="K1376" s="8">
        <f t="shared" si="34"/>
        <v>7</v>
      </c>
      <c r="L1376" s="8">
        <f t="shared" si="35"/>
        <v>8</v>
      </c>
    </row>
    <row r="1377" spans="1:12" x14ac:dyDescent="0.3">
      <c r="A1377" s="10">
        <v>45529</v>
      </c>
      <c r="B1377" s="11">
        <v>45529.3525046875</v>
      </c>
      <c r="C1377" s="12">
        <f t="shared" si="30"/>
        <v>8</v>
      </c>
      <c r="D1377" s="12" t="s">
        <v>4</v>
      </c>
      <c r="E1377" s="12" t="s">
        <v>428</v>
      </c>
      <c r="F1377" s="13">
        <v>23.02</v>
      </c>
      <c r="G1377" s="12" t="s">
        <v>17</v>
      </c>
      <c r="H1377" s="12" t="str">
        <f t="shared" si="31"/>
        <v>Morning</v>
      </c>
      <c r="I1377" s="12" t="str">
        <f t="shared" si="32"/>
        <v>Sun</v>
      </c>
      <c r="J1377" s="12" t="str">
        <f t="shared" si="33"/>
        <v>Aug</v>
      </c>
      <c r="K1377" s="12">
        <f t="shared" si="34"/>
        <v>7</v>
      </c>
      <c r="L1377" s="12">
        <f t="shared" si="35"/>
        <v>8</v>
      </c>
    </row>
    <row r="1378" spans="1:12" x14ac:dyDescent="0.3">
      <c r="A1378" s="6">
        <v>45529</v>
      </c>
      <c r="B1378" s="7">
        <v>45529.391924363423</v>
      </c>
      <c r="C1378" s="8">
        <f t="shared" si="30"/>
        <v>9</v>
      </c>
      <c r="D1378" s="8" t="s">
        <v>4</v>
      </c>
      <c r="E1378" s="8" t="s">
        <v>565</v>
      </c>
      <c r="F1378" s="9">
        <v>32.82</v>
      </c>
      <c r="G1378" s="8" t="s">
        <v>49</v>
      </c>
      <c r="H1378" s="8" t="str">
        <f t="shared" si="31"/>
        <v>Morning</v>
      </c>
      <c r="I1378" s="8" t="str">
        <f t="shared" si="32"/>
        <v>Sun</v>
      </c>
      <c r="J1378" s="8" t="str">
        <f t="shared" si="33"/>
        <v>Aug</v>
      </c>
      <c r="K1378" s="8">
        <f t="shared" si="34"/>
        <v>7</v>
      </c>
      <c r="L1378" s="8">
        <f t="shared" si="35"/>
        <v>8</v>
      </c>
    </row>
    <row r="1379" spans="1:12" x14ac:dyDescent="0.3">
      <c r="A1379" s="10">
        <v>45529</v>
      </c>
      <c r="B1379" s="11">
        <v>45529.528966469908</v>
      </c>
      <c r="C1379" s="12">
        <f t="shared" si="30"/>
        <v>12</v>
      </c>
      <c r="D1379" s="12" t="s">
        <v>4</v>
      </c>
      <c r="E1379" s="12" t="s">
        <v>566</v>
      </c>
      <c r="F1379" s="13">
        <v>32.82</v>
      </c>
      <c r="G1379" s="12" t="s">
        <v>49</v>
      </c>
      <c r="H1379" s="12" t="str">
        <f t="shared" si="31"/>
        <v>Afternoon</v>
      </c>
      <c r="I1379" s="12" t="str">
        <f t="shared" si="32"/>
        <v>Sun</v>
      </c>
      <c r="J1379" s="12" t="str">
        <f t="shared" si="33"/>
        <v>Aug</v>
      </c>
      <c r="K1379" s="12">
        <f t="shared" si="34"/>
        <v>7</v>
      </c>
      <c r="L1379" s="12">
        <f t="shared" si="35"/>
        <v>8</v>
      </c>
    </row>
    <row r="1380" spans="1:12" x14ac:dyDescent="0.3">
      <c r="A1380" s="6">
        <v>45529</v>
      </c>
      <c r="B1380" s="7">
        <v>45529.620170127317</v>
      </c>
      <c r="C1380" s="8">
        <f t="shared" si="30"/>
        <v>14</v>
      </c>
      <c r="D1380" s="8" t="s">
        <v>4</v>
      </c>
      <c r="E1380" s="8" t="s">
        <v>97</v>
      </c>
      <c r="F1380" s="9">
        <v>32.82</v>
      </c>
      <c r="G1380" s="8" t="s">
        <v>13</v>
      </c>
      <c r="H1380" s="8" t="str">
        <f t="shared" si="31"/>
        <v>Afternoon</v>
      </c>
      <c r="I1380" s="8" t="str">
        <f t="shared" si="32"/>
        <v>Sun</v>
      </c>
      <c r="J1380" s="8" t="str">
        <f t="shared" si="33"/>
        <v>Aug</v>
      </c>
      <c r="K1380" s="8">
        <f t="shared" si="34"/>
        <v>7</v>
      </c>
      <c r="L1380" s="8">
        <f t="shared" si="35"/>
        <v>8</v>
      </c>
    </row>
    <row r="1381" spans="1:12" x14ac:dyDescent="0.3">
      <c r="A1381" s="10">
        <v>45530</v>
      </c>
      <c r="B1381" s="11">
        <v>45530.341519618058</v>
      </c>
      <c r="C1381" s="12">
        <f t="shared" si="30"/>
        <v>8</v>
      </c>
      <c r="D1381" s="12" t="s">
        <v>4</v>
      </c>
      <c r="E1381" s="12" t="s">
        <v>161</v>
      </c>
      <c r="F1381" s="13">
        <v>23.02</v>
      </c>
      <c r="G1381" s="12" t="s">
        <v>34</v>
      </c>
      <c r="H1381" s="12" t="str">
        <f t="shared" si="31"/>
        <v>Morning</v>
      </c>
      <c r="I1381" s="12" t="str">
        <f t="shared" si="32"/>
        <v>Mon</v>
      </c>
      <c r="J1381" s="12" t="str">
        <f t="shared" si="33"/>
        <v>Aug</v>
      </c>
      <c r="K1381" s="12">
        <f t="shared" si="34"/>
        <v>1</v>
      </c>
      <c r="L1381" s="12">
        <f t="shared" si="35"/>
        <v>8</v>
      </c>
    </row>
    <row r="1382" spans="1:12" x14ac:dyDescent="0.3">
      <c r="A1382" s="6">
        <v>45530</v>
      </c>
      <c r="B1382" s="7">
        <v>45530.344555682874</v>
      </c>
      <c r="C1382" s="8">
        <f t="shared" si="30"/>
        <v>8</v>
      </c>
      <c r="D1382" s="8" t="s">
        <v>4</v>
      </c>
      <c r="E1382" s="8" t="s">
        <v>428</v>
      </c>
      <c r="F1382" s="9">
        <v>23.02</v>
      </c>
      <c r="G1382" s="8" t="s">
        <v>17</v>
      </c>
      <c r="H1382" s="8" t="str">
        <f t="shared" si="31"/>
        <v>Morning</v>
      </c>
      <c r="I1382" s="8" t="str">
        <f t="shared" si="32"/>
        <v>Mon</v>
      </c>
      <c r="J1382" s="8" t="str">
        <f t="shared" si="33"/>
        <v>Aug</v>
      </c>
      <c r="K1382" s="8">
        <f t="shared" si="34"/>
        <v>1</v>
      </c>
      <c r="L1382" s="8">
        <f t="shared" si="35"/>
        <v>8</v>
      </c>
    </row>
    <row r="1383" spans="1:12" x14ac:dyDescent="0.3">
      <c r="A1383" s="10">
        <v>45530</v>
      </c>
      <c r="B1383" s="11">
        <v>45530.345407511573</v>
      </c>
      <c r="C1383" s="12">
        <f t="shared" si="30"/>
        <v>8</v>
      </c>
      <c r="D1383" s="12" t="s">
        <v>4</v>
      </c>
      <c r="E1383" s="12" t="s">
        <v>428</v>
      </c>
      <c r="F1383" s="13">
        <v>23.02</v>
      </c>
      <c r="G1383" s="12" t="s">
        <v>17</v>
      </c>
      <c r="H1383" s="12" t="str">
        <f t="shared" si="31"/>
        <v>Morning</v>
      </c>
      <c r="I1383" s="12" t="str">
        <f t="shared" si="32"/>
        <v>Mon</v>
      </c>
      <c r="J1383" s="12" t="str">
        <f t="shared" si="33"/>
        <v>Aug</v>
      </c>
      <c r="K1383" s="12">
        <f t="shared" si="34"/>
        <v>1</v>
      </c>
      <c r="L1383" s="12">
        <f t="shared" si="35"/>
        <v>8</v>
      </c>
    </row>
    <row r="1384" spans="1:12" x14ac:dyDescent="0.3">
      <c r="A1384" s="6">
        <v>45530</v>
      </c>
      <c r="B1384" s="7">
        <v>45530.390008171293</v>
      </c>
      <c r="C1384" s="8">
        <f t="shared" si="30"/>
        <v>9</v>
      </c>
      <c r="D1384" s="8" t="s">
        <v>4</v>
      </c>
      <c r="E1384" s="8" t="s">
        <v>117</v>
      </c>
      <c r="F1384" s="9">
        <v>27.92</v>
      </c>
      <c r="G1384" s="8" t="s">
        <v>20</v>
      </c>
      <c r="H1384" s="8" t="str">
        <f t="shared" si="31"/>
        <v>Morning</v>
      </c>
      <c r="I1384" s="8" t="str">
        <f t="shared" si="32"/>
        <v>Mon</v>
      </c>
      <c r="J1384" s="8" t="str">
        <f t="shared" si="33"/>
        <v>Aug</v>
      </c>
      <c r="K1384" s="8">
        <f t="shared" si="34"/>
        <v>1</v>
      </c>
      <c r="L1384" s="8">
        <f t="shared" si="35"/>
        <v>8</v>
      </c>
    </row>
    <row r="1385" spans="1:12" x14ac:dyDescent="0.3">
      <c r="A1385" s="10">
        <v>45530</v>
      </c>
      <c r="B1385" s="11">
        <v>45530.442875740744</v>
      </c>
      <c r="C1385" s="12">
        <f t="shared" si="30"/>
        <v>10</v>
      </c>
      <c r="D1385" s="12" t="s">
        <v>4</v>
      </c>
      <c r="E1385" s="12" t="s">
        <v>567</v>
      </c>
      <c r="F1385" s="13">
        <v>32.82</v>
      </c>
      <c r="G1385" s="12" t="s">
        <v>13</v>
      </c>
      <c r="H1385" s="12" t="str">
        <f t="shared" si="31"/>
        <v>Morning</v>
      </c>
      <c r="I1385" s="12" t="str">
        <f t="shared" si="32"/>
        <v>Mon</v>
      </c>
      <c r="J1385" s="12" t="str">
        <f t="shared" si="33"/>
        <v>Aug</v>
      </c>
      <c r="K1385" s="12">
        <f t="shared" si="34"/>
        <v>1</v>
      </c>
      <c r="L1385" s="12">
        <f t="shared" si="35"/>
        <v>8</v>
      </c>
    </row>
    <row r="1386" spans="1:12" x14ac:dyDescent="0.3">
      <c r="A1386" s="6">
        <v>45530</v>
      </c>
      <c r="B1386" s="7">
        <v>45530.443623113424</v>
      </c>
      <c r="C1386" s="8">
        <f t="shared" si="30"/>
        <v>10</v>
      </c>
      <c r="D1386" s="8" t="s">
        <v>4</v>
      </c>
      <c r="E1386" s="8" t="s">
        <v>568</v>
      </c>
      <c r="F1386" s="9">
        <v>32.82</v>
      </c>
      <c r="G1386" s="8" t="s">
        <v>49</v>
      </c>
      <c r="H1386" s="8" t="str">
        <f t="shared" si="31"/>
        <v>Morning</v>
      </c>
      <c r="I1386" s="8" t="str">
        <f t="shared" si="32"/>
        <v>Mon</v>
      </c>
      <c r="J1386" s="8" t="str">
        <f t="shared" si="33"/>
        <v>Aug</v>
      </c>
      <c r="K1386" s="8">
        <f t="shared" si="34"/>
        <v>1</v>
      </c>
      <c r="L1386" s="8">
        <f t="shared" si="35"/>
        <v>8</v>
      </c>
    </row>
    <row r="1387" spans="1:12" x14ac:dyDescent="0.3">
      <c r="A1387" s="10">
        <v>45530</v>
      </c>
      <c r="B1387" s="11">
        <v>45530.531402291665</v>
      </c>
      <c r="C1387" s="12">
        <f t="shared" si="30"/>
        <v>12</v>
      </c>
      <c r="D1387" s="12" t="s">
        <v>4</v>
      </c>
      <c r="E1387" s="12" t="s">
        <v>16</v>
      </c>
      <c r="F1387" s="13">
        <v>23.02</v>
      </c>
      <c r="G1387" s="12" t="s">
        <v>17</v>
      </c>
      <c r="H1387" s="12" t="str">
        <f t="shared" si="31"/>
        <v>Afternoon</v>
      </c>
      <c r="I1387" s="12" t="str">
        <f t="shared" si="32"/>
        <v>Mon</v>
      </c>
      <c r="J1387" s="12" t="str">
        <f t="shared" si="33"/>
        <v>Aug</v>
      </c>
      <c r="K1387" s="12">
        <f t="shared" si="34"/>
        <v>1</v>
      </c>
      <c r="L1387" s="12">
        <f t="shared" si="35"/>
        <v>8</v>
      </c>
    </row>
    <row r="1388" spans="1:12" x14ac:dyDescent="0.3">
      <c r="A1388" s="6">
        <v>45530</v>
      </c>
      <c r="B1388" s="7">
        <v>45530.532218101849</v>
      </c>
      <c r="C1388" s="8">
        <f t="shared" si="30"/>
        <v>12</v>
      </c>
      <c r="D1388" s="8" t="s">
        <v>4</v>
      </c>
      <c r="E1388" s="8" t="s">
        <v>16</v>
      </c>
      <c r="F1388" s="9">
        <v>23.02</v>
      </c>
      <c r="G1388" s="8" t="s">
        <v>17</v>
      </c>
      <c r="H1388" s="8" t="str">
        <f t="shared" si="31"/>
        <v>Afternoon</v>
      </c>
      <c r="I1388" s="8" t="str">
        <f t="shared" si="32"/>
        <v>Mon</v>
      </c>
      <c r="J1388" s="8" t="str">
        <f t="shared" si="33"/>
        <v>Aug</v>
      </c>
      <c r="K1388" s="8">
        <f t="shared" si="34"/>
        <v>1</v>
      </c>
      <c r="L1388" s="8">
        <f t="shared" si="35"/>
        <v>8</v>
      </c>
    </row>
    <row r="1389" spans="1:12" x14ac:dyDescent="0.3">
      <c r="A1389" s="10">
        <v>45530</v>
      </c>
      <c r="B1389" s="11">
        <v>45530.787127199073</v>
      </c>
      <c r="C1389" s="12">
        <f t="shared" si="30"/>
        <v>18</v>
      </c>
      <c r="D1389" s="12" t="s">
        <v>4</v>
      </c>
      <c r="E1389" s="12" t="s">
        <v>569</v>
      </c>
      <c r="F1389" s="13">
        <v>27.92</v>
      </c>
      <c r="G1389" s="12" t="s">
        <v>20</v>
      </c>
      <c r="H1389" s="12" t="str">
        <f t="shared" si="31"/>
        <v>Night</v>
      </c>
      <c r="I1389" s="12" t="str">
        <f t="shared" si="32"/>
        <v>Mon</v>
      </c>
      <c r="J1389" s="12" t="str">
        <f t="shared" si="33"/>
        <v>Aug</v>
      </c>
      <c r="K1389" s="12">
        <f t="shared" si="34"/>
        <v>1</v>
      </c>
      <c r="L1389" s="12">
        <f t="shared" si="35"/>
        <v>8</v>
      </c>
    </row>
    <row r="1390" spans="1:12" x14ac:dyDescent="0.3">
      <c r="A1390" s="6">
        <v>45530</v>
      </c>
      <c r="B1390" s="7">
        <v>45530.787862164354</v>
      </c>
      <c r="C1390" s="8">
        <f t="shared" si="30"/>
        <v>18</v>
      </c>
      <c r="D1390" s="8" t="s">
        <v>4</v>
      </c>
      <c r="E1390" s="8" t="s">
        <v>569</v>
      </c>
      <c r="F1390" s="9">
        <v>32.82</v>
      </c>
      <c r="G1390" s="8" t="s">
        <v>13</v>
      </c>
      <c r="H1390" s="8" t="str">
        <f t="shared" si="31"/>
        <v>Night</v>
      </c>
      <c r="I1390" s="8" t="str">
        <f t="shared" si="32"/>
        <v>Mon</v>
      </c>
      <c r="J1390" s="8" t="str">
        <f t="shared" si="33"/>
        <v>Aug</v>
      </c>
      <c r="K1390" s="8">
        <f t="shared" si="34"/>
        <v>1</v>
      </c>
      <c r="L1390" s="8">
        <f t="shared" si="35"/>
        <v>8</v>
      </c>
    </row>
    <row r="1391" spans="1:12" x14ac:dyDescent="0.3">
      <c r="A1391" s="10">
        <v>45530</v>
      </c>
      <c r="B1391" s="11">
        <v>45530.955322974536</v>
      </c>
      <c r="C1391" s="12">
        <f t="shared" si="30"/>
        <v>22</v>
      </c>
      <c r="D1391" s="12" t="s">
        <v>4</v>
      </c>
      <c r="E1391" s="12" t="s">
        <v>570</v>
      </c>
      <c r="F1391" s="13">
        <v>27.92</v>
      </c>
      <c r="G1391" s="12" t="s">
        <v>20</v>
      </c>
      <c r="H1391" s="12" t="str">
        <f t="shared" si="31"/>
        <v>Night</v>
      </c>
      <c r="I1391" s="12" t="str">
        <f t="shared" si="32"/>
        <v>Mon</v>
      </c>
      <c r="J1391" s="12" t="str">
        <f t="shared" si="33"/>
        <v>Aug</v>
      </c>
      <c r="K1391" s="12">
        <f t="shared" si="34"/>
        <v>1</v>
      </c>
      <c r="L1391" s="12">
        <f t="shared" si="35"/>
        <v>8</v>
      </c>
    </row>
    <row r="1392" spans="1:12" x14ac:dyDescent="0.3">
      <c r="A1392" s="6">
        <v>45531</v>
      </c>
      <c r="B1392" s="7">
        <v>45531.419497256946</v>
      </c>
      <c r="C1392" s="8">
        <f t="shared" si="30"/>
        <v>10</v>
      </c>
      <c r="D1392" s="8" t="s">
        <v>4</v>
      </c>
      <c r="E1392" s="8" t="s">
        <v>395</v>
      </c>
      <c r="F1392" s="9">
        <v>32.82</v>
      </c>
      <c r="G1392" s="8" t="s">
        <v>13</v>
      </c>
      <c r="H1392" s="8" t="str">
        <f t="shared" si="31"/>
        <v>Morning</v>
      </c>
      <c r="I1392" s="8" t="str">
        <f t="shared" si="32"/>
        <v>Tue</v>
      </c>
      <c r="J1392" s="8" t="str">
        <f t="shared" si="33"/>
        <v>Aug</v>
      </c>
      <c r="K1392" s="8">
        <f t="shared" si="34"/>
        <v>2</v>
      </c>
      <c r="L1392" s="8">
        <f t="shared" si="35"/>
        <v>8</v>
      </c>
    </row>
    <row r="1393" spans="1:12" x14ac:dyDescent="0.3">
      <c r="A1393" s="10">
        <v>45532</v>
      </c>
      <c r="B1393" s="11">
        <v>45532.505772824072</v>
      </c>
      <c r="C1393" s="12">
        <f t="shared" si="30"/>
        <v>12</v>
      </c>
      <c r="D1393" s="12" t="s">
        <v>4</v>
      </c>
      <c r="E1393" s="12" t="s">
        <v>571</v>
      </c>
      <c r="F1393" s="13">
        <v>27.92</v>
      </c>
      <c r="G1393" s="12" t="s">
        <v>20</v>
      </c>
      <c r="H1393" s="12" t="str">
        <f t="shared" si="31"/>
        <v>Afternoon</v>
      </c>
      <c r="I1393" s="12" t="str">
        <f t="shared" si="32"/>
        <v>Wed</v>
      </c>
      <c r="J1393" s="12" t="str">
        <f t="shared" si="33"/>
        <v>Aug</v>
      </c>
      <c r="K1393" s="12">
        <f t="shared" si="34"/>
        <v>3</v>
      </c>
      <c r="L1393" s="12">
        <f t="shared" si="35"/>
        <v>8</v>
      </c>
    </row>
    <row r="1394" spans="1:12" x14ac:dyDescent="0.3">
      <c r="A1394" s="6">
        <v>45532</v>
      </c>
      <c r="B1394" s="7">
        <v>45532.506992349539</v>
      </c>
      <c r="C1394" s="8">
        <f t="shared" si="30"/>
        <v>12</v>
      </c>
      <c r="D1394" s="8" t="s">
        <v>4</v>
      </c>
      <c r="E1394" s="8" t="s">
        <v>571</v>
      </c>
      <c r="F1394" s="9">
        <v>32.82</v>
      </c>
      <c r="G1394" s="8" t="s">
        <v>49</v>
      </c>
      <c r="H1394" s="8" t="str">
        <f t="shared" si="31"/>
        <v>Afternoon</v>
      </c>
      <c r="I1394" s="8" t="str">
        <f t="shared" si="32"/>
        <v>Wed</v>
      </c>
      <c r="J1394" s="8" t="str">
        <f t="shared" si="33"/>
        <v>Aug</v>
      </c>
      <c r="K1394" s="8">
        <f t="shared" si="34"/>
        <v>3</v>
      </c>
      <c r="L1394" s="8">
        <f t="shared" si="35"/>
        <v>8</v>
      </c>
    </row>
    <row r="1395" spans="1:12" x14ac:dyDescent="0.3">
      <c r="A1395" s="10">
        <v>45532</v>
      </c>
      <c r="B1395" s="11">
        <v>45532.524385925928</v>
      </c>
      <c r="C1395" s="12">
        <f t="shared" si="30"/>
        <v>12</v>
      </c>
      <c r="D1395" s="12" t="s">
        <v>4</v>
      </c>
      <c r="E1395" s="12" t="s">
        <v>395</v>
      </c>
      <c r="F1395" s="13">
        <v>23.02</v>
      </c>
      <c r="G1395" s="12" t="s">
        <v>17</v>
      </c>
      <c r="H1395" s="12" t="str">
        <f t="shared" si="31"/>
        <v>Afternoon</v>
      </c>
      <c r="I1395" s="12" t="str">
        <f t="shared" si="32"/>
        <v>Wed</v>
      </c>
      <c r="J1395" s="12" t="str">
        <f t="shared" si="33"/>
        <v>Aug</v>
      </c>
      <c r="K1395" s="12">
        <f t="shared" si="34"/>
        <v>3</v>
      </c>
      <c r="L1395" s="12">
        <f t="shared" si="35"/>
        <v>8</v>
      </c>
    </row>
    <row r="1396" spans="1:12" x14ac:dyDescent="0.3">
      <c r="A1396" s="6">
        <v>45532</v>
      </c>
      <c r="B1396" s="7">
        <v>45532.575407395831</v>
      </c>
      <c r="C1396" s="8">
        <f t="shared" si="30"/>
        <v>13</v>
      </c>
      <c r="D1396" s="8" t="s">
        <v>4</v>
      </c>
      <c r="E1396" s="8" t="s">
        <v>572</v>
      </c>
      <c r="F1396" s="9">
        <v>27.92</v>
      </c>
      <c r="G1396" s="8" t="s">
        <v>20</v>
      </c>
      <c r="H1396" s="8" t="str">
        <f t="shared" si="31"/>
        <v>Afternoon</v>
      </c>
      <c r="I1396" s="8" t="str">
        <f t="shared" si="32"/>
        <v>Wed</v>
      </c>
      <c r="J1396" s="8" t="str">
        <f t="shared" si="33"/>
        <v>Aug</v>
      </c>
      <c r="K1396" s="8">
        <f t="shared" si="34"/>
        <v>3</v>
      </c>
      <c r="L1396" s="8">
        <f t="shared" si="35"/>
        <v>8</v>
      </c>
    </row>
    <row r="1397" spans="1:12" x14ac:dyDescent="0.3">
      <c r="A1397" s="10">
        <v>45533</v>
      </c>
      <c r="B1397" s="11">
        <v>45533.31215646991</v>
      </c>
      <c r="C1397" s="12">
        <f t="shared" si="30"/>
        <v>7</v>
      </c>
      <c r="D1397" s="12" t="s">
        <v>4</v>
      </c>
      <c r="E1397" s="12" t="s">
        <v>573</v>
      </c>
      <c r="F1397" s="13">
        <v>23.02</v>
      </c>
      <c r="G1397" s="12" t="s">
        <v>17</v>
      </c>
      <c r="H1397" s="12" t="str">
        <f t="shared" si="31"/>
        <v>Morning</v>
      </c>
      <c r="I1397" s="12" t="str">
        <f t="shared" si="32"/>
        <v>Thu</v>
      </c>
      <c r="J1397" s="12" t="str">
        <f t="shared" si="33"/>
        <v>Aug</v>
      </c>
      <c r="K1397" s="12">
        <f t="shared" si="34"/>
        <v>4</v>
      </c>
      <c r="L1397" s="12">
        <f t="shared" si="35"/>
        <v>8</v>
      </c>
    </row>
    <row r="1398" spans="1:12" x14ac:dyDescent="0.3">
      <c r="A1398" s="6">
        <v>45534</v>
      </c>
      <c r="B1398" s="7">
        <v>45534.717713969905</v>
      </c>
      <c r="C1398" s="8">
        <f t="shared" si="30"/>
        <v>17</v>
      </c>
      <c r="D1398" s="8" t="s">
        <v>4</v>
      </c>
      <c r="E1398" s="8" t="s">
        <v>574</v>
      </c>
      <c r="F1398" s="9">
        <v>32.82</v>
      </c>
      <c r="G1398" s="8" t="s">
        <v>13</v>
      </c>
      <c r="H1398" s="8" t="str">
        <f t="shared" si="31"/>
        <v>Night</v>
      </c>
      <c r="I1398" s="8" t="str">
        <f t="shared" si="32"/>
        <v>Fri</v>
      </c>
      <c r="J1398" s="8" t="str">
        <f t="shared" si="33"/>
        <v>Aug</v>
      </c>
      <c r="K1398" s="8">
        <f t="shared" si="34"/>
        <v>5</v>
      </c>
      <c r="L1398" s="8">
        <f t="shared" si="35"/>
        <v>8</v>
      </c>
    </row>
    <row r="1399" spans="1:12" x14ac:dyDescent="0.3">
      <c r="A1399" s="10">
        <v>45534</v>
      </c>
      <c r="B1399" s="11">
        <v>45534.71843508102</v>
      </c>
      <c r="C1399" s="12">
        <f t="shared" si="30"/>
        <v>17</v>
      </c>
      <c r="D1399" s="12" t="s">
        <v>4</v>
      </c>
      <c r="E1399" s="12" t="s">
        <v>574</v>
      </c>
      <c r="F1399" s="13">
        <v>27.92</v>
      </c>
      <c r="G1399" s="12" t="s">
        <v>20</v>
      </c>
      <c r="H1399" s="12" t="str">
        <f t="shared" si="31"/>
        <v>Night</v>
      </c>
      <c r="I1399" s="12" t="str">
        <f t="shared" si="32"/>
        <v>Fri</v>
      </c>
      <c r="J1399" s="12" t="str">
        <f t="shared" si="33"/>
        <v>Aug</v>
      </c>
      <c r="K1399" s="12">
        <f t="shared" si="34"/>
        <v>5</v>
      </c>
      <c r="L1399" s="12">
        <f t="shared" si="35"/>
        <v>8</v>
      </c>
    </row>
    <row r="1400" spans="1:12" x14ac:dyDescent="0.3">
      <c r="A1400" s="6">
        <v>45534</v>
      </c>
      <c r="B1400" s="7">
        <v>45534.719160289351</v>
      </c>
      <c r="C1400" s="8">
        <f t="shared" si="30"/>
        <v>17</v>
      </c>
      <c r="D1400" s="8" t="s">
        <v>4</v>
      </c>
      <c r="E1400" s="8" t="s">
        <v>574</v>
      </c>
      <c r="F1400" s="9">
        <v>27.92</v>
      </c>
      <c r="G1400" s="8" t="s">
        <v>20</v>
      </c>
      <c r="H1400" s="8" t="str">
        <f t="shared" si="31"/>
        <v>Night</v>
      </c>
      <c r="I1400" s="8" t="str">
        <f t="shared" si="32"/>
        <v>Fri</v>
      </c>
      <c r="J1400" s="8" t="str">
        <f t="shared" si="33"/>
        <v>Aug</v>
      </c>
      <c r="K1400" s="8">
        <f t="shared" si="34"/>
        <v>5</v>
      </c>
      <c r="L1400" s="8">
        <f t="shared" si="35"/>
        <v>8</v>
      </c>
    </row>
    <row r="1401" spans="1:12" x14ac:dyDescent="0.3">
      <c r="A1401" s="10">
        <v>45535</v>
      </c>
      <c r="B1401" s="11">
        <v>45535.380931562497</v>
      </c>
      <c r="C1401" s="12">
        <f t="shared" si="30"/>
        <v>9</v>
      </c>
      <c r="D1401" s="12" t="s">
        <v>4</v>
      </c>
      <c r="E1401" s="12" t="s">
        <v>391</v>
      </c>
      <c r="F1401" s="13">
        <v>23.02</v>
      </c>
      <c r="G1401" s="12" t="s">
        <v>34</v>
      </c>
      <c r="H1401" s="12" t="str">
        <f t="shared" si="31"/>
        <v>Morning</v>
      </c>
      <c r="I1401" s="12" t="str">
        <f t="shared" si="32"/>
        <v>Sat</v>
      </c>
      <c r="J1401" s="12" t="str">
        <f t="shared" si="33"/>
        <v>Aug</v>
      </c>
      <c r="K1401" s="12">
        <f t="shared" si="34"/>
        <v>6</v>
      </c>
      <c r="L1401" s="12">
        <f t="shared" si="35"/>
        <v>8</v>
      </c>
    </row>
    <row r="1402" spans="1:12" x14ac:dyDescent="0.3">
      <c r="A1402" s="6">
        <v>45535</v>
      </c>
      <c r="B1402" s="7">
        <v>45535.418150381942</v>
      </c>
      <c r="C1402" s="8">
        <f t="shared" si="30"/>
        <v>10</v>
      </c>
      <c r="D1402" s="8" t="s">
        <v>4</v>
      </c>
      <c r="E1402" s="8" t="s">
        <v>575</v>
      </c>
      <c r="F1402" s="9">
        <v>27.92</v>
      </c>
      <c r="G1402" s="8" t="s">
        <v>20</v>
      </c>
      <c r="H1402" s="8" t="str">
        <f t="shared" si="31"/>
        <v>Morning</v>
      </c>
      <c r="I1402" s="8" t="str">
        <f t="shared" si="32"/>
        <v>Sat</v>
      </c>
      <c r="J1402" s="8" t="str">
        <f t="shared" si="33"/>
        <v>Aug</v>
      </c>
      <c r="K1402" s="8">
        <f t="shared" si="34"/>
        <v>6</v>
      </c>
      <c r="L1402" s="8">
        <f t="shared" si="35"/>
        <v>8</v>
      </c>
    </row>
    <row r="1403" spans="1:12" x14ac:dyDescent="0.3">
      <c r="A1403" s="10">
        <v>45535</v>
      </c>
      <c r="B1403" s="11">
        <v>45535.432255520835</v>
      </c>
      <c r="C1403" s="12">
        <f t="shared" si="30"/>
        <v>10</v>
      </c>
      <c r="D1403" s="12" t="s">
        <v>4</v>
      </c>
      <c r="E1403" s="12" t="s">
        <v>576</v>
      </c>
      <c r="F1403" s="13">
        <v>18.12</v>
      </c>
      <c r="G1403" s="12" t="s">
        <v>41</v>
      </c>
      <c r="H1403" s="12" t="str">
        <f t="shared" si="31"/>
        <v>Morning</v>
      </c>
      <c r="I1403" s="12" t="str">
        <f t="shared" si="32"/>
        <v>Sat</v>
      </c>
      <c r="J1403" s="12" t="str">
        <f t="shared" si="33"/>
        <v>Aug</v>
      </c>
      <c r="K1403" s="12">
        <f t="shared" si="34"/>
        <v>6</v>
      </c>
      <c r="L1403" s="12">
        <f t="shared" si="35"/>
        <v>8</v>
      </c>
    </row>
    <row r="1404" spans="1:12" x14ac:dyDescent="0.3">
      <c r="A1404" s="6">
        <v>45535</v>
      </c>
      <c r="B1404" s="7">
        <v>45535.479103831021</v>
      </c>
      <c r="C1404" s="8">
        <f t="shared" si="30"/>
        <v>11</v>
      </c>
      <c r="D1404" s="8" t="s">
        <v>4</v>
      </c>
      <c r="E1404" s="8" t="s">
        <v>577</v>
      </c>
      <c r="F1404" s="9">
        <v>27.92</v>
      </c>
      <c r="G1404" s="8" t="s">
        <v>20</v>
      </c>
      <c r="H1404" s="8" t="str">
        <f t="shared" si="31"/>
        <v>Morning</v>
      </c>
      <c r="I1404" s="8" t="str">
        <f t="shared" si="32"/>
        <v>Sat</v>
      </c>
      <c r="J1404" s="8" t="str">
        <f t="shared" si="33"/>
        <v>Aug</v>
      </c>
      <c r="K1404" s="8">
        <f t="shared" si="34"/>
        <v>6</v>
      </c>
      <c r="L1404" s="8">
        <f t="shared" si="35"/>
        <v>8</v>
      </c>
    </row>
    <row r="1405" spans="1:12" x14ac:dyDescent="0.3">
      <c r="A1405" s="10">
        <v>45535</v>
      </c>
      <c r="B1405" s="11">
        <v>45535.481711990738</v>
      </c>
      <c r="C1405" s="12">
        <f t="shared" si="30"/>
        <v>11</v>
      </c>
      <c r="D1405" s="12" t="s">
        <v>4</v>
      </c>
      <c r="E1405" s="12" t="s">
        <v>161</v>
      </c>
      <c r="F1405" s="13">
        <v>23.02</v>
      </c>
      <c r="G1405" s="12" t="s">
        <v>34</v>
      </c>
      <c r="H1405" s="12" t="str">
        <f t="shared" si="31"/>
        <v>Morning</v>
      </c>
      <c r="I1405" s="12" t="str">
        <f t="shared" si="32"/>
        <v>Sat</v>
      </c>
      <c r="J1405" s="12" t="str">
        <f t="shared" si="33"/>
        <v>Aug</v>
      </c>
      <c r="K1405" s="12">
        <f t="shared" si="34"/>
        <v>6</v>
      </c>
      <c r="L1405" s="12">
        <f t="shared" si="35"/>
        <v>8</v>
      </c>
    </row>
    <row r="1406" spans="1:12" x14ac:dyDescent="0.3">
      <c r="A1406" s="6">
        <v>45535</v>
      </c>
      <c r="B1406" s="7">
        <v>45535.482325625002</v>
      </c>
      <c r="C1406" s="8">
        <f t="shared" si="30"/>
        <v>11</v>
      </c>
      <c r="D1406" s="8" t="s">
        <v>4</v>
      </c>
      <c r="E1406" s="8" t="s">
        <v>161</v>
      </c>
      <c r="F1406" s="9">
        <v>23.02</v>
      </c>
      <c r="G1406" s="8" t="s">
        <v>34</v>
      </c>
      <c r="H1406" s="8" t="str">
        <f t="shared" si="31"/>
        <v>Morning</v>
      </c>
      <c r="I1406" s="8" t="str">
        <f t="shared" si="32"/>
        <v>Sat</v>
      </c>
      <c r="J1406" s="8" t="str">
        <f t="shared" si="33"/>
        <v>Aug</v>
      </c>
      <c r="K1406" s="8">
        <f t="shared" si="34"/>
        <v>6</v>
      </c>
      <c r="L1406" s="8">
        <f t="shared" si="35"/>
        <v>8</v>
      </c>
    </row>
    <row r="1407" spans="1:12" x14ac:dyDescent="0.3">
      <c r="A1407" s="10">
        <v>45536</v>
      </c>
      <c r="B1407" s="11">
        <v>45536.398787372687</v>
      </c>
      <c r="C1407" s="12">
        <f t="shared" si="30"/>
        <v>9</v>
      </c>
      <c r="D1407" s="12" t="s">
        <v>4</v>
      </c>
      <c r="E1407" s="12" t="s">
        <v>161</v>
      </c>
      <c r="F1407" s="13">
        <v>23.02</v>
      </c>
      <c r="G1407" s="12" t="s">
        <v>34</v>
      </c>
      <c r="H1407" s="12" t="str">
        <f t="shared" si="31"/>
        <v>Morning</v>
      </c>
      <c r="I1407" s="12" t="str">
        <f t="shared" si="32"/>
        <v>Sun</v>
      </c>
      <c r="J1407" s="12" t="str">
        <f t="shared" si="33"/>
        <v>Sep</v>
      </c>
      <c r="K1407" s="12">
        <f t="shared" si="34"/>
        <v>7</v>
      </c>
      <c r="L1407" s="12">
        <f t="shared" si="35"/>
        <v>9</v>
      </c>
    </row>
    <row r="1408" spans="1:12" x14ac:dyDescent="0.3">
      <c r="A1408" s="6">
        <v>45536</v>
      </c>
      <c r="B1408" s="7">
        <v>45536.507925289348</v>
      </c>
      <c r="C1408" s="8">
        <f t="shared" si="30"/>
        <v>12</v>
      </c>
      <c r="D1408" s="8" t="s">
        <v>4</v>
      </c>
      <c r="E1408" s="8" t="s">
        <v>578</v>
      </c>
      <c r="F1408" s="9">
        <v>32.82</v>
      </c>
      <c r="G1408" s="8" t="s">
        <v>49</v>
      </c>
      <c r="H1408" s="8" t="str">
        <f t="shared" si="31"/>
        <v>Afternoon</v>
      </c>
      <c r="I1408" s="8" t="str">
        <f t="shared" si="32"/>
        <v>Sun</v>
      </c>
      <c r="J1408" s="8" t="str">
        <f t="shared" si="33"/>
        <v>Sep</v>
      </c>
      <c r="K1408" s="8">
        <f t="shared" si="34"/>
        <v>7</v>
      </c>
      <c r="L1408" s="8">
        <f t="shared" si="35"/>
        <v>9</v>
      </c>
    </row>
    <row r="1409" spans="1:12" x14ac:dyDescent="0.3">
      <c r="A1409" s="10">
        <v>45536</v>
      </c>
      <c r="B1409" s="11">
        <v>45536.520933101849</v>
      </c>
      <c r="C1409" s="12">
        <f t="shared" si="30"/>
        <v>12</v>
      </c>
      <c r="D1409" s="12" t="s">
        <v>4</v>
      </c>
      <c r="E1409" s="12" t="s">
        <v>201</v>
      </c>
      <c r="F1409" s="13">
        <v>27.92</v>
      </c>
      <c r="G1409" s="12" t="s">
        <v>20</v>
      </c>
      <c r="H1409" s="12" t="str">
        <f t="shared" si="31"/>
        <v>Afternoon</v>
      </c>
      <c r="I1409" s="12" t="str">
        <f t="shared" si="32"/>
        <v>Sun</v>
      </c>
      <c r="J1409" s="12" t="str">
        <f t="shared" si="33"/>
        <v>Sep</v>
      </c>
      <c r="K1409" s="12">
        <f t="shared" si="34"/>
        <v>7</v>
      </c>
      <c r="L1409" s="12">
        <f t="shared" si="35"/>
        <v>9</v>
      </c>
    </row>
    <row r="1410" spans="1:12" x14ac:dyDescent="0.3">
      <c r="A1410" s="6">
        <v>45536</v>
      </c>
      <c r="B1410" s="7">
        <v>45536.522476932871</v>
      </c>
      <c r="C1410" s="8">
        <f t="shared" si="30"/>
        <v>12</v>
      </c>
      <c r="D1410" s="8" t="s">
        <v>4</v>
      </c>
      <c r="E1410" s="8" t="s">
        <v>201</v>
      </c>
      <c r="F1410" s="9">
        <v>23.02</v>
      </c>
      <c r="G1410" s="8" t="s">
        <v>17</v>
      </c>
      <c r="H1410" s="8" t="str">
        <f t="shared" si="31"/>
        <v>Afternoon</v>
      </c>
      <c r="I1410" s="8" t="str">
        <f t="shared" si="32"/>
        <v>Sun</v>
      </c>
      <c r="J1410" s="8" t="str">
        <f t="shared" si="33"/>
        <v>Sep</v>
      </c>
      <c r="K1410" s="8">
        <f t="shared" si="34"/>
        <v>7</v>
      </c>
      <c r="L1410" s="8">
        <f t="shared" si="35"/>
        <v>9</v>
      </c>
    </row>
    <row r="1411" spans="1:12" x14ac:dyDescent="0.3">
      <c r="A1411" s="10">
        <v>45536</v>
      </c>
      <c r="B1411" s="11">
        <v>45536.53492416667</v>
      </c>
      <c r="C1411" s="12">
        <f t="shared" si="30"/>
        <v>12</v>
      </c>
      <c r="D1411" s="12" t="s">
        <v>4</v>
      </c>
      <c r="E1411" s="12" t="s">
        <v>579</v>
      </c>
      <c r="F1411" s="13">
        <v>27.92</v>
      </c>
      <c r="G1411" s="12" t="s">
        <v>20</v>
      </c>
      <c r="H1411" s="12" t="str">
        <f t="shared" si="31"/>
        <v>Afternoon</v>
      </c>
      <c r="I1411" s="12" t="str">
        <f t="shared" si="32"/>
        <v>Sun</v>
      </c>
      <c r="J1411" s="12" t="str">
        <f t="shared" si="33"/>
        <v>Sep</v>
      </c>
      <c r="K1411" s="12">
        <f t="shared" si="34"/>
        <v>7</v>
      </c>
      <c r="L1411" s="12">
        <f t="shared" si="35"/>
        <v>9</v>
      </c>
    </row>
    <row r="1412" spans="1:12" x14ac:dyDescent="0.3">
      <c r="A1412" s="6">
        <v>45536</v>
      </c>
      <c r="B1412" s="7">
        <v>45536.581642916666</v>
      </c>
      <c r="C1412" s="8">
        <f t="shared" si="30"/>
        <v>13</v>
      </c>
      <c r="D1412" s="8" t="s">
        <v>4</v>
      </c>
      <c r="E1412" s="8" t="s">
        <v>580</v>
      </c>
      <c r="F1412" s="9">
        <v>32.82</v>
      </c>
      <c r="G1412" s="8" t="s">
        <v>13</v>
      </c>
      <c r="H1412" s="8" t="str">
        <f t="shared" si="31"/>
        <v>Afternoon</v>
      </c>
      <c r="I1412" s="8" t="str">
        <f t="shared" si="32"/>
        <v>Sun</v>
      </c>
      <c r="J1412" s="8" t="str">
        <f t="shared" si="33"/>
        <v>Sep</v>
      </c>
      <c r="K1412" s="8">
        <f t="shared" si="34"/>
        <v>7</v>
      </c>
      <c r="L1412" s="8">
        <f t="shared" si="35"/>
        <v>9</v>
      </c>
    </row>
    <row r="1413" spans="1:12" x14ac:dyDescent="0.3">
      <c r="A1413" s="10">
        <v>45536</v>
      </c>
      <c r="B1413" s="11">
        <v>45536.613935497684</v>
      </c>
      <c r="C1413" s="12">
        <f t="shared" si="30"/>
        <v>14</v>
      </c>
      <c r="D1413" s="12" t="s">
        <v>4</v>
      </c>
      <c r="E1413" s="12" t="s">
        <v>405</v>
      </c>
      <c r="F1413" s="13">
        <v>27.92</v>
      </c>
      <c r="G1413" s="12" t="s">
        <v>20</v>
      </c>
      <c r="H1413" s="12" t="str">
        <f t="shared" si="31"/>
        <v>Afternoon</v>
      </c>
      <c r="I1413" s="12" t="str">
        <f t="shared" si="32"/>
        <v>Sun</v>
      </c>
      <c r="J1413" s="12" t="str">
        <f t="shared" si="33"/>
        <v>Sep</v>
      </c>
      <c r="K1413" s="12">
        <f t="shared" si="34"/>
        <v>7</v>
      </c>
      <c r="L1413" s="12">
        <f t="shared" si="35"/>
        <v>9</v>
      </c>
    </row>
    <row r="1414" spans="1:12" x14ac:dyDescent="0.3">
      <c r="A1414" s="6">
        <v>45536</v>
      </c>
      <c r="B1414" s="7">
        <v>45536.722758414355</v>
      </c>
      <c r="C1414" s="8">
        <f t="shared" si="30"/>
        <v>17</v>
      </c>
      <c r="D1414" s="8" t="s">
        <v>4</v>
      </c>
      <c r="E1414" s="8" t="s">
        <v>581</v>
      </c>
      <c r="F1414" s="9">
        <v>32.82</v>
      </c>
      <c r="G1414" s="8" t="s">
        <v>13</v>
      </c>
      <c r="H1414" s="8" t="str">
        <f t="shared" si="31"/>
        <v>Night</v>
      </c>
      <c r="I1414" s="8" t="str">
        <f t="shared" si="32"/>
        <v>Sun</v>
      </c>
      <c r="J1414" s="8" t="str">
        <f t="shared" si="33"/>
        <v>Sep</v>
      </c>
      <c r="K1414" s="8">
        <f t="shared" si="34"/>
        <v>7</v>
      </c>
      <c r="L1414" s="8">
        <f t="shared" si="35"/>
        <v>9</v>
      </c>
    </row>
    <row r="1415" spans="1:12" x14ac:dyDescent="0.3">
      <c r="A1415" s="10">
        <v>45536</v>
      </c>
      <c r="B1415" s="11">
        <v>45536.72446607639</v>
      </c>
      <c r="C1415" s="12">
        <f t="shared" si="30"/>
        <v>17</v>
      </c>
      <c r="D1415" s="12" t="s">
        <v>4</v>
      </c>
      <c r="E1415" s="12" t="s">
        <v>582</v>
      </c>
      <c r="F1415" s="13">
        <v>32.82</v>
      </c>
      <c r="G1415" s="12" t="s">
        <v>13</v>
      </c>
      <c r="H1415" s="12" t="str">
        <f t="shared" si="31"/>
        <v>Night</v>
      </c>
      <c r="I1415" s="12" t="str">
        <f t="shared" si="32"/>
        <v>Sun</v>
      </c>
      <c r="J1415" s="12" t="str">
        <f t="shared" si="33"/>
        <v>Sep</v>
      </c>
      <c r="K1415" s="12">
        <f t="shared" si="34"/>
        <v>7</v>
      </c>
      <c r="L1415" s="12">
        <f t="shared" si="35"/>
        <v>9</v>
      </c>
    </row>
    <row r="1416" spans="1:12" x14ac:dyDescent="0.3">
      <c r="A1416" s="6">
        <v>45536</v>
      </c>
      <c r="B1416" s="7">
        <v>45536.725575104167</v>
      </c>
      <c r="C1416" s="8">
        <f t="shared" si="30"/>
        <v>17</v>
      </c>
      <c r="D1416" s="8" t="s">
        <v>4</v>
      </c>
      <c r="E1416" s="8" t="s">
        <v>583</v>
      </c>
      <c r="F1416" s="9">
        <v>32.82</v>
      </c>
      <c r="G1416" s="8" t="s">
        <v>13</v>
      </c>
      <c r="H1416" s="8" t="str">
        <f t="shared" si="31"/>
        <v>Night</v>
      </c>
      <c r="I1416" s="8" t="str">
        <f t="shared" si="32"/>
        <v>Sun</v>
      </c>
      <c r="J1416" s="8" t="str">
        <f t="shared" si="33"/>
        <v>Sep</v>
      </c>
      <c r="K1416" s="8">
        <f t="shared" si="34"/>
        <v>7</v>
      </c>
      <c r="L1416" s="8">
        <f t="shared" si="35"/>
        <v>9</v>
      </c>
    </row>
    <row r="1417" spans="1:12" x14ac:dyDescent="0.3">
      <c r="A1417" s="10">
        <v>45537</v>
      </c>
      <c r="B1417" s="11">
        <v>45537.350460706017</v>
      </c>
      <c r="C1417" s="12">
        <f t="shared" si="30"/>
        <v>8</v>
      </c>
      <c r="D1417" s="12" t="s">
        <v>4</v>
      </c>
      <c r="E1417" s="12" t="s">
        <v>445</v>
      </c>
      <c r="F1417" s="13">
        <v>32.82</v>
      </c>
      <c r="G1417" s="12" t="s">
        <v>13</v>
      </c>
      <c r="H1417" s="12" t="str">
        <f t="shared" si="31"/>
        <v>Morning</v>
      </c>
      <c r="I1417" s="12" t="str">
        <f t="shared" si="32"/>
        <v>Mon</v>
      </c>
      <c r="J1417" s="12" t="str">
        <f t="shared" si="33"/>
        <v>Sep</v>
      </c>
      <c r="K1417" s="12">
        <f t="shared" si="34"/>
        <v>1</v>
      </c>
      <c r="L1417" s="12">
        <f t="shared" si="35"/>
        <v>9</v>
      </c>
    </row>
    <row r="1418" spans="1:12" x14ac:dyDescent="0.3">
      <c r="A1418" s="6">
        <v>45537</v>
      </c>
      <c r="B1418" s="7">
        <v>45537.368259791663</v>
      </c>
      <c r="C1418" s="8">
        <f t="shared" si="30"/>
        <v>8</v>
      </c>
      <c r="D1418" s="8" t="s">
        <v>4</v>
      </c>
      <c r="E1418" s="8" t="s">
        <v>584</v>
      </c>
      <c r="F1418" s="9">
        <v>27.92</v>
      </c>
      <c r="G1418" s="8" t="s">
        <v>20</v>
      </c>
      <c r="H1418" s="8" t="str">
        <f t="shared" si="31"/>
        <v>Morning</v>
      </c>
      <c r="I1418" s="8" t="str">
        <f t="shared" si="32"/>
        <v>Mon</v>
      </c>
      <c r="J1418" s="8" t="str">
        <f t="shared" si="33"/>
        <v>Sep</v>
      </c>
      <c r="K1418" s="8">
        <f t="shared" si="34"/>
        <v>1</v>
      </c>
      <c r="L1418" s="8">
        <f t="shared" si="35"/>
        <v>9</v>
      </c>
    </row>
    <row r="1419" spans="1:12" x14ac:dyDescent="0.3">
      <c r="A1419" s="10">
        <v>45537</v>
      </c>
      <c r="B1419" s="11">
        <v>45537.369133657405</v>
      </c>
      <c r="C1419" s="12">
        <f t="shared" si="30"/>
        <v>8</v>
      </c>
      <c r="D1419" s="12" t="s">
        <v>4</v>
      </c>
      <c r="E1419" s="12" t="s">
        <v>585</v>
      </c>
      <c r="F1419" s="13">
        <v>32.82</v>
      </c>
      <c r="G1419" s="12" t="s">
        <v>13</v>
      </c>
      <c r="H1419" s="12" t="str">
        <f t="shared" si="31"/>
        <v>Morning</v>
      </c>
      <c r="I1419" s="12" t="str">
        <f t="shared" si="32"/>
        <v>Mon</v>
      </c>
      <c r="J1419" s="12" t="str">
        <f t="shared" si="33"/>
        <v>Sep</v>
      </c>
      <c r="K1419" s="12">
        <f t="shared" si="34"/>
        <v>1</v>
      </c>
      <c r="L1419" s="12">
        <f t="shared" si="35"/>
        <v>9</v>
      </c>
    </row>
    <row r="1420" spans="1:12" x14ac:dyDescent="0.3">
      <c r="A1420" s="6">
        <v>45537</v>
      </c>
      <c r="B1420" s="7">
        <v>45537.624156747683</v>
      </c>
      <c r="C1420" s="8">
        <f t="shared" si="30"/>
        <v>14</v>
      </c>
      <c r="D1420" s="8" t="s">
        <v>4</v>
      </c>
      <c r="E1420" s="8" t="s">
        <v>586</v>
      </c>
      <c r="F1420" s="9">
        <v>27.92</v>
      </c>
      <c r="G1420" s="8" t="s">
        <v>20</v>
      </c>
      <c r="H1420" s="8" t="str">
        <f t="shared" si="31"/>
        <v>Afternoon</v>
      </c>
      <c r="I1420" s="8" t="str">
        <f t="shared" si="32"/>
        <v>Mon</v>
      </c>
      <c r="J1420" s="8" t="str">
        <f t="shared" si="33"/>
        <v>Sep</v>
      </c>
      <c r="K1420" s="8">
        <f t="shared" si="34"/>
        <v>1</v>
      </c>
      <c r="L1420" s="8">
        <f t="shared" si="35"/>
        <v>9</v>
      </c>
    </row>
    <row r="1421" spans="1:12" x14ac:dyDescent="0.3">
      <c r="A1421" s="10">
        <v>45537</v>
      </c>
      <c r="B1421" s="11">
        <v>45537.840091701386</v>
      </c>
      <c r="C1421" s="12">
        <f t="shared" si="30"/>
        <v>20</v>
      </c>
      <c r="D1421" s="12" t="s">
        <v>4</v>
      </c>
      <c r="E1421" s="12" t="s">
        <v>587</v>
      </c>
      <c r="F1421" s="13">
        <v>32.82</v>
      </c>
      <c r="G1421" s="12" t="s">
        <v>49</v>
      </c>
      <c r="H1421" s="12" t="str">
        <f t="shared" si="31"/>
        <v>Night</v>
      </c>
      <c r="I1421" s="12" t="str">
        <f t="shared" si="32"/>
        <v>Mon</v>
      </c>
      <c r="J1421" s="12" t="str">
        <f t="shared" si="33"/>
        <v>Sep</v>
      </c>
      <c r="K1421" s="12">
        <f t="shared" si="34"/>
        <v>1</v>
      </c>
      <c r="L1421" s="12">
        <f t="shared" si="35"/>
        <v>9</v>
      </c>
    </row>
    <row r="1422" spans="1:12" x14ac:dyDescent="0.3">
      <c r="A1422" s="6">
        <v>45537</v>
      </c>
      <c r="B1422" s="7">
        <v>45537.841179814815</v>
      </c>
      <c r="C1422" s="8">
        <f t="shared" si="30"/>
        <v>20</v>
      </c>
      <c r="D1422" s="8" t="s">
        <v>4</v>
      </c>
      <c r="E1422" s="8" t="s">
        <v>199</v>
      </c>
      <c r="F1422" s="9">
        <v>32.82</v>
      </c>
      <c r="G1422" s="8" t="s">
        <v>24</v>
      </c>
      <c r="H1422" s="8" t="str">
        <f t="shared" si="31"/>
        <v>Night</v>
      </c>
      <c r="I1422" s="8" t="str">
        <f t="shared" si="32"/>
        <v>Mon</v>
      </c>
      <c r="J1422" s="8" t="str">
        <f t="shared" si="33"/>
        <v>Sep</v>
      </c>
      <c r="K1422" s="8">
        <f t="shared" si="34"/>
        <v>1</v>
      </c>
      <c r="L1422" s="8">
        <f t="shared" si="35"/>
        <v>9</v>
      </c>
    </row>
    <row r="1423" spans="1:12" x14ac:dyDescent="0.3">
      <c r="A1423" s="10">
        <v>45537</v>
      </c>
      <c r="B1423" s="11">
        <v>45537.86981462963</v>
      </c>
      <c r="C1423" s="12">
        <f t="shared" si="30"/>
        <v>20</v>
      </c>
      <c r="D1423" s="12" t="s">
        <v>4</v>
      </c>
      <c r="E1423" s="12" t="s">
        <v>588</v>
      </c>
      <c r="F1423" s="13">
        <v>23.02</v>
      </c>
      <c r="G1423" s="12" t="s">
        <v>17</v>
      </c>
      <c r="H1423" s="12" t="str">
        <f t="shared" si="31"/>
        <v>Night</v>
      </c>
      <c r="I1423" s="12" t="str">
        <f t="shared" si="32"/>
        <v>Mon</v>
      </c>
      <c r="J1423" s="12" t="str">
        <f t="shared" si="33"/>
        <v>Sep</v>
      </c>
      <c r="K1423" s="12">
        <f t="shared" si="34"/>
        <v>1</v>
      </c>
      <c r="L1423" s="12">
        <f t="shared" si="35"/>
        <v>9</v>
      </c>
    </row>
    <row r="1424" spans="1:12" x14ac:dyDescent="0.3">
      <c r="A1424" s="6">
        <v>45537</v>
      </c>
      <c r="B1424" s="7">
        <v>45537.870475578704</v>
      </c>
      <c r="C1424" s="8">
        <f t="shared" si="30"/>
        <v>20</v>
      </c>
      <c r="D1424" s="8" t="s">
        <v>4</v>
      </c>
      <c r="E1424" s="8" t="s">
        <v>588</v>
      </c>
      <c r="F1424" s="9">
        <v>23.02</v>
      </c>
      <c r="G1424" s="8" t="s">
        <v>17</v>
      </c>
      <c r="H1424" s="8" t="str">
        <f t="shared" si="31"/>
        <v>Night</v>
      </c>
      <c r="I1424" s="8" t="str">
        <f t="shared" si="32"/>
        <v>Mon</v>
      </c>
      <c r="J1424" s="8" t="str">
        <f t="shared" si="33"/>
        <v>Sep</v>
      </c>
      <c r="K1424" s="8">
        <f t="shared" si="34"/>
        <v>1</v>
      </c>
      <c r="L1424" s="8">
        <f t="shared" si="35"/>
        <v>9</v>
      </c>
    </row>
    <row r="1425" spans="1:12" x14ac:dyDescent="0.3">
      <c r="A1425" s="10">
        <v>45538</v>
      </c>
      <c r="B1425" s="11">
        <v>45538.348788981479</v>
      </c>
      <c r="C1425" s="12">
        <f t="shared" si="30"/>
        <v>8</v>
      </c>
      <c r="D1425" s="12" t="s">
        <v>4</v>
      </c>
      <c r="E1425" s="12" t="s">
        <v>589</v>
      </c>
      <c r="F1425" s="13">
        <v>32.82</v>
      </c>
      <c r="G1425" s="12" t="s">
        <v>24</v>
      </c>
      <c r="H1425" s="12" t="str">
        <f t="shared" si="31"/>
        <v>Morning</v>
      </c>
      <c r="I1425" s="12" t="str">
        <f t="shared" si="32"/>
        <v>Tue</v>
      </c>
      <c r="J1425" s="12" t="str">
        <f t="shared" si="33"/>
        <v>Sep</v>
      </c>
      <c r="K1425" s="12">
        <f t="shared" si="34"/>
        <v>2</v>
      </c>
      <c r="L1425" s="12">
        <f t="shared" si="35"/>
        <v>9</v>
      </c>
    </row>
    <row r="1426" spans="1:12" x14ac:dyDescent="0.3">
      <c r="A1426" s="6">
        <v>45538</v>
      </c>
      <c r="B1426" s="7">
        <v>45538.35292164352</v>
      </c>
      <c r="C1426" s="8">
        <f t="shared" si="30"/>
        <v>8</v>
      </c>
      <c r="D1426" s="8" t="s">
        <v>4</v>
      </c>
      <c r="E1426" s="8" t="s">
        <v>188</v>
      </c>
      <c r="F1426" s="9">
        <v>32.82</v>
      </c>
      <c r="G1426" s="8" t="s">
        <v>49</v>
      </c>
      <c r="H1426" s="8" t="str">
        <f t="shared" si="31"/>
        <v>Morning</v>
      </c>
      <c r="I1426" s="8" t="str">
        <f t="shared" si="32"/>
        <v>Tue</v>
      </c>
      <c r="J1426" s="8" t="str">
        <f t="shared" si="33"/>
        <v>Sep</v>
      </c>
      <c r="K1426" s="8">
        <f t="shared" si="34"/>
        <v>2</v>
      </c>
      <c r="L1426" s="8">
        <f t="shared" si="35"/>
        <v>9</v>
      </c>
    </row>
    <row r="1427" spans="1:12" x14ac:dyDescent="0.3">
      <c r="A1427" s="10">
        <v>45538</v>
      </c>
      <c r="B1427" s="11">
        <v>45538.361940949071</v>
      </c>
      <c r="C1427" s="12">
        <f t="shared" si="30"/>
        <v>8</v>
      </c>
      <c r="D1427" s="12" t="s">
        <v>4</v>
      </c>
      <c r="E1427" s="12" t="s">
        <v>590</v>
      </c>
      <c r="F1427" s="13">
        <v>32.82</v>
      </c>
      <c r="G1427" s="12" t="s">
        <v>13</v>
      </c>
      <c r="H1427" s="12" t="str">
        <f t="shared" si="31"/>
        <v>Morning</v>
      </c>
      <c r="I1427" s="12" t="str">
        <f t="shared" si="32"/>
        <v>Tue</v>
      </c>
      <c r="J1427" s="12" t="str">
        <f t="shared" si="33"/>
        <v>Sep</v>
      </c>
      <c r="K1427" s="12">
        <f t="shared" si="34"/>
        <v>2</v>
      </c>
      <c r="L1427" s="12">
        <f t="shared" si="35"/>
        <v>9</v>
      </c>
    </row>
    <row r="1428" spans="1:12" x14ac:dyDescent="0.3">
      <c r="A1428" s="6">
        <v>45538</v>
      </c>
      <c r="B1428" s="7">
        <v>45538.377227696757</v>
      </c>
      <c r="C1428" s="8">
        <f t="shared" si="30"/>
        <v>9</v>
      </c>
      <c r="D1428" s="8" t="s">
        <v>4</v>
      </c>
      <c r="E1428" s="8" t="s">
        <v>591</v>
      </c>
      <c r="F1428" s="9">
        <v>27.92</v>
      </c>
      <c r="G1428" s="8" t="s">
        <v>20</v>
      </c>
      <c r="H1428" s="8" t="str">
        <f t="shared" si="31"/>
        <v>Morning</v>
      </c>
      <c r="I1428" s="8" t="str">
        <f t="shared" si="32"/>
        <v>Tue</v>
      </c>
      <c r="J1428" s="8" t="str">
        <f t="shared" si="33"/>
        <v>Sep</v>
      </c>
      <c r="K1428" s="8">
        <f t="shared" si="34"/>
        <v>2</v>
      </c>
      <c r="L1428" s="8">
        <f t="shared" si="35"/>
        <v>9</v>
      </c>
    </row>
    <row r="1429" spans="1:12" x14ac:dyDescent="0.3">
      <c r="A1429" s="10">
        <v>45538</v>
      </c>
      <c r="B1429" s="11">
        <v>45538.377913773147</v>
      </c>
      <c r="C1429" s="12">
        <f t="shared" si="30"/>
        <v>9</v>
      </c>
      <c r="D1429" s="12" t="s">
        <v>4</v>
      </c>
      <c r="E1429" s="12" t="s">
        <v>591</v>
      </c>
      <c r="F1429" s="13">
        <v>32.82</v>
      </c>
      <c r="G1429" s="12" t="s">
        <v>49</v>
      </c>
      <c r="H1429" s="12" t="str">
        <f t="shared" si="31"/>
        <v>Morning</v>
      </c>
      <c r="I1429" s="12" t="str">
        <f t="shared" si="32"/>
        <v>Tue</v>
      </c>
      <c r="J1429" s="12" t="str">
        <f t="shared" si="33"/>
        <v>Sep</v>
      </c>
      <c r="K1429" s="12">
        <f t="shared" si="34"/>
        <v>2</v>
      </c>
      <c r="L1429" s="12">
        <f t="shared" si="35"/>
        <v>9</v>
      </c>
    </row>
    <row r="1430" spans="1:12" x14ac:dyDescent="0.3">
      <c r="A1430" s="6">
        <v>45538</v>
      </c>
      <c r="B1430" s="7">
        <v>45538.383890671299</v>
      </c>
      <c r="C1430" s="8">
        <f t="shared" si="30"/>
        <v>9</v>
      </c>
      <c r="D1430" s="8" t="s">
        <v>4</v>
      </c>
      <c r="E1430" s="8" t="s">
        <v>592</v>
      </c>
      <c r="F1430" s="9">
        <v>32.82</v>
      </c>
      <c r="G1430" s="8" t="s">
        <v>24</v>
      </c>
      <c r="H1430" s="8" t="str">
        <f t="shared" si="31"/>
        <v>Morning</v>
      </c>
      <c r="I1430" s="8" t="str">
        <f t="shared" si="32"/>
        <v>Tue</v>
      </c>
      <c r="J1430" s="8" t="str">
        <f t="shared" si="33"/>
        <v>Sep</v>
      </c>
      <c r="K1430" s="8">
        <f t="shared" si="34"/>
        <v>2</v>
      </c>
      <c r="L1430" s="8">
        <f t="shared" si="35"/>
        <v>9</v>
      </c>
    </row>
    <row r="1431" spans="1:12" x14ac:dyDescent="0.3">
      <c r="A1431" s="10">
        <v>45538</v>
      </c>
      <c r="B1431" s="11">
        <v>45538.384417303241</v>
      </c>
      <c r="C1431" s="12">
        <f t="shared" si="30"/>
        <v>9</v>
      </c>
      <c r="D1431" s="12" t="s">
        <v>4</v>
      </c>
      <c r="E1431" s="12" t="s">
        <v>592</v>
      </c>
      <c r="F1431" s="13">
        <v>32.82</v>
      </c>
      <c r="G1431" s="12" t="s">
        <v>24</v>
      </c>
      <c r="H1431" s="12" t="str">
        <f t="shared" si="31"/>
        <v>Morning</v>
      </c>
      <c r="I1431" s="12" t="str">
        <f t="shared" si="32"/>
        <v>Tue</v>
      </c>
      <c r="J1431" s="12" t="str">
        <f t="shared" si="33"/>
        <v>Sep</v>
      </c>
      <c r="K1431" s="12">
        <f t="shared" si="34"/>
        <v>2</v>
      </c>
      <c r="L1431" s="12">
        <f t="shared" si="35"/>
        <v>9</v>
      </c>
    </row>
    <row r="1432" spans="1:12" x14ac:dyDescent="0.3">
      <c r="A1432" s="6">
        <v>45538</v>
      </c>
      <c r="B1432" s="7">
        <v>45538.386831134259</v>
      </c>
      <c r="C1432" s="8">
        <f t="shared" si="30"/>
        <v>9</v>
      </c>
      <c r="D1432" s="8" t="s">
        <v>4</v>
      </c>
      <c r="E1432" s="8" t="s">
        <v>405</v>
      </c>
      <c r="F1432" s="9">
        <v>27.92</v>
      </c>
      <c r="G1432" s="8" t="s">
        <v>20</v>
      </c>
      <c r="H1432" s="8" t="str">
        <f t="shared" si="31"/>
        <v>Morning</v>
      </c>
      <c r="I1432" s="8" t="str">
        <f t="shared" si="32"/>
        <v>Tue</v>
      </c>
      <c r="J1432" s="8" t="str">
        <f t="shared" si="33"/>
        <v>Sep</v>
      </c>
      <c r="K1432" s="8">
        <f t="shared" si="34"/>
        <v>2</v>
      </c>
      <c r="L1432" s="8">
        <f t="shared" si="35"/>
        <v>9</v>
      </c>
    </row>
    <row r="1433" spans="1:12" x14ac:dyDescent="0.3">
      <c r="A1433" s="10">
        <v>45538</v>
      </c>
      <c r="B1433" s="11">
        <v>45538.389087615738</v>
      </c>
      <c r="C1433" s="12">
        <f t="shared" si="30"/>
        <v>9</v>
      </c>
      <c r="D1433" s="12" t="s">
        <v>4</v>
      </c>
      <c r="E1433" s="12" t="s">
        <v>593</v>
      </c>
      <c r="F1433" s="13">
        <v>27.92</v>
      </c>
      <c r="G1433" s="12" t="s">
        <v>20</v>
      </c>
      <c r="H1433" s="12" t="str">
        <f t="shared" si="31"/>
        <v>Morning</v>
      </c>
      <c r="I1433" s="12" t="str">
        <f t="shared" si="32"/>
        <v>Tue</v>
      </c>
      <c r="J1433" s="12" t="str">
        <f t="shared" si="33"/>
        <v>Sep</v>
      </c>
      <c r="K1433" s="12">
        <f t="shared" si="34"/>
        <v>2</v>
      </c>
      <c r="L1433" s="12">
        <f t="shared" si="35"/>
        <v>9</v>
      </c>
    </row>
    <row r="1434" spans="1:12" x14ac:dyDescent="0.3">
      <c r="A1434" s="6">
        <v>45538</v>
      </c>
      <c r="B1434" s="7">
        <v>45538.40130002315</v>
      </c>
      <c r="C1434" s="8">
        <f t="shared" si="30"/>
        <v>9</v>
      </c>
      <c r="D1434" s="8" t="s">
        <v>4</v>
      </c>
      <c r="E1434" s="8" t="s">
        <v>594</v>
      </c>
      <c r="F1434" s="9">
        <v>32.82</v>
      </c>
      <c r="G1434" s="8" t="s">
        <v>13</v>
      </c>
      <c r="H1434" s="8" t="str">
        <f t="shared" si="31"/>
        <v>Morning</v>
      </c>
      <c r="I1434" s="8" t="str">
        <f t="shared" si="32"/>
        <v>Tue</v>
      </c>
      <c r="J1434" s="8" t="str">
        <f t="shared" si="33"/>
        <v>Sep</v>
      </c>
      <c r="K1434" s="8">
        <f t="shared" si="34"/>
        <v>2</v>
      </c>
      <c r="L1434" s="8">
        <f t="shared" si="35"/>
        <v>9</v>
      </c>
    </row>
    <row r="1435" spans="1:12" x14ac:dyDescent="0.3">
      <c r="A1435" s="10">
        <v>45538</v>
      </c>
      <c r="B1435" s="11">
        <v>45538.402041655092</v>
      </c>
      <c r="C1435" s="12">
        <f t="shared" si="30"/>
        <v>9</v>
      </c>
      <c r="D1435" s="12" t="s">
        <v>4</v>
      </c>
      <c r="E1435" s="12" t="s">
        <v>595</v>
      </c>
      <c r="F1435" s="13">
        <v>32.82</v>
      </c>
      <c r="G1435" s="12" t="s">
        <v>24</v>
      </c>
      <c r="H1435" s="12" t="str">
        <f t="shared" si="31"/>
        <v>Morning</v>
      </c>
      <c r="I1435" s="12" t="str">
        <f t="shared" si="32"/>
        <v>Tue</v>
      </c>
      <c r="J1435" s="12" t="str">
        <f t="shared" si="33"/>
        <v>Sep</v>
      </c>
      <c r="K1435" s="12">
        <f t="shared" si="34"/>
        <v>2</v>
      </c>
      <c r="L1435" s="12">
        <f t="shared" si="35"/>
        <v>9</v>
      </c>
    </row>
    <row r="1436" spans="1:12" x14ac:dyDescent="0.3">
      <c r="A1436" s="6">
        <v>45538</v>
      </c>
      <c r="B1436" s="7">
        <v>45538.539507048612</v>
      </c>
      <c r="C1436" s="8">
        <f t="shared" si="30"/>
        <v>12</v>
      </c>
      <c r="D1436" s="8" t="s">
        <v>4</v>
      </c>
      <c r="E1436" s="8" t="s">
        <v>596</v>
      </c>
      <c r="F1436" s="9">
        <v>23.02</v>
      </c>
      <c r="G1436" s="8" t="s">
        <v>34</v>
      </c>
      <c r="H1436" s="8" t="str">
        <f t="shared" si="31"/>
        <v>Afternoon</v>
      </c>
      <c r="I1436" s="8" t="str">
        <f t="shared" si="32"/>
        <v>Tue</v>
      </c>
      <c r="J1436" s="8" t="str">
        <f t="shared" si="33"/>
        <v>Sep</v>
      </c>
      <c r="K1436" s="8">
        <f t="shared" si="34"/>
        <v>2</v>
      </c>
      <c r="L1436" s="8">
        <f t="shared" si="35"/>
        <v>9</v>
      </c>
    </row>
    <row r="1437" spans="1:12" x14ac:dyDescent="0.3">
      <c r="A1437" s="10">
        <v>45538</v>
      </c>
      <c r="B1437" s="11">
        <v>45538.593654062497</v>
      </c>
      <c r="C1437" s="12">
        <f t="shared" si="30"/>
        <v>14</v>
      </c>
      <c r="D1437" s="12" t="s">
        <v>4</v>
      </c>
      <c r="E1437" s="12" t="s">
        <v>353</v>
      </c>
      <c r="F1437" s="13">
        <v>27.92</v>
      </c>
      <c r="G1437" s="12" t="s">
        <v>20</v>
      </c>
      <c r="H1437" s="12" t="str">
        <f t="shared" si="31"/>
        <v>Afternoon</v>
      </c>
      <c r="I1437" s="12" t="str">
        <f t="shared" si="32"/>
        <v>Tue</v>
      </c>
      <c r="J1437" s="12" t="str">
        <f t="shared" si="33"/>
        <v>Sep</v>
      </c>
      <c r="K1437" s="12">
        <f t="shared" si="34"/>
        <v>2</v>
      </c>
      <c r="L1437" s="12">
        <f t="shared" si="35"/>
        <v>9</v>
      </c>
    </row>
    <row r="1438" spans="1:12" x14ac:dyDescent="0.3">
      <c r="A1438" s="6">
        <v>45538</v>
      </c>
      <c r="B1438" s="7">
        <v>45538.594645104167</v>
      </c>
      <c r="C1438" s="8">
        <f t="shared" si="30"/>
        <v>14</v>
      </c>
      <c r="D1438" s="8" t="s">
        <v>4</v>
      </c>
      <c r="E1438" s="8" t="s">
        <v>353</v>
      </c>
      <c r="F1438" s="9">
        <v>27.92</v>
      </c>
      <c r="G1438" s="8" t="s">
        <v>20</v>
      </c>
      <c r="H1438" s="8" t="str">
        <f t="shared" si="31"/>
        <v>Afternoon</v>
      </c>
      <c r="I1438" s="8" t="str">
        <f t="shared" si="32"/>
        <v>Tue</v>
      </c>
      <c r="J1438" s="8" t="str">
        <f t="shared" si="33"/>
        <v>Sep</v>
      </c>
      <c r="K1438" s="8">
        <f t="shared" si="34"/>
        <v>2</v>
      </c>
      <c r="L1438" s="8">
        <f t="shared" si="35"/>
        <v>9</v>
      </c>
    </row>
    <row r="1439" spans="1:12" x14ac:dyDescent="0.3">
      <c r="A1439" s="10">
        <v>45538</v>
      </c>
      <c r="B1439" s="11">
        <v>45538.783735497687</v>
      </c>
      <c r="C1439" s="12">
        <f t="shared" si="30"/>
        <v>18</v>
      </c>
      <c r="D1439" s="12" t="s">
        <v>4</v>
      </c>
      <c r="E1439" s="12" t="s">
        <v>353</v>
      </c>
      <c r="F1439" s="13">
        <v>27.92</v>
      </c>
      <c r="G1439" s="12" t="s">
        <v>20</v>
      </c>
      <c r="H1439" s="12" t="str">
        <f t="shared" si="31"/>
        <v>Night</v>
      </c>
      <c r="I1439" s="12" t="str">
        <f t="shared" si="32"/>
        <v>Tue</v>
      </c>
      <c r="J1439" s="12" t="str">
        <f t="shared" si="33"/>
        <v>Sep</v>
      </c>
      <c r="K1439" s="12">
        <f t="shared" si="34"/>
        <v>2</v>
      </c>
      <c r="L1439" s="12">
        <f t="shared" si="35"/>
        <v>9</v>
      </c>
    </row>
    <row r="1440" spans="1:12" x14ac:dyDescent="0.3">
      <c r="A1440" s="6">
        <v>45538</v>
      </c>
      <c r="B1440" s="7">
        <v>45538.799448055557</v>
      </c>
      <c r="C1440" s="8">
        <f t="shared" si="30"/>
        <v>19</v>
      </c>
      <c r="D1440" s="8" t="s">
        <v>4</v>
      </c>
      <c r="E1440" s="8" t="s">
        <v>487</v>
      </c>
      <c r="F1440" s="9">
        <v>32.82</v>
      </c>
      <c r="G1440" s="8" t="s">
        <v>13</v>
      </c>
      <c r="H1440" s="8" t="str">
        <f t="shared" si="31"/>
        <v>Night</v>
      </c>
      <c r="I1440" s="8" t="str">
        <f t="shared" si="32"/>
        <v>Tue</v>
      </c>
      <c r="J1440" s="8" t="str">
        <f t="shared" si="33"/>
        <v>Sep</v>
      </c>
      <c r="K1440" s="8">
        <f t="shared" si="34"/>
        <v>2</v>
      </c>
      <c r="L1440" s="8">
        <f t="shared" si="35"/>
        <v>9</v>
      </c>
    </row>
    <row r="1441" spans="1:12" x14ac:dyDescent="0.3">
      <c r="A1441" s="10">
        <v>45538</v>
      </c>
      <c r="B1441" s="11">
        <v>45538.803632037037</v>
      </c>
      <c r="C1441" s="12">
        <f t="shared" si="30"/>
        <v>19</v>
      </c>
      <c r="D1441" s="12" t="s">
        <v>4</v>
      </c>
      <c r="E1441" s="12" t="s">
        <v>487</v>
      </c>
      <c r="F1441" s="13">
        <v>27.92</v>
      </c>
      <c r="G1441" s="12" t="s">
        <v>20</v>
      </c>
      <c r="H1441" s="12" t="str">
        <f t="shared" si="31"/>
        <v>Night</v>
      </c>
      <c r="I1441" s="12" t="str">
        <f t="shared" si="32"/>
        <v>Tue</v>
      </c>
      <c r="J1441" s="12" t="str">
        <f t="shared" si="33"/>
        <v>Sep</v>
      </c>
      <c r="K1441" s="12">
        <f t="shared" si="34"/>
        <v>2</v>
      </c>
      <c r="L1441" s="12">
        <f t="shared" si="35"/>
        <v>9</v>
      </c>
    </row>
    <row r="1442" spans="1:12" x14ac:dyDescent="0.3">
      <c r="A1442" s="6">
        <v>45539</v>
      </c>
      <c r="B1442" s="7">
        <v>45539.466221921299</v>
      </c>
      <c r="C1442" s="8">
        <f t="shared" si="30"/>
        <v>11</v>
      </c>
      <c r="D1442" s="8" t="s">
        <v>4</v>
      </c>
      <c r="E1442" s="8" t="s">
        <v>597</v>
      </c>
      <c r="F1442" s="9">
        <v>27.92</v>
      </c>
      <c r="G1442" s="8" t="s">
        <v>20</v>
      </c>
      <c r="H1442" s="8" t="str">
        <f t="shared" si="31"/>
        <v>Morning</v>
      </c>
      <c r="I1442" s="8" t="str">
        <f t="shared" si="32"/>
        <v>Wed</v>
      </c>
      <c r="J1442" s="8" t="str">
        <f t="shared" si="33"/>
        <v>Sep</v>
      </c>
      <c r="K1442" s="8">
        <f t="shared" si="34"/>
        <v>3</v>
      </c>
      <c r="L1442" s="8">
        <f t="shared" si="35"/>
        <v>9</v>
      </c>
    </row>
    <row r="1443" spans="1:12" x14ac:dyDescent="0.3">
      <c r="A1443" s="10">
        <v>45539</v>
      </c>
      <c r="B1443" s="11">
        <v>45539.481673587965</v>
      </c>
      <c r="C1443" s="12">
        <f t="shared" si="30"/>
        <v>11</v>
      </c>
      <c r="D1443" s="12" t="s">
        <v>4</v>
      </c>
      <c r="E1443" s="12" t="s">
        <v>530</v>
      </c>
      <c r="F1443" s="13">
        <v>32.82</v>
      </c>
      <c r="G1443" s="12" t="s">
        <v>13</v>
      </c>
      <c r="H1443" s="12" t="str">
        <f t="shared" si="31"/>
        <v>Morning</v>
      </c>
      <c r="I1443" s="12" t="str">
        <f t="shared" si="32"/>
        <v>Wed</v>
      </c>
      <c r="J1443" s="12" t="str">
        <f t="shared" si="33"/>
        <v>Sep</v>
      </c>
      <c r="K1443" s="12">
        <f t="shared" si="34"/>
        <v>3</v>
      </c>
      <c r="L1443" s="12">
        <f t="shared" si="35"/>
        <v>9</v>
      </c>
    </row>
    <row r="1444" spans="1:12" x14ac:dyDescent="0.3">
      <c r="A1444" s="6">
        <v>45539</v>
      </c>
      <c r="B1444" s="7">
        <v>45539.491707673609</v>
      </c>
      <c r="C1444" s="8">
        <f t="shared" si="30"/>
        <v>11</v>
      </c>
      <c r="D1444" s="8" t="s">
        <v>4</v>
      </c>
      <c r="E1444" s="8" t="s">
        <v>37</v>
      </c>
      <c r="F1444" s="9">
        <v>23.02</v>
      </c>
      <c r="G1444" s="8" t="s">
        <v>17</v>
      </c>
      <c r="H1444" s="8" t="str">
        <f t="shared" si="31"/>
        <v>Morning</v>
      </c>
      <c r="I1444" s="8" t="str">
        <f t="shared" si="32"/>
        <v>Wed</v>
      </c>
      <c r="J1444" s="8" t="str">
        <f t="shared" si="33"/>
        <v>Sep</v>
      </c>
      <c r="K1444" s="8">
        <f t="shared" si="34"/>
        <v>3</v>
      </c>
      <c r="L1444" s="8">
        <f t="shared" si="35"/>
        <v>9</v>
      </c>
    </row>
    <row r="1445" spans="1:12" x14ac:dyDescent="0.3">
      <c r="A1445" s="10">
        <v>45539</v>
      </c>
      <c r="B1445" s="11">
        <v>45539.496926932872</v>
      </c>
      <c r="C1445" s="12">
        <f t="shared" si="30"/>
        <v>11</v>
      </c>
      <c r="D1445" s="12" t="s">
        <v>4</v>
      </c>
      <c r="E1445" s="12" t="s">
        <v>598</v>
      </c>
      <c r="F1445" s="13">
        <v>27.92</v>
      </c>
      <c r="G1445" s="12" t="s">
        <v>20</v>
      </c>
      <c r="H1445" s="12" t="str">
        <f t="shared" si="31"/>
        <v>Morning</v>
      </c>
      <c r="I1445" s="12" t="str">
        <f t="shared" si="32"/>
        <v>Wed</v>
      </c>
      <c r="J1445" s="12" t="str">
        <f t="shared" si="33"/>
        <v>Sep</v>
      </c>
      <c r="K1445" s="12">
        <f t="shared" si="34"/>
        <v>3</v>
      </c>
      <c r="L1445" s="12">
        <f t="shared" si="35"/>
        <v>9</v>
      </c>
    </row>
    <row r="1446" spans="1:12" x14ac:dyDescent="0.3">
      <c r="A1446" s="6">
        <v>45539</v>
      </c>
      <c r="B1446" s="7">
        <v>45539.537168055555</v>
      </c>
      <c r="C1446" s="8">
        <f t="shared" si="30"/>
        <v>12</v>
      </c>
      <c r="D1446" s="8" t="s">
        <v>4</v>
      </c>
      <c r="E1446" s="8" t="s">
        <v>585</v>
      </c>
      <c r="F1446" s="9">
        <v>32.82</v>
      </c>
      <c r="G1446" s="8" t="s">
        <v>13</v>
      </c>
      <c r="H1446" s="8" t="str">
        <f t="shared" si="31"/>
        <v>Afternoon</v>
      </c>
      <c r="I1446" s="8" t="str">
        <f t="shared" si="32"/>
        <v>Wed</v>
      </c>
      <c r="J1446" s="8" t="str">
        <f t="shared" si="33"/>
        <v>Sep</v>
      </c>
      <c r="K1446" s="8">
        <f t="shared" si="34"/>
        <v>3</v>
      </c>
      <c r="L1446" s="8">
        <f t="shared" si="35"/>
        <v>9</v>
      </c>
    </row>
    <row r="1447" spans="1:12" x14ac:dyDescent="0.3">
      <c r="A1447" s="10">
        <v>45539</v>
      </c>
      <c r="B1447" s="11">
        <v>45539.544335763887</v>
      </c>
      <c r="C1447" s="12">
        <f t="shared" si="30"/>
        <v>13</v>
      </c>
      <c r="D1447" s="12" t="s">
        <v>4</v>
      </c>
      <c r="E1447" s="12" t="s">
        <v>599</v>
      </c>
      <c r="F1447" s="13">
        <v>32.82</v>
      </c>
      <c r="G1447" s="12" t="s">
        <v>13</v>
      </c>
      <c r="H1447" s="12" t="str">
        <f t="shared" si="31"/>
        <v>Afternoon</v>
      </c>
      <c r="I1447" s="12" t="str">
        <f t="shared" si="32"/>
        <v>Wed</v>
      </c>
      <c r="J1447" s="12" t="str">
        <f t="shared" si="33"/>
        <v>Sep</v>
      </c>
      <c r="K1447" s="12">
        <f t="shared" si="34"/>
        <v>3</v>
      </c>
      <c r="L1447" s="12">
        <f t="shared" si="35"/>
        <v>9</v>
      </c>
    </row>
    <row r="1448" spans="1:12" x14ac:dyDescent="0.3">
      <c r="A1448" s="6">
        <v>45539</v>
      </c>
      <c r="B1448" s="7">
        <v>45539.545325231484</v>
      </c>
      <c r="C1448" s="8">
        <f t="shared" si="30"/>
        <v>13</v>
      </c>
      <c r="D1448" s="8" t="s">
        <v>4</v>
      </c>
      <c r="E1448" s="8" t="s">
        <v>599</v>
      </c>
      <c r="F1448" s="9">
        <v>27.92</v>
      </c>
      <c r="G1448" s="8" t="s">
        <v>20</v>
      </c>
      <c r="H1448" s="8" t="str">
        <f t="shared" si="31"/>
        <v>Afternoon</v>
      </c>
      <c r="I1448" s="8" t="str">
        <f t="shared" si="32"/>
        <v>Wed</v>
      </c>
      <c r="J1448" s="8" t="str">
        <f t="shared" si="33"/>
        <v>Sep</v>
      </c>
      <c r="K1448" s="8">
        <f t="shared" si="34"/>
        <v>3</v>
      </c>
      <c r="L1448" s="8">
        <f t="shared" si="35"/>
        <v>9</v>
      </c>
    </row>
    <row r="1449" spans="1:12" x14ac:dyDescent="0.3">
      <c r="A1449" s="10">
        <v>45539</v>
      </c>
      <c r="B1449" s="11">
        <v>45539.75262644676</v>
      </c>
      <c r="C1449" s="12">
        <f t="shared" si="30"/>
        <v>18</v>
      </c>
      <c r="D1449" s="12" t="s">
        <v>4</v>
      </c>
      <c r="E1449" s="12" t="s">
        <v>600</v>
      </c>
      <c r="F1449" s="13">
        <v>32.82</v>
      </c>
      <c r="G1449" s="12" t="s">
        <v>49</v>
      </c>
      <c r="H1449" s="12" t="str">
        <f t="shared" si="31"/>
        <v>Night</v>
      </c>
      <c r="I1449" s="12" t="str">
        <f t="shared" si="32"/>
        <v>Wed</v>
      </c>
      <c r="J1449" s="12" t="str">
        <f t="shared" si="33"/>
        <v>Sep</v>
      </c>
      <c r="K1449" s="12">
        <f t="shared" si="34"/>
        <v>3</v>
      </c>
      <c r="L1449" s="12">
        <f t="shared" si="35"/>
        <v>9</v>
      </c>
    </row>
    <row r="1450" spans="1:12" x14ac:dyDescent="0.3">
      <c r="A1450" s="6">
        <v>45539</v>
      </c>
      <c r="B1450" s="7">
        <v>45539.820624560183</v>
      </c>
      <c r="C1450" s="8">
        <f t="shared" si="30"/>
        <v>19</v>
      </c>
      <c r="D1450" s="8" t="s">
        <v>4</v>
      </c>
      <c r="E1450" s="8" t="s">
        <v>117</v>
      </c>
      <c r="F1450" s="9">
        <v>27.92</v>
      </c>
      <c r="G1450" s="8" t="s">
        <v>20</v>
      </c>
      <c r="H1450" s="8" t="str">
        <f t="shared" si="31"/>
        <v>Night</v>
      </c>
      <c r="I1450" s="8" t="str">
        <f t="shared" si="32"/>
        <v>Wed</v>
      </c>
      <c r="J1450" s="8" t="str">
        <f t="shared" si="33"/>
        <v>Sep</v>
      </c>
      <c r="K1450" s="8">
        <f t="shared" si="34"/>
        <v>3</v>
      </c>
      <c r="L1450" s="8">
        <f t="shared" si="35"/>
        <v>9</v>
      </c>
    </row>
    <row r="1451" spans="1:12" x14ac:dyDescent="0.3">
      <c r="A1451" s="10">
        <v>45539</v>
      </c>
      <c r="B1451" s="11">
        <v>45539.888607048611</v>
      </c>
      <c r="C1451" s="12">
        <f t="shared" si="30"/>
        <v>21</v>
      </c>
      <c r="D1451" s="12" t="s">
        <v>4</v>
      </c>
      <c r="E1451" s="12" t="s">
        <v>514</v>
      </c>
      <c r="F1451" s="13">
        <v>32.82</v>
      </c>
      <c r="G1451" s="12" t="s">
        <v>13</v>
      </c>
      <c r="H1451" s="12" t="str">
        <f t="shared" si="31"/>
        <v>Night</v>
      </c>
      <c r="I1451" s="12" t="str">
        <f t="shared" si="32"/>
        <v>Wed</v>
      </c>
      <c r="J1451" s="12" t="str">
        <f t="shared" si="33"/>
        <v>Sep</v>
      </c>
      <c r="K1451" s="12">
        <f t="shared" si="34"/>
        <v>3</v>
      </c>
      <c r="L1451" s="12">
        <f t="shared" si="35"/>
        <v>9</v>
      </c>
    </row>
    <row r="1452" spans="1:12" x14ac:dyDescent="0.3">
      <c r="A1452" s="6">
        <v>45540</v>
      </c>
      <c r="B1452" s="7">
        <v>45540.396724768521</v>
      </c>
      <c r="C1452" s="8">
        <f t="shared" si="30"/>
        <v>9</v>
      </c>
      <c r="D1452" s="8" t="s">
        <v>4</v>
      </c>
      <c r="E1452" s="8" t="s">
        <v>405</v>
      </c>
      <c r="F1452" s="9">
        <v>27.92</v>
      </c>
      <c r="G1452" s="8" t="s">
        <v>20</v>
      </c>
      <c r="H1452" s="8" t="str">
        <f t="shared" si="31"/>
        <v>Morning</v>
      </c>
      <c r="I1452" s="8" t="str">
        <f t="shared" si="32"/>
        <v>Thu</v>
      </c>
      <c r="J1452" s="8" t="str">
        <f t="shared" si="33"/>
        <v>Sep</v>
      </c>
      <c r="K1452" s="8">
        <f t="shared" si="34"/>
        <v>4</v>
      </c>
      <c r="L1452" s="8">
        <f t="shared" si="35"/>
        <v>9</v>
      </c>
    </row>
    <row r="1453" spans="1:12" x14ac:dyDescent="0.3">
      <c r="A1453" s="10">
        <v>45540</v>
      </c>
      <c r="B1453" s="11">
        <v>45540.436761886573</v>
      </c>
      <c r="C1453" s="12">
        <f t="shared" si="30"/>
        <v>10</v>
      </c>
      <c r="D1453" s="12" t="s">
        <v>4</v>
      </c>
      <c r="E1453" s="12" t="s">
        <v>601</v>
      </c>
      <c r="F1453" s="13">
        <v>27.92</v>
      </c>
      <c r="G1453" s="12" t="s">
        <v>20</v>
      </c>
      <c r="H1453" s="12" t="str">
        <f t="shared" si="31"/>
        <v>Morning</v>
      </c>
      <c r="I1453" s="12" t="str">
        <f t="shared" si="32"/>
        <v>Thu</v>
      </c>
      <c r="J1453" s="12" t="str">
        <f t="shared" si="33"/>
        <v>Sep</v>
      </c>
      <c r="K1453" s="12">
        <f t="shared" si="34"/>
        <v>4</v>
      </c>
      <c r="L1453" s="12">
        <f t="shared" si="35"/>
        <v>9</v>
      </c>
    </row>
    <row r="1454" spans="1:12" x14ac:dyDescent="0.3">
      <c r="A1454" s="6">
        <v>45540</v>
      </c>
      <c r="B1454" s="7">
        <v>45540.462854155092</v>
      </c>
      <c r="C1454" s="8">
        <f t="shared" si="30"/>
        <v>11</v>
      </c>
      <c r="D1454" s="8" t="s">
        <v>4</v>
      </c>
      <c r="E1454" s="8" t="s">
        <v>37</v>
      </c>
      <c r="F1454" s="9">
        <v>23.02</v>
      </c>
      <c r="G1454" s="8" t="s">
        <v>17</v>
      </c>
      <c r="H1454" s="8" t="str">
        <f t="shared" si="31"/>
        <v>Morning</v>
      </c>
      <c r="I1454" s="8" t="str">
        <f t="shared" si="32"/>
        <v>Thu</v>
      </c>
      <c r="J1454" s="8" t="str">
        <f t="shared" si="33"/>
        <v>Sep</v>
      </c>
      <c r="K1454" s="8">
        <f t="shared" si="34"/>
        <v>4</v>
      </c>
      <c r="L1454" s="8">
        <f t="shared" si="35"/>
        <v>9</v>
      </c>
    </row>
    <row r="1455" spans="1:12" x14ac:dyDescent="0.3">
      <c r="A1455" s="10">
        <v>45540</v>
      </c>
      <c r="B1455" s="11">
        <v>45540.583654305556</v>
      </c>
      <c r="C1455" s="12">
        <f t="shared" si="30"/>
        <v>14</v>
      </c>
      <c r="D1455" s="12" t="s">
        <v>4</v>
      </c>
      <c r="E1455" s="12" t="s">
        <v>602</v>
      </c>
      <c r="F1455" s="13">
        <v>32.82</v>
      </c>
      <c r="G1455" s="12" t="s">
        <v>13</v>
      </c>
      <c r="H1455" s="12" t="str">
        <f t="shared" si="31"/>
        <v>Afternoon</v>
      </c>
      <c r="I1455" s="12" t="str">
        <f t="shared" si="32"/>
        <v>Thu</v>
      </c>
      <c r="J1455" s="12" t="str">
        <f t="shared" si="33"/>
        <v>Sep</v>
      </c>
      <c r="K1455" s="12">
        <f t="shared" si="34"/>
        <v>4</v>
      </c>
      <c r="L1455" s="12">
        <f t="shared" si="35"/>
        <v>9</v>
      </c>
    </row>
    <row r="1456" spans="1:12" x14ac:dyDescent="0.3">
      <c r="A1456" s="6">
        <v>45540</v>
      </c>
      <c r="B1456" s="7">
        <v>45540.642503958334</v>
      </c>
      <c r="C1456" s="8">
        <f t="shared" si="30"/>
        <v>15</v>
      </c>
      <c r="D1456" s="8" t="s">
        <v>4</v>
      </c>
      <c r="E1456" s="8" t="s">
        <v>603</v>
      </c>
      <c r="F1456" s="9">
        <v>32.82</v>
      </c>
      <c r="G1456" s="8" t="s">
        <v>13</v>
      </c>
      <c r="H1456" s="8" t="str">
        <f t="shared" si="31"/>
        <v>Afternoon</v>
      </c>
      <c r="I1456" s="8" t="str">
        <f t="shared" si="32"/>
        <v>Thu</v>
      </c>
      <c r="J1456" s="8" t="str">
        <f t="shared" si="33"/>
        <v>Sep</v>
      </c>
      <c r="K1456" s="8">
        <f t="shared" si="34"/>
        <v>4</v>
      </c>
      <c r="L1456" s="8">
        <f t="shared" si="35"/>
        <v>9</v>
      </c>
    </row>
    <row r="1457" spans="1:12" x14ac:dyDescent="0.3">
      <c r="A1457" s="10">
        <v>45540</v>
      </c>
      <c r="B1457" s="11">
        <v>45540.693638715275</v>
      </c>
      <c r="C1457" s="12">
        <f t="shared" si="30"/>
        <v>16</v>
      </c>
      <c r="D1457" s="12" t="s">
        <v>4</v>
      </c>
      <c r="E1457" s="12" t="s">
        <v>604</v>
      </c>
      <c r="F1457" s="13">
        <v>23.02</v>
      </c>
      <c r="G1457" s="12" t="s">
        <v>17</v>
      </c>
      <c r="H1457" s="12" t="str">
        <f t="shared" si="31"/>
        <v>Afternoon</v>
      </c>
      <c r="I1457" s="12" t="str">
        <f t="shared" si="32"/>
        <v>Thu</v>
      </c>
      <c r="J1457" s="12" t="str">
        <f t="shared" si="33"/>
        <v>Sep</v>
      </c>
      <c r="K1457" s="12">
        <f t="shared" si="34"/>
        <v>4</v>
      </c>
      <c r="L1457" s="12">
        <f t="shared" si="35"/>
        <v>9</v>
      </c>
    </row>
    <row r="1458" spans="1:12" x14ac:dyDescent="0.3">
      <c r="A1458" s="6">
        <v>45540</v>
      </c>
      <c r="B1458" s="7">
        <v>45540.694440208332</v>
      </c>
      <c r="C1458" s="8">
        <f t="shared" si="30"/>
        <v>16</v>
      </c>
      <c r="D1458" s="8" t="s">
        <v>4</v>
      </c>
      <c r="E1458" s="8" t="s">
        <v>605</v>
      </c>
      <c r="F1458" s="9">
        <v>27.92</v>
      </c>
      <c r="G1458" s="8" t="s">
        <v>20</v>
      </c>
      <c r="H1458" s="8" t="str">
        <f t="shared" si="31"/>
        <v>Afternoon</v>
      </c>
      <c r="I1458" s="8" t="str">
        <f t="shared" si="32"/>
        <v>Thu</v>
      </c>
      <c r="J1458" s="8" t="str">
        <f t="shared" si="33"/>
        <v>Sep</v>
      </c>
      <c r="K1458" s="8">
        <f t="shared" si="34"/>
        <v>4</v>
      </c>
      <c r="L1458" s="8">
        <f t="shared" si="35"/>
        <v>9</v>
      </c>
    </row>
    <row r="1459" spans="1:12" x14ac:dyDescent="0.3">
      <c r="A1459" s="10">
        <v>45540</v>
      </c>
      <c r="B1459" s="11">
        <v>45540.711445659719</v>
      </c>
      <c r="C1459" s="12">
        <f t="shared" si="30"/>
        <v>17</v>
      </c>
      <c r="D1459" s="12" t="s">
        <v>4</v>
      </c>
      <c r="E1459" s="12" t="s">
        <v>606</v>
      </c>
      <c r="F1459" s="13">
        <v>32.82</v>
      </c>
      <c r="G1459" s="12" t="s">
        <v>49</v>
      </c>
      <c r="H1459" s="12" t="str">
        <f t="shared" si="31"/>
        <v>Night</v>
      </c>
      <c r="I1459" s="12" t="str">
        <f t="shared" si="32"/>
        <v>Thu</v>
      </c>
      <c r="J1459" s="12" t="str">
        <f t="shared" si="33"/>
        <v>Sep</v>
      </c>
      <c r="K1459" s="12">
        <f t="shared" si="34"/>
        <v>4</v>
      </c>
      <c r="L1459" s="12">
        <f t="shared" si="35"/>
        <v>9</v>
      </c>
    </row>
    <row r="1460" spans="1:12" x14ac:dyDescent="0.3">
      <c r="A1460" s="6">
        <v>45540</v>
      </c>
      <c r="B1460" s="7">
        <v>45540.712172268519</v>
      </c>
      <c r="C1460" s="8">
        <f t="shared" si="30"/>
        <v>17</v>
      </c>
      <c r="D1460" s="8" t="s">
        <v>4</v>
      </c>
      <c r="E1460" s="8" t="s">
        <v>606</v>
      </c>
      <c r="F1460" s="9">
        <v>32.82</v>
      </c>
      <c r="G1460" s="8" t="s">
        <v>49</v>
      </c>
      <c r="H1460" s="8" t="str">
        <f t="shared" si="31"/>
        <v>Night</v>
      </c>
      <c r="I1460" s="8" t="str">
        <f t="shared" si="32"/>
        <v>Thu</v>
      </c>
      <c r="J1460" s="8" t="str">
        <f t="shared" si="33"/>
        <v>Sep</v>
      </c>
      <c r="K1460" s="8">
        <f t="shared" si="34"/>
        <v>4</v>
      </c>
      <c r="L1460" s="8">
        <f t="shared" si="35"/>
        <v>9</v>
      </c>
    </row>
    <row r="1461" spans="1:12" x14ac:dyDescent="0.3">
      <c r="A1461" s="10">
        <v>45540</v>
      </c>
      <c r="B1461" s="11">
        <v>45540.854339861115</v>
      </c>
      <c r="C1461" s="12">
        <f t="shared" si="30"/>
        <v>20</v>
      </c>
      <c r="D1461" s="12" t="s">
        <v>4</v>
      </c>
      <c r="E1461" s="12" t="s">
        <v>607</v>
      </c>
      <c r="F1461" s="13">
        <v>32.82</v>
      </c>
      <c r="G1461" s="12" t="s">
        <v>49</v>
      </c>
      <c r="H1461" s="12" t="str">
        <f t="shared" si="31"/>
        <v>Night</v>
      </c>
      <c r="I1461" s="12" t="str">
        <f t="shared" si="32"/>
        <v>Thu</v>
      </c>
      <c r="J1461" s="12" t="str">
        <f t="shared" si="33"/>
        <v>Sep</v>
      </c>
      <c r="K1461" s="12">
        <f t="shared" si="34"/>
        <v>4</v>
      </c>
      <c r="L1461" s="12">
        <f t="shared" si="35"/>
        <v>9</v>
      </c>
    </row>
    <row r="1462" spans="1:12" x14ac:dyDescent="0.3">
      <c r="A1462" s="6">
        <v>45540</v>
      </c>
      <c r="B1462" s="7">
        <v>45540.871116076392</v>
      </c>
      <c r="C1462" s="8">
        <f t="shared" si="30"/>
        <v>20</v>
      </c>
      <c r="D1462" s="8" t="s">
        <v>4</v>
      </c>
      <c r="E1462" s="8" t="s">
        <v>608</v>
      </c>
      <c r="F1462" s="9">
        <v>23.02</v>
      </c>
      <c r="G1462" s="8" t="s">
        <v>17</v>
      </c>
      <c r="H1462" s="8" t="str">
        <f t="shared" si="31"/>
        <v>Night</v>
      </c>
      <c r="I1462" s="8" t="str">
        <f t="shared" si="32"/>
        <v>Thu</v>
      </c>
      <c r="J1462" s="8" t="str">
        <f t="shared" si="33"/>
        <v>Sep</v>
      </c>
      <c r="K1462" s="8">
        <f t="shared" si="34"/>
        <v>4</v>
      </c>
      <c r="L1462" s="8">
        <f t="shared" si="35"/>
        <v>9</v>
      </c>
    </row>
    <row r="1463" spans="1:12" x14ac:dyDescent="0.3">
      <c r="A1463" s="10">
        <v>45540</v>
      </c>
      <c r="B1463" s="11">
        <v>45540.871891539355</v>
      </c>
      <c r="C1463" s="12">
        <f t="shared" si="30"/>
        <v>20</v>
      </c>
      <c r="D1463" s="12" t="s">
        <v>4</v>
      </c>
      <c r="E1463" s="12" t="s">
        <v>608</v>
      </c>
      <c r="F1463" s="13">
        <v>32.82</v>
      </c>
      <c r="G1463" s="12" t="s">
        <v>49</v>
      </c>
      <c r="H1463" s="12" t="str">
        <f t="shared" si="31"/>
        <v>Night</v>
      </c>
      <c r="I1463" s="12" t="str">
        <f t="shared" si="32"/>
        <v>Thu</v>
      </c>
      <c r="J1463" s="12" t="str">
        <f t="shared" si="33"/>
        <v>Sep</v>
      </c>
      <c r="K1463" s="12">
        <f t="shared" si="34"/>
        <v>4</v>
      </c>
      <c r="L1463" s="12">
        <f t="shared" si="35"/>
        <v>9</v>
      </c>
    </row>
    <row r="1464" spans="1:12" x14ac:dyDescent="0.3">
      <c r="A1464" s="6">
        <v>45540</v>
      </c>
      <c r="B1464" s="7">
        <v>45540.893389305558</v>
      </c>
      <c r="C1464" s="8">
        <f t="shared" si="30"/>
        <v>21</v>
      </c>
      <c r="D1464" s="8" t="s">
        <v>4</v>
      </c>
      <c r="E1464" s="8" t="s">
        <v>60</v>
      </c>
      <c r="F1464" s="9">
        <v>27.92</v>
      </c>
      <c r="G1464" s="8" t="s">
        <v>20</v>
      </c>
      <c r="H1464" s="8" t="str">
        <f t="shared" si="31"/>
        <v>Night</v>
      </c>
      <c r="I1464" s="8" t="str">
        <f t="shared" si="32"/>
        <v>Thu</v>
      </c>
      <c r="J1464" s="8" t="str">
        <f t="shared" si="33"/>
        <v>Sep</v>
      </c>
      <c r="K1464" s="8">
        <f t="shared" si="34"/>
        <v>4</v>
      </c>
      <c r="L1464" s="8">
        <f t="shared" si="35"/>
        <v>9</v>
      </c>
    </row>
    <row r="1465" spans="1:12" x14ac:dyDescent="0.3">
      <c r="A1465" s="10">
        <v>45540</v>
      </c>
      <c r="B1465" s="11">
        <v>45540.894096863427</v>
      </c>
      <c r="C1465" s="12">
        <f t="shared" si="30"/>
        <v>21</v>
      </c>
      <c r="D1465" s="12" t="s">
        <v>4</v>
      </c>
      <c r="E1465" s="12" t="s">
        <v>60</v>
      </c>
      <c r="F1465" s="13">
        <v>27.92</v>
      </c>
      <c r="G1465" s="12" t="s">
        <v>20</v>
      </c>
      <c r="H1465" s="12" t="str">
        <f t="shared" si="31"/>
        <v>Night</v>
      </c>
      <c r="I1465" s="12" t="str">
        <f t="shared" si="32"/>
        <v>Thu</v>
      </c>
      <c r="J1465" s="12" t="str">
        <f t="shared" si="33"/>
        <v>Sep</v>
      </c>
      <c r="K1465" s="12">
        <f t="shared" si="34"/>
        <v>4</v>
      </c>
      <c r="L1465" s="12">
        <f t="shared" si="35"/>
        <v>9</v>
      </c>
    </row>
    <row r="1466" spans="1:12" x14ac:dyDescent="0.3">
      <c r="A1466" s="6">
        <v>45541</v>
      </c>
      <c r="B1466" s="7">
        <v>45541.351086458337</v>
      </c>
      <c r="C1466" s="8">
        <f t="shared" si="30"/>
        <v>8</v>
      </c>
      <c r="D1466" s="8" t="s">
        <v>4</v>
      </c>
      <c r="E1466" s="8" t="s">
        <v>602</v>
      </c>
      <c r="F1466" s="9">
        <v>32.82</v>
      </c>
      <c r="G1466" s="8" t="s">
        <v>49</v>
      </c>
      <c r="H1466" s="8" t="str">
        <f t="shared" si="31"/>
        <v>Morning</v>
      </c>
      <c r="I1466" s="8" t="str">
        <f t="shared" si="32"/>
        <v>Fri</v>
      </c>
      <c r="J1466" s="8" t="str">
        <f t="shared" si="33"/>
        <v>Sep</v>
      </c>
      <c r="K1466" s="8">
        <f t="shared" si="34"/>
        <v>5</v>
      </c>
      <c r="L1466" s="8">
        <f t="shared" si="35"/>
        <v>9</v>
      </c>
    </row>
    <row r="1467" spans="1:12" x14ac:dyDescent="0.3">
      <c r="A1467" s="10">
        <v>45541</v>
      </c>
      <c r="B1467" s="11">
        <v>45541.357486423614</v>
      </c>
      <c r="C1467" s="12">
        <f t="shared" si="30"/>
        <v>8</v>
      </c>
      <c r="D1467" s="12" t="s">
        <v>4</v>
      </c>
      <c r="E1467" s="12" t="s">
        <v>445</v>
      </c>
      <c r="F1467" s="13">
        <v>32.82</v>
      </c>
      <c r="G1467" s="12" t="s">
        <v>13</v>
      </c>
      <c r="H1467" s="12" t="str">
        <f t="shared" si="31"/>
        <v>Morning</v>
      </c>
      <c r="I1467" s="12" t="str">
        <f t="shared" si="32"/>
        <v>Fri</v>
      </c>
      <c r="J1467" s="12" t="str">
        <f t="shared" si="33"/>
        <v>Sep</v>
      </c>
      <c r="K1467" s="12">
        <f t="shared" si="34"/>
        <v>5</v>
      </c>
      <c r="L1467" s="12">
        <f t="shared" si="35"/>
        <v>9</v>
      </c>
    </row>
    <row r="1468" spans="1:12" x14ac:dyDescent="0.3">
      <c r="A1468" s="6">
        <v>45541</v>
      </c>
      <c r="B1468" s="7">
        <v>45541.371318865742</v>
      </c>
      <c r="C1468" s="8">
        <f t="shared" si="30"/>
        <v>8</v>
      </c>
      <c r="D1468" s="8" t="s">
        <v>4</v>
      </c>
      <c r="E1468" s="8" t="s">
        <v>609</v>
      </c>
      <c r="F1468" s="9">
        <v>23.02</v>
      </c>
      <c r="G1468" s="8" t="s">
        <v>17</v>
      </c>
      <c r="H1468" s="8" t="str">
        <f t="shared" si="31"/>
        <v>Morning</v>
      </c>
      <c r="I1468" s="8" t="str">
        <f t="shared" si="32"/>
        <v>Fri</v>
      </c>
      <c r="J1468" s="8" t="str">
        <f t="shared" si="33"/>
        <v>Sep</v>
      </c>
      <c r="K1468" s="8">
        <f t="shared" si="34"/>
        <v>5</v>
      </c>
      <c r="L1468" s="8">
        <f t="shared" si="35"/>
        <v>9</v>
      </c>
    </row>
    <row r="1469" spans="1:12" x14ac:dyDescent="0.3">
      <c r="A1469" s="10">
        <v>45541</v>
      </c>
      <c r="B1469" s="11">
        <v>45541.410184594904</v>
      </c>
      <c r="C1469" s="12">
        <f t="shared" si="30"/>
        <v>9</v>
      </c>
      <c r="D1469" s="12" t="s">
        <v>4</v>
      </c>
      <c r="E1469" s="12" t="s">
        <v>610</v>
      </c>
      <c r="F1469" s="13">
        <v>18.12</v>
      </c>
      <c r="G1469" s="12" t="s">
        <v>41</v>
      </c>
      <c r="H1469" s="12" t="str">
        <f t="shared" si="31"/>
        <v>Morning</v>
      </c>
      <c r="I1469" s="12" t="str">
        <f t="shared" si="32"/>
        <v>Fri</v>
      </c>
      <c r="J1469" s="12" t="str">
        <f t="shared" si="33"/>
        <v>Sep</v>
      </c>
      <c r="K1469" s="12">
        <f t="shared" si="34"/>
        <v>5</v>
      </c>
      <c r="L1469" s="12">
        <f t="shared" si="35"/>
        <v>9</v>
      </c>
    </row>
    <row r="1470" spans="1:12" x14ac:dyDescent="0.3">
      <c r="A1470" s="6">
        <v>45541</v>
      </c>
      <c r="B1470" s="7">
        <v>45541.411021018517</v>
      </c>
      <c r="C1470" s="8">
        <f t="shared" si="30"/>
        <v>9</v>
      </c>
      <c r="D1470" s="8" t="s">
        <v>4</v>
      </c>
      <c r="E1470" s="8" t="s">
        <v>610</v>
      </c>
      <c r="F1470" s="9">
        <v>32.82</v>
      </c>
      <c r="G1470" s="8" t="s">
        <v>13</v>
      </c>
      <c r="H1470" s="8" t="str">
        <f t="shared" si="31"/>
        <v>Morning</v>
      </c>
      <c r="I1470" s="8" t="str">
        <f t="shared" si="32"/>
        <v>Fri</v>
      </c>
      <c r="J1470" s="8" t="str">
        <f t="shared" si="33"/>
        <v>Sep</v>
      </c>
      <c r="K1470" s="8">
        <f t="shared" si="34"/>
        <v>5</v>
      </c>
      <c r="L1470" s="8">
        <f t="shared" si="35"/>
        <v>9</v>
      </c>
    </row>
    <row r="1471" spans="1:12" x14ac:dyDescent="0.3">
      <c r="A1471" s="10">
        <v>45541</v>
      </c>
      <c r="B1471" s="11">
        <v>45541.437570011571</v>
      </c>
      <c r="C1471" s="12">
        <f t="shared" si="30"/>
        <v>10</v>
      </c>
      <c r="D1471" s="12" t="s">
        <v>4</v>
      </c>
      <c r="E1471" s="12" t="s">
        <v>611</v>
      </c>
      <c r="F1471" s="13">
        <v>32.82</v>
      </c>
      <c r="G1471" s="12" t="s">
        <v>15</v>
      </c>
      <c r="H1471" s="12" t="str">
        <f t="shared" si="31"/>
        <v>Morning</v>
      </c>
      <c r="I1471" s="12" t="str">
        <f t="shared" si="32"/>
        <v>Fri</v>
      </c>
      <c r="J1471" s="12" t="str">
        <f t="shared" si="33"/>
        <v>Sep</v>
      </c>
      <c r="K1471" s="12">
        <f t="shared" si="34"/>
        <v>5</v>
      </c>
      <c r="L1471" s="12">
        <f t="shared" si="35"/>
        <v>9</v>
      </c>
    </row>
    <row r="1472" spans="1:12" x14ac:dyDescent="0.3">
      <c r="A1472" s="6">
        <v>45541</v>
      </c>
      <c r="B1472" s="7">
        <v>45541.474599421294</v>
      </c>
      <c r="C1472" s="8">
        <f t="shared" si="30"/>
        <v>11</v>
      </c>
      <c r="D1472" s="8" t="s">
        <v>4</v>
      </c>
      <c r="E1472" s="8" t="s">
        <v>115</v>
      </c>
      <c r="F1472" s="9">
        <v>18.12</v>
      </c>
      <c r="G1472" s="8" t="s">
        <v>41</v>
      </c>
      <c r="H1472" s="8" t="str">
        <f t="shared" si="31"/>
        <v>Morning</v>
      </c>
      <c r="I1472" s="8" t="str">
        <f t="shared" si="32"/>
        <v>Fri</v>
      </c>
      <c r="J1472" s="8" t="str">
        <f t="shared" si="33"/>
        <v>Sep</v>
      </c>
      <c r="K1472" s="8">
        <f t="shared" si="34"/>
        <v>5</v>
      </c>
      <c r="L1472" s="8">
        <f t="shared" si="35"/>
        <v>9</v>
      </c>
    </row>
    <row r="1473" spans="1:12" x14ac:dyDescent="0.3">
      <c r="A1473" s="10">
        <v>45541</v>
      </c>
      <c r="B1473" s="11">
        <v>45541.475338587959</v>
      </c>
      <c r="C1473" s="12">
        <f t="shared" si="30"/>
        <v>11</v>
      </c>
      <c r="D1473" s="12" t="s">
        <v>4</v>
      </c>
      <c r="E1473" s="12" t="s">
        <v>487</v>
      </c>
      <c r="F1473" s="13">
        <v>18.12</v>
      </c>
      <c r="G1473" s="12" t="s">
        <v>41</v>
      </c>
      <c r="H1473" s="12" t="str">
        <f t="shared" si="31"/>
        <v>Morning</v>
      </c>
      <c r="I1473" s="12" t="str">
        <f t="shared" si="32"/>
        <v>Fri</v>
      </c>
      <c r="J1473" s="12" t="str">
        <f t="shared" si="33"/>
        <v>Sep</v>
      </c>
      <c r="K1473" s="12">
        <f t="shared" si="34"/>
        <v>5</v>
      </c>
      <c r="L1473" s="12">
        <f t="shared" si="35"/>
        <v>9</v>
      </c>
    </row>
    <row r="1474" spans="1:12" x14ac:dyDescent="0.3">
      <c r="A1474" s="6">
        <v>45541</v>
      </c>
      <c r="B1474" s="7">
        <v>45541.833472511571</v>
      </c>
      <c r="C1474" s="8">
        <f t="shared" si="30"/>
        <v>20</v>
      </c>
      <c r="D1474" s="8" t="s">
        <v>4</v>
      </c>
      <c r="E1474" s="8" t="s">
        <v>303</v>
      </c>
      <c r="F1474" s="9">
        <v>32.82</v>
      </c>
      <c r="G1474" s="8" t="s">
        <v>13</v>
      </c>
      <c r="H1474" s="8" t="str">
        <f t="shared" si="31"/>
        <v>Night</v>
      </c>
      <c r="I1474" s="8" t="str">
        <f t="shared" si="32"/>
        <v>Fri</v>
      </c>
      <c r="J1474" s="8" t="str">
        <f t="shared" si="33"/>
        <v>Sep</v>
      </c>
      <c r="K1474" s="8">
        <f t="shared" si="34"/>
        <v>5</v>
      </c>
      <c r="L1474" s="8">
        <f t="shared" si="35"/>
        <v>9</v>
      </c>
    </row>
    <row r="1475" spans="1:12" x14ac:dyDescent="0.3">
      <c r="A1475" s="10">
        <v>45541</v>
      </c>
      <c r="B1475" s="11">
        <v>45541.881611655095</v>
      </c>
      <c r="C1475" s="12">
        <f t="shared" si="30"/>
        <v>21</v>
      </c>
      <c r="D1475" s="12" t="s">
        <v>4</v>
      </c>
      <c r="E1475" s="12" t="s">
        <v>527</v>
      </c>
      <c r="F1475" s="13">
        <v>32.82</v>
      </c>
      <c r="G1475" s="12" t="s">
        <v>13</v>
      </c>
      <c r="H1475" s="12" t="str">
        <f t="shared" si="31"/>
        <v>Night</v>
      </c>
      <c r="I1475" s="12" t="str">
        <f t="shared" si="32"/>
        <v>Fri</v>
      </c>
      <c r="J1475" s="12" t="str">
        <f t="shared" si="33"/>
        <v>Sep</v>
      </c>
      <c r="K1475" s="12">
        <f t="shared" si="34"/>
        <v>5</v>
      </c>
      <c r="L1475" s="12">
        <f t="shared" si="35"/>
        <v>9</v>
      </c>
    </row>
    <row r="1476" spans="1:12" x14ac:dyDescent="0.3">
      <c r="A1476" s="6">
        <v>45542</v>
      </c>
      <c r="B1476" s="7">
        <v>45542.367326550928</v>
      </c>
      <c r="C1476" s="8">
        <f t="shared" si="30"/>
        <v>8</v>
      </c>
      <c r="D1476" s="8" t="s">
        <v>4</v>
      </c>
      <c r="E1476" s="8" t="s">
        <v>612</v>
      </c>
      <c r="F1476" s="9">
        <v>32.82</v>
      </c>
      <c r="G1476" s="8" t="s">
        <v>13</v>
      </c>
      <c r="H1476" s="8" t="str">
        <f t="shared" si="31"/>
        <v>Morning</v>
      </c>
      <c r="I1476" s="8" t="str">
        <f t="shared" si="32"/>
        <v>Sat</v>
      </c>
      <c r="J1476" s="8" t="str">
        <f t="shared" si="33"/>
        <v>Sep</v>
      </c>
      <c r="K1476" s="8">
        <f t="shared" si="34"/>
        <v>6</v>
      </c>
      <c r="L1476" s="8">
        <f t="shared" si="35"/>
        <v>9</v>
      </c>
    </row>
    <row r="1477" spans="1:12" x14ac:dyDescent="0.3">
      <c r="A1477" s="10">
        <v>45542</v>
      </c>
      <c r="B1477" s="11">
        <v>45542.411145821759</v>
      </c>
      <c r="C1477" s="12">
        <f t="shared" si="30"/>
        <v>9</v>
      </c>
      <c r="D1477" s="12" t="s">
        <v>4</v>
      </c>
      <c r="E1477" s="12" t="s">
        <v>563</v>
      </c>
      <c r="F1477" s="13">
        <v>23.02</v>
      </c>
      <c r="G1477" s="12" t="s">
        <v>34</v>
      </c>
      <c r="H1477" s="12" t="str">
        <f t="shared" si="31"/>
        <v>Morning</v>
      </c>
      <c r="I1477" s="12" t="str">
        <f t="shared" si="32"/>
        <v>Sat</v>
      </c>
      <c r="J1477" s="12" t="str">
        <f t="shared" si="33"/>
        <v>Sep</v>
      </c>
      <c r="K1477" s="12">
        <f t="shared" si="34"/>
        <v>6</v>
      </c>
      <c r="L1477" s="12">
        <f t="shared" si="35"/>
        <v>9</v>
      </c>
    </row>
    <row r="1478" spans="1:12" x14ac:dyDescent="0.3">
      <c r="A1478" s="6">
        <v>45542</v>
      </c>
      <c r="B1478" s="7">
        <v>45542.411846932868</v>
      </c>
      <c r="C1478" s="8">
        <f t="shared" si="30"/>
        <v>9</v>
      </c>
      <c r="D1478" s="8" t="s">
        <v>4</v>
      </c>
      <c r="E1478" s="8" t="s">
        <v>563</v>
      </c>
      <c r="F1478" s="9">
        <v>23.02</v>
      </c>
      <c r="G1478" s="8" t="s">
        <v>34</v>
      </c>
      <c r="H1478" s="8" t="str">
        <f t="shared" si="31"/>
        <v>Morning</v>
      </c>
      <c r="I1478" s="8" t="str">
        <f t="shared" si="32"/>
        <v>Sat</v>
      </c>
      <c r="J1478" s="8" t="str">
        <f t="shared" si="33"/>
        <v>Sep</v>
      </c>
      <c r="K1478" s="8">
        <f t="shared" si="34"/>
        <v>6</v>
      </c>
      <c r="L1478" s="8">
        <f t="shared" si="35"/>
        <v>9</v>
      </c>
    </row>
    <row r="1479" spans="1:12" x14ac:dyDescent="0.3">
      <c r="A1479" s="10">
        <v>45542</v>
      </c>
      <c r="B1479" s="11">
        <v>45542.412981631947</v>
      </c>
      <c r="C1479" s="12">
        <f t="shared" si="30"/>
        <v>9</v>
      </c>
      <c r="D1479" s="12" t="s">
        <v>4</v>
      </c>
      <c r="E1479" s="12" t="s">
        <v>613</v>
      </c>
      <c r="F1479" s="13">
        <v>23.02</v>
      </c>
      <c r="G1479" s="12" t="s">
        <v>34</v>
      </c>
      <c r="H1479" s="12" t="str">
        <f t="shared" si="31"/>
        <v>Morning</v>
      </c>
      <c r="I1479" s="12" t="str">
        <f t="shared" si="32"/>
        <v>Sat</v>
      </c>
      <c r="J1479" s="12" t="str">
        <f t="shared" si="33"/>
        <v>Sep</v>
      </c>
      <c r="K1479" s="12">
        <f t="shared" si="34"/>
        <v>6</v>
      </c>
      <c r="L1479" s="12">
        <f t="shared" si="35"/>
        <v>9</v>
      </c>
    </row>
    <row r="1480" spans="1:12" x14ac:dyDescent="0.3">
      <c r="A1480" s="6">
        <v>45542</v>
      </c>
      <c r="B1480" s="7">
        <v>45542.415134861112</v>
      </c>
      <c r="C1480" s="8">
        <f t="shared" si="30"/>
        <v>9</v>
      </c>
      <c r="D1480" s="8" t="s">
        <v>4</v>
      </c>
      <c r="E1480" s="8" t="s">
        <v>296</v>
      </c>
      <c r="F1480" s="9">
        <v>27.92</v>
      </c>
      <c r="G1480" s="8" t="s">
        <v>20</v>
      </c>
      <c r="H1480" s="8" t="str">
        <f t="shared" si="31"/>
        <v>Morning</v>
      </c>
      <c r="I1480" s="8" t="str">
        <f t="shared" si="32"/>
        <v>Sat</v>
      </c>
      <c r="J1480" s="8" t="str">
        <f t="shared" si="33"/>
        <v>Sep</v>
      </c>
      <c r="K1480" s="8">
        <f t="shared" si="34"/>
        <v>6</v>
      </c>
      <c r="L1480" s="8">
        <f t="shared" si="35"/>
        <v>9</v>
      </c>
    </row>
    <row r="1481" spans="1:12" x14ac:dyDescent="0.3">
      <c r="A1481" s="10">
        <v>45542</v>
      </c>
      <c r="B1481" s="11">
        <v>45542.415998958335</v>
      </c>
      <c r="C1481" s="12">
        <f t="shared" si="30"/>
        <v>9</v>
      </c>
      <c r="D1481" s="12" t="s">
        <v>4</v>
      </c>
      <c r="E1481" s="12" t="s">
        <v>296</v>
      </c>
      <c r="F1481" s="13">
        <v>27.92</v>
      </c>
      <c r="G1481" s="12" t="s">
        <v>20</v>
      </c>
      <c r="H1481" s="12" t="str">
        <f t="shared" si="31"/>
        <v>Morning</v>
      </c>
      <c r="I1481" s="12" t="str">
        <f t="shared" si="32"/>
        <v>Sat</v>
      </c>
      <c r="J1481" s="12" t="str">
        <f t="shared" si="33"/>
        <v>Sep</v>
      </c>
      <c r="K1481" s="12">
        <f t="shared" si="34"/>
        <v>6</v>
      </c>
      <c r="L1481" s="12">
        <f t="shared" si="35"/>
        <v>9</v>
      </c>
    </row>
    <row r="1482" spans="1:12" x14ac:dyDescent="0.3">
      <c r="A1482" s="6">
        <v>45542</v>
      </c>
      <c r="B1482" s="7">
        <v>45542.416894479167</v>
      </c>
      <c r="C1482" s="8">
        <f t="shared" si="30"/>
        <v>10</v>
      </c>
      <c r="D1482" s="8" t="s">
        <v>4</v>
      </c>
      <c r="E1482" s="8" t="s">
        <v>161</v>
      </c>
      <c r="F1482" s="9">
        <v>23.02</v>
      </c>
      <c r="G1482" s="8" t="s">
        <v>34</v>
      </c>
      <c r="H1482" s="8" t="str">
        <f t="shared" si="31"/>
        <v>Morning</v>
      </c>
      <c r="I1482" s="8" t="str">
        <f t="shared" si="32"/>
        <v>Sat</v>
      </c>
      <c r="J1482" s="8" t="str">
        <f t="shared" si="33"/>
        <v>Sep</v>
      </c>
      <c r="K1482" s="8">
        <f t="shared" si="34"/>
        <v>6</v>
      </c>
      <c r="L1482" s="8">
        <f t="shared" si="35"/>
        <v>9</v>
      </c>
    </row>
    <row r="1483" spans="1:12" x14ac:dyDescent="0.3">
      <c r="A1483" s="10">
        <v>45542</v>
      </c>
      <c r="B1483" s="11">
        <v>45542.432459699077</v>
      </c>
      <c r="C1483" s="12">
        <f t="shared" si="30"/>
        <v>10</v>
      </c>
      <c r="D1483" s="12" t="s">
        <v>4</v>
      </c>
      <c r="E1483" s="12" t="s">
        <v>614</v>
      </c>
      <c r="F1483" s="13">
        <v>23.02</v>
      </c>
      <c r="G1483" s="12" t="s">
        <v>17</v>
      </c>
      <c r="H1483" s="12" t="str">
        <f t="shared" si="31"/>
        <v>Morning</v>
      </c>
      <c r="I1483" s="12" t="str">
        <f t="shared" si="32"/>
        <v>Sat</v>
      </c>
      <c r="J1483" s="12" t="str">
        <f t="shared" si="33"/>
        <v>Sep</v>
      </c>
      <c r="K1483" s="12">
        <f t="shared" si="34"/>
        <v>6</v>
      </c>
      <c r="L1483" s="12">
        <f t="shared" si="35"/>
        <v>9</v>
      </c>
    </row>
    <row r="1484" spans="1:12" x14ac:dyDescent="0.3">
      <c r="A1484" s="6">
        <v>45542</v>
      </c>
      <c r="B1484" s="7">
        <v>45542.442966840281</v>
      </c>
      <c r="C1484" s="8">
        <f t="shared" si="30"/>
        <v>10</v>
      </c>
      <c r="D1484" s="8" t="s">
        <v>4</v>
      </c>
      <c r="E1484" s="8" t="s">
        <v>615</v>
      </c>
      <c r="F1484" s="9">
        <v>18.12</v>
      </c>
      <c r="G1484" s="8" t="s">
        <v>41</v>
      </c>
      <c r="H1484" s="8" t="str">
        <f t="shared" si="31"/>
        <v>Morning</v>
      </c>
      <c r="I1484" s="8" t="str">
        <f t="shared" si="32"/>
        <v>Sat</v>
      </c>
      <c r="J1484" s="8" t="str">
        <f t="shared" si="33"/>
        <v>Sep</v>
      </c>
      <c r="K1484" s="8">
        <f t="shared" si="34"/>
        <v>6</v>
      </c>
      <c r="L1484" s="8">
        <f t="shared" si="35"/>
        <v>9</v>
      </c>
    </row>
    <row r="1485" spans="1:12" x14ac:dyDescent="0.3">
      <c r="A1485" s="10">
        <v>45542</v>
      </c>
      <c r="B1485" s="11">
        <v>45542.444590358798</v>
      </c>
      <c r="C1485" s="12">
        <f t="shared" si="30"/>
        <v>10</v>
      </c>
      <c r="D1485" s="12" t="s">
        <v>4</v>
      </c>
      <c r="E1485" s="12" t="s">
        <v>615</v>
      </c>
      <c r="F1485" s="13">
        <v>18.12</v>
      </c>
      <c r="G1485" s="12" t="s">
        <v>41</v>
      </c>
      <c r="H1485" s="12" t="str">
        <f t="shared" si="31"/>
        <v>Morning</v>
      </c>
      <c r="I1485" s="12" t="str">
        <f t="shared" si="32"/>
        <v>Sat</v>
      </c>
      <c r="J1485" s="12" t="str">
        <f t="shared" si="33"/>
        <v>Sep</v>
      </c>
      <c r="K1485" s="12">
        <f t="shared" si="34"/>
        <v>6</v>
      </c>
      <c r="L1485" s="12">
        <f t="shared" si="35"/>
        <v>9</v>
      </c>
    </row>
    <row r="1486" spans="1:12" x14ac:dyDescent="0.3">
      <c r="A1486" s="6">
        <v>45542</v>
      </c>
      <c r="B1486" s="7">
        <v>45542.453845150463</v>
      </c>
      <c r="C1486" s="8">
        <f t="shared" si="30"/>
        <v>10</v>
      </c>
      <c r="D1486" s="8" t="s">
        <v>4</v>
      </c>
      <c r="E1486" s="8" t="s">
        <v>616</v>
      </c>
      <c r="F1486" s="9">
        <v>32.82</v>
      </c>
      <c r="G1486" s="8" t="s">
        <v>13</v>
      </c>
      <c r="H1486" s="8" t="str">
        <f t="shared" si="31"/>
        <v>Morning</v>
      </c>
      <c r="I1486" s="8" t="str">
        <f t="shared" si="32"/>
        <v>Sat</v>
      </c>
      <c r="J1486" s="8" t="str">
        <f t="shared" si="33"/>
        <v>Sep</v>
      </c>
      <c r="K1486" s="8">
        <f t="shared" si="34"/>
        <v>6</v>
      </c>
      <c r="L1486" s="8">
        <f t="shared" si="35"/>
        <v>9</v>
      </c>
    </row>
    <row r="1487" spans="1:12" x14ac:dyDescent="0.3">
      <c r="A1487" s="10">
        <v>45542</v>
      </c>
      <c r="B1487" s="11">
        <v>45542.471490358796</v>
      </c>
      <c r="C1487" s="12">
        <f t="shared" si="30"/>
        <v>11</v>
      </c>
      <c r="D1487" s="12" t="s">
        <v>4</v>
      </c>
      <c r="E1487" s="12" t="s">
        <v>29</v>
      </c>
      <c r="F1487" s="13">
        <v>27.92</v>
      </c>
      <c r="G1487" s="12" t="s">
        <v>20</v>
      </c>
      <c r="H1487" s="12" t="str">
        <f t="shared" si="31"/>
        <v>Morning</v>
      </c>
      <c r="I1487" s="12" t="str">
        <f t="shared" si="32"/>
        <v>Sat</v>
      </c>
      <c r="J1487" s="12" t="str">
        <f t="shared" si="33"/>
        <v>Sep</v>
      </c>
      <c r="K1487" s="12">
        <f t="shared" si="34"/>
        <v>6</v>
      </c>
      <c r="L1487" s="12">
        <f t="shared" si="35"/>
        <v>9</v>
      </c>
    </row>
    <row r="1488" spans="1:12" x14ac:dyDescent="0.3">
      <c r="A1488" s="6">
        <v>45542</v>
      </c>
      <c r="B1488" s="7">
        <v>45542.472222476848</v>
      </c>
      <c r="C1488" s="8">
        <f t="shared" si="30"/>
        <v>11</v>
      </c>
      <c r="D1488" s="8" t="s">
        <v>4</v>
      </c>
      <c r="E1488" s="8" t="s">
        <v>37</v>
      </c>
      <c r="F1488" s="9">
        <v>23.02</v>
      </c>
      <c r="G1488" s="8" t="s">
        <v>17</v>
      </c>
      <c r="H1488" s="8" t="str">
        <f t="shared" si="31"/>
        <v>Morning</v>
      </c>
      <c r="I1488" s="8" t="str">
        <f t="shared" si="32"/>
        <v>Sat</v>
      </c>
      <c r="J1488" s="8" t="str">
        <f t="shared" si="33"/>
        <v>Sep</v>
      </c>
      <c r="K1488" s="8">
        <f t="shared" si="34"/>
        <v>6</v>
      </c>
      <c r="L1488" s="8">
        <f t="shared" si="35"/>
        <v>9</v>
      </c>
    </row>
    <row r="1489" spans="1:12" x14ac:dyDescent="0.3">
      <c r="A1489" s="10">
        <v>45542</v>
      </c>
      <c r="B1489" s="11">
        <v>45542.472883113427</v>
      </c>
      <c r="C1489" s="12">
        <f t="shared" si="30"/>
        <v>11</v>
      </c>
      <c r="D1489" s="12" t="s">
        <v>4</v>
      </c>
      <c r="E1489" s="12" t="s">
        <v>29</v>
      </c>
      <c r="F1489" s="13">
        <v>18.12</v>
      </c>
      <c r="G1489" s="12" t="s">
        <v>41</v>
      </c>
      <c r="H1489" s="12" t="str">
        <f t="shared" si="31"/>
        <v>Morning</v>
      </c>
      <c r="I1489" s="12" t="str">
        <f t="shared" si="32"/>
        <v>Sat</v>
      </c>
      <c r="J1489" s="12" t="str">
        <f t="shared" si="33"/>
        <v>Sep</v>
      </c>
      <c r="K1489" s="12">
        <f t="shared" si="34"/>
        <v>6</v>
      </c>
      <c r="L1489" s="12">
        <f t="shared" si="35"/>
        <v>9</v>
      </c>
    </row>
    <row r="1490" spans="1:12" x14ac:dyDescent="0.3">
      <c r="A1490" s="6">
        <v>45542</v>
      </c>
      <c r="B1490" s="7">
        <v>45542.663293206017</v>
      </c>
      <c r="C1490" s="8">
        <f t="shared" si="30"/>
        <v>15</v>
      </c>
      <c r="D1490" s="8" t="s">
        <v>4</v>
      </c>
      <c r="E1490" s="8" t="s">
        <v>617</v>
      </c>
      <c r="F1490" s="9">
        <v>32.82</v>
      </c>
      <c r="G1490" s="8" t="s">
        <v>13</v>
      </c>
      <c r="H1490" s="8" t="str">
        <f t="shared" si="31"/>
        <v>Afternoon</v>
      </c>
      <c r="I1490" s="8" t="str">
        <f t="shared" si="32"/>
        <v>Sat</v>
      </c>
      <c r="J1490" s="8" t="str">
        <f t="shared" si="33"/>
        <v>Sep</v>
      </c>
      <c r="K1490" s="8">
        <f t="shared" si="34"/>
        <v>6</v>
      </c>
      <c r="L1490" s="8">
        <f t="shared" si="35"/>
        <v>9</v>
      </c>
    </row>
    <row r="1491" spans="1:12" x14ac:dyDescent="0.3">
      <c r="A1491" s="10">
        <v>45542</v>
      </c>
      <c r="B1491" s="11">
        <v>45542.680567418982</v>
      </c>
      <c r="C1491" s="12">
        <f t="shared" si="30"/>
        <v>16</v>
      </c>
      <c r="D1491" s="12" t="s">
        <v>4</v>
      </c>
      <c r="E1491" s="12" t="s">
        <v>37</v>
      </c>
      <c r="F1491" s="13">
        <v>23.02</v>
      </c>
      <c r="G1491" s="12" t="s">
        <v>17</v>
      </c>
      <c r="H1491" s="12" t="str">
        <f t="shared" si="31"/>
        <v>Afternoon</v>
      </c>
      <c r="I1491" s="12" t="str">
        <f t="shared" si="32"/>
        <v>Sat</v>
      </c>
      <c r="J1491" s="12" t="str">
        <f t="shared" si="33"/>
        <v>Sep</v>
      </c>
      <c r="K1491" s="12">
        <f t="shared" si="34"/>
        <v>6</v>
      </c>
      <c r="L1491" s="12">
        <f t="shared" si="35"/>
        <v>9</v>
      </c>
    </row>
    <row r="1492" spans="1:12" x14ac:dyDescent="0.3">
      <c r="A1492" s="6">
        <v>45542</v>
      </c>
      <c r="B1492" s="7">
        <v>45542.681242037041</v>
      </c>
      <c r="C1492" s="8">
        <f t="shared" si="30"/>
        <v>16</v>
      </c>
      <c r="D1492" s="8" t="s">
        <v>4</v>
      </c>
      <c r="E1492" s="8" t="s">
        <v>29</v>
      </c>
      <c r="F1492" s="9">
        <v>18.12</v>
      </c>
      <c r="G1492" s="8" t="s">
        <v>41</v>
      </c>
      <c r="H1492" s="8" t="str">
        <f t="shared" si="31"/>
        <v>Afternoon</v>
      </c>
      <c r="I1492" s="8" t="str">
        <f t="shared" si="32"/>
        <v>Sat</v>
      </c>
      <c r="J1492" s="8" t="str">
        <f t="shared" si="33"/>
        <v>Sep</v>
      </c>
      <c r="K1492" s="8">
        <f t="shared" si="34"/>
        <v>6</v>
      </c>
      <c r="L1492" s="8">
        <f t="shared" si="35"/>
        <v>9</v>
      </c>
    </row>
    <row r="1493" spans="1:12" x14ac:dyDescent="0.3">
      <c r="A1493" s="10">
        <v>45542</v>
      </c>
      <c r="B1493" s="11">
        <v>45542.816029363428</v>
      </c>
      <c r="C1493" s="12">
        <f t="shared" si="30"/>
        <v>19</v>
      </c>
      <c r="D1493" s="12" t="s">
        <v>4</v>
      </c>
      <c r="E1493" s="12" t="s">
        <v>303</v>
      </c>
      <c r="F1493" s="13">
        <v>32.82</v>
      </c>
      <c r="G1493" s="12" t="s">
        <v>24</v>
      </c>
      <c r="H1493" s="12" t="str">
        <f t="shared" si="31"/>
        <v>Night</v>
      </c>
      <c r="I1493" s="12" t="str">
        <f t="shared" si="32"/>
        <v>Sat</v>
      </c>
      <c r="J1493" s="12" t="str">
        <f t="shared" si="33"/>
        <v>Sep</v>
      </c>
      <c r="K1493" s="12">
        <f t="shared" si="34"/>
        <v>6</v>
      </c>
      <c r="L1493" s="12">
        <f t="shared" si="35"/>
        <v>9</v>
      </c>
    </row>
    <row r="1494" spans="1:12" x14ac:dyDescent="0.3">
      <c r="A1494" s="6">
        <v>45542</v>
      </c>
      <c r="B1494" s="7">
        <v>45542.816725185185</v>
      </c>
      <c r="C1494" s="8">
        <f t="shared" si="30"/>
        <v>19</v>
      </c>
      <c r="D1494" s="8" t="s">
        <v>4</v>
      </c>
      <c r="E1494" s="8" t="s">
        <v>303</v>
      </c>
      <c r="F1494" s="9">
        <v>32.82</v>
      </c>
      <c r="G1494" s="8" t="s">
        <v>13</v>
      </c>
      <c r="H1494" s="8" t="str">
        <f t="shared" si="31"/>
        <v>Night</v>
      </c>
      <c r="I1494" s="8" t="str">
        <f t="shared" si="32"/>
        <v>Sat</v>
      </c>
      <c r="J1494" s="8" t="str">
        <f t="shared" si="33"/>
        <v>Sep</v>
      </c>
      <c r="K1494" s="8">
        <f t="shared" si="34"/>
        <v>6</v>
      </c>
      <c r="L1494" s="8">
        <f t="shared" si="35"/>
        <v>9</v>
      </c>
    </row>
    <row r="1495" spans="1:12" x14ac:dyDescent="0.3">
      <c r="A1495" s="10">
        <v>45542</v>
      </c>
      <c r="B1495" s="11">
        <v>45542.817540682867</v>
      </c>
      <c r="C1495" s="12">
        <f t="shared" si="30"/>
        <v>19</v>
      </c>
      <c r="D1495" s="12" t="s">
        <v>4</v>
      </c>
      <c r="E1495" s="12" t="s">
        <v>303</v>
      </c>
      <c r="F1495" s="13">
        <v>32.82</v>
      </c>
      <c r="G1495" s="12" t="s">
        <v>13</v>
      </c>
      <c r="H1495" s="12" t="str">
        <f t="shared" si="31"/>
        <v>Night</v>
      </c>
      <c r="I1495" s="12" t="str">
        <f t="shared" si="32"/>
        <v>Sat</v>
      </c>
      <c r="J1495" s="12" t="str">
        <f t="shared" si="33"/>
        <v>Sep</v>
      </c>
      <c r="K1495" s="12">
        <f t="shared" si="34"/>
        <v>6</v>
      </c>
      <c r="L1495" s="12">
        <f t="shared" si="35"/>
        <v>9</v>
      </c>
    </row>
    <row r="1496" spans="1:12" x14ac:dyDescent="0.3">
      <c r="A1496" s="6">
        <v>45542</v>
      </c>
      <c r="B1496" s="7">
        <v>45542.842959166665</v>
      </c>
      <c r="C1496" s="8">
        <f t="shared" si="30"/>
        <v>20</v>
      </c>
      <c r="D1496" s="8" t="s">
        <v>4</v>
      </c>
      <c r="E1496" s="8" t="s">
        <v>618</v>
      </c>
      <c r="F1496" s="9">
        <v>32.82</v>
      </c>
      <c r="G1496" s="8" t="s">
        <v>13</v>
      </c>
      <c r="H1496" s="8" t="str">
        <f t="shared" si="31"/>
        <v>Night</v>
      </c>
      <c r="I1496" s="8" t="str">
        <f t="shared" si="32"/>
        <v>Sat</v>
      </c>
      <c r="J1496" s="8" t="str">
        <f t="shared" si="33"/>
        <v>Sep</v>
      </c>
      <c r="K1496" s="8">
        <f t="shared" si="34"/>
        <v>6</v>
      </c>
      <c r="L1496" s="8">
        <f t="shared" si="35"/>
        <v>9</v>
      </c>
    </row>
    <row r="1497" spans="1:12" x14ac:dyDescent="0.3">
      <c r="A1497" s="10">
        <v>45542</v>
      </c>
      <c r="B1497" s="11">
        <v>45542.843740879631</v>
      </c>
      <c r="C1497" s="12">
        <f t="shared" si="30"/>
        <v>20</v>
      </c>
      <c r="D1497" s="12" t="s">
        <v>4</v>
      </c>
      <c r="E1497" s="12" t="s">
        <v>618</v>
      </c>
      <c r="F1497" s="13">
        <v>32.82</v>
      </c>
      <c r="G1497" s="12" t="s">
        <v>13</v>
      </c>
      <c r="H1497" s="12" t="str">
        <f t="shared" si="31"/>
        <v>Night</v>
      </c>
      <c r="I1497" s="12" t="str">
        <f t="shared" si="32"/>
        <v>Sat</v>
      </c>
      <c r="J1497" s="12" t="str">
        <f t="shared" si="33"/>
        <v>Sep</v>
      </c>
      <c r="K1497" s="12">
        <f t="shared" si="34"/>
        <v>6</v>
      </c>
      <c r="L1497" s="12">
        <f t="shared" si="35"/>
        <v>9</v>
      </c>
    </row>
    <row r="1498" spans="1:12" x14ac:dyDescent="0.3">
      <c r="A1498" s="6">
        <v>45543</v>
      </c>
      <c r="B1498" s="7">
        <v>45543.344222280095</v>
      </c>
      <c r="C1498" s="8">
        <f t="shared" si="30"/>
        <v>8</v>
      </c>
      <c r="D1498" s="8" t="s">
        <v>4</v>
      </c>
      <c r="E1498" s="8" t="s">
        <v>161</v>
      </c>
      <c r="F1498" s="9">
        <v>23.02</v>
      </c>
      <c r="G1498" s="8" t="s">
        <v>34</v>
      </c>
      <c r="H1498" s="8" t="str">
        <f t="shared" si="31"/>
        <v>Morning</v>
      </c>
      <c r="I1498" s="8" t="str">
        <f t="shared" si="32"/>
        <v>Sun</v>
      </c>
      <c r="J1498" s="8" t="str">
        <f t="shared" si="33"/>
        <v>Sep</v>
      </c>
      <c r="K1498" s="8">
        <f t="shared" si="34"/>
        <v>7</v>
      </c>
      <c r="L1498" s="8">
        <f t="shared" si="35"/>
        <v>9</v>
      </c>
    </row>
    <row r="1499" spans="1:12" x14ac:dyDescent="0.3">
      <c r="A1499" s="10">
        <v>45543</v>
      </c>
      <c r="B1499" s="11">
        <v>45543.387697071761</v>
      </c>
      <c r="C1499" s="12">
        <f t="shared" si="30"/>
        <v>9</v>
      </c>
      <c r="D1499" s="12" t="s">
        <v>4</v>
      </c>
      <c r="E1499" s="12" t="s">
        <v>563</v>
      </c>
      <c r="F1499" s="13">
        <v>23.02</v>
      </c>
      <c r="G1499" s="12" t="s">
        <v>34</v>
      </c>
      <c r="H1499" s="12" t="str">
        <f t="shared" si="31"/>
        <v>Morning</v>
      </c>
      <c r="I1499" s="12" t="str">
        <f t="shared" si="32"/>
        <v>Sun</v>
      </c>
      <c r="J1499" s="12" t="str">
        <f t="shared" si="33"/>
        <v>Sep</v>
      </c>
      <c r="K1499" s="12">
        <f t="shared" si="34"/>
        <v>7</v>
      </c>
      <c r="L1499" s="12">
        <f t="shared" si="35"/>
        <v>9</v>
      </c>
    </row>
    <row r="1500" spans="1:12" x14ac:dyDescent="0.3">
      <c r="A1500" s="6">
        <v>45543</v>
      </c>
      <c r="B1500" s="7">
        <v>45543.38833814815</v>
      </c>
      <c r="C1500" s="8">
        <f t="shared" si="30"/>
        <v>9</v>
      </c>
      <c r="D1500" s="8" t="s">
        <v>4</v>
      </c>
      <c r="E1500" s="8" t="s">
        <v>563</v>
      </c>
      <c r="F1500" s="9">
        <v>23.02</v>
      </c>
      <c r="G1500" s="8" t="s">
        <v>34</v>
      </c>
      <c r="H1500" s="8" t="str">
        <f t="shared" si="31"/>
        <v>Morning</v>
      </c>
      <c r="I1500" s="8" t="str">
        <f t="shared" si="32"/>
        <v>Sun</v>
      </c>
      <c r="J1500" s="8" t="str">
        <f t="shared" si="33"/>
        <v>Sep</v>
      </c>
      <c r="K1500" s="8">
        <f t="shared" si="34"/>
        <v>7</v>
      </c>
      <c r="L1500" s="8">
        <f t="shared" si="35"/>
        <v>9</v>
      </c>
    </row>
    <row r="1501" spans="1:12" x14ac:dyDescent="0.3">
      <c r="A1501" s="10">
        <v>45543</v>
      </c>
      <c r="B1501" s="11">
        <v>45543.420788715281</v>
      </c>
      <c r="C1501" s="12">
        <f t="shared" si="30"/>
        <v>10</v>
      </c>
      <c r="D1501" s="12" t="s">
        <v>4</v>
      </c>
      <c r="E1501" s="12" t="s">
        <v>563</v>
      </c>
      <c r="F1501" s="13">
        <v>23.02</v>
      </c>
      <c r="G1501" s="12" t="s">
        <v>34</v>
      </c>
      <c r="H1501" s="12" t="str">
        <f t="shared" si="31"/>
        <v>Morning</v>
      </c>
      <c r="I1501" s="12" t="str">
        <f t="shared" si="32"/>
        <v>Sun</v>
      </c>
      <c r="J1501" s="12" t="str">
        <f t="shared" si="33"/>
        <v>Sep</v>
      </c>
      <c r="K1501" s="12">
        <f t="shared" si="34"/>
        <v>7</v>
      </c>
      <c r="L1501" s="12">
        <f t="shared" si="35"/>
        <v>9</v>
      </c>
    </row>
    <row r="1502" spans="1:12" x14ac:dyDescent="0.3">
      <c r="A1502" s="6">
        <v>45543</v>
      </c>
      <c r="B1502" s="7">
        <v>45543.530185497686</v>
      </c>
      <c r="C1502" s="8">
        <f t="shared" si="30"/>
        <v>12</v>
      </c>
      <c r="D1502" s="8" t="s">
        <v>4</v>
      </c>
      <c r="E1502" s="8" t="s">
        <v>506</v>
      </c>
      <c r="F1502" s="9">
        <v>23.02</v>
      </c>
      <c r="G1502" s="8" t="s">
        <v>34</v>
      </c>
      <c r="H1502" s="8" t="str">
        <f t="shared" si="31"/>
        <v>Afternoon</v>
      </c>
      <c r="I1502" s="8" t="str">
        <f t="shared" si="32"/>
        <v>Sun</v>
      </c>
      <c r="J1502" s="8" t="str">
        <f t="shared" si="33"/>
        <v>Sep</v>
      </c>
      <c r="K1502" s="8">
        <f t="shared" si="34"/>
        <v>7</v>
      </c>
      <c r="L1502" s="8">
        <f t="shared" si="35"/>
        <v>9</v>
      </c>
    </row>
    <row r="1503" spans="1:12" x14ac:dyDescent="0.3">
      <c r="A1503" s="10">
        <v>45543</v>
      </c>
      <c r="B1503" s="11">
        <v>45543.84274148148</v>
      </c>
      <c r="C1503" s="12">
        <f t="shared" si="30"/>
        <v>20</v>
      </c>
      <c r="D1503" s="12" t="s">
        <v>4</v>
      </c>
      <c r="E1503" s="12" t="s">
        <v>367</v>
      </c>
      <c r="F1503" s="13">
        <v>23.02</v>
      </c>
      <c r="G1503" s="12" t="s">
        <v>17</v>
      </c>
      <c r="H1503" s="12" t="str">
        <f t="shared" si="31"/>
        <v>Night</v>
      </c>
      <c r="I1503" s="12" t="str">
        <f t="shared" si="32"/>
        <v>Sun</v>
      </c>
      <c r="J1503" s="12" t="str">
        <f t="shared" si="33"/>
        <v>Sep</v>
      </c>
      <c r="K1503" s="12">
        <f t="shared" si="34"/>
        <v>7</v>
      </c>
      <c r="L1503" s="12">
        <f t="shared" si="35"/>
        <v>9</v>
      </c>
    </row>
    <row r="1504" spans="1:12" x14ac:dyDescent="0.3">
      <c r="A1504" s="6">
        <v>45544</v>
      </c>
      <c r="B1504" s="7">
        <v>45544.327240324077</v>
      </c>
      <c r="C1504" s="8">
        <f t="shared" si="30"/>
        <v>7</v>
      </c>
      <c r="D1504" s="8" t="s">
        <v>4</v>
      </c>
      <c r="E1504" s="8" t="s">
        <v>619</v>
      </c>
      <c r="F1504" s="9">
        <v>32.82</v>
      </c>
      <c r="G1504" s="8" t="s">
        <v>13</v>
      </c>
      <c r="H1504" s="8" t="str">
        <f t="shared" si="31"/>
        <v>Morning</v>
      </c>
      <c r="I1504" s="8" t="str">
        <f t="shared" si="32"/>
        <v>Mon</v>
      </c>
      <c r="J1504" s="8" t="str">
        <f t="shared" si="33"/>
        <v>Sep</v>
      </c>
      <c r="K1504" s="8">
        <f t="shared" si="34"/>
        <v>1</v>
      </c>
      <c r="L1504" s="8">
        <f t="shared" si="35"/>
        <v>9</v>
      </c>
    </row>
    <row r="1505" spans="1:12" x14ac:dyDescent="0.3">
      <c r="A1505" s="10">
        <v>45544</v>
      </c>
      <c r="B1505" s="11">
        <v>45544.329068935185</v>
      </c>
      <c r="C1505" s="12">
        <f t="shared" si="30"/>
        <v>7</v>
      </c>
      <c r="D1505" s="12" t="s">
        <v>4</v>
      </c>
      <c r="E1505" s="12" t="s">
        <v>602</v>
      </c>
      <c r="F1505" s="13">
        <v>32.82</v>
      </c>
      <c r="G1505" s="12" t="s">
        <v>49</v>
      </c>
      <c r="H1505" s="12" t="str">
        <f t="shared" si="31"/>
        <v>Morning</v>
      </c>
      <c r="I1505" s="12" t="str">
        <f t="shared" si="32"/>
        <v>Mon</v>
      </c>
      <c r="J1505" s="12" t="str">
        <f t="shared" si="33"/>
        <v>Sep</v>
      </c>
      <c r="K1505" s="12">
        <f t="shared" si="34"/>
        <v>1</v>
      </c>
      <c r="L1505" s="12">
        <f t="shared" si="35"/>
        <v>9</v>
      </c>
    </row>
    <row r="1506" spans="1:12" x14ac:dyDescent="0.3">
      <c r="A1506" s="6">
        <v>45544</v>
      </c>
      <c r="B1506" s="7">
        <v>45544.330110925926</v>
      </c>
      <c r="C1506" s="8">
        <f t="shared" si="30"/>
        <v>7</v>
      </c>
      <c r="D1506" s="8" t="s">
        <v>4</v>
      </c>
      <c r="E1506" s="8" t="s">
        <v>619</v>
      </c>
      <c r="F1506" s="9">
        <v>27.92</v>
      </c>
      <c r="G1506" s="8" t="s">
        <v>20</v>
      </c>
      <c r="H1506" s="8" t="str">
        <f t="shared" si="31"/>
        <v>Morning</v>
      </c>
      <c r="I1506" s="8" t="str">
        <f t="shared" si="32"/>
        <v>Mon</v>
      </c>
      <c r="J1506" s="8" t="str">
        <f t="shared" si="33"/>
        <v>Sep</v>
      </c>
      <c r="K1506" s="8">
        <f t="shared" si="34"/>
        <v>1</v>
      </c>
      <c r="L1506" s="8">
        <f t="shared" si="35"/>
        <v>9</v>
      </c>
    </row>
    <row r="1507" spans="1:12" x14ac:dyDescent="0.3">
      <c r="A1507" s="10">
        <v>45544</v>
      </c>
      <c r="B1507" s="11">
        <v>45544.330991539355</v>
      </c>
      <c r="C1507" s="12">
        <f t="shared" si="30"/>
        <v>7</v>
      </c>
      <c r="D1507" s="12" t="s">
        <v>4</v>
      </c>
      <c r="E1507" s="12" t="s">
        <v>590</v>
      </c>
      <c r="F1507" s="13">
        <v>32.82</v>
      </c>
      <c r="G1507" s="12" t="s">
        <v>13</v>
      </c>
      <c r="H1507" s="12" t="str">
        <f t="shared" si="31"/>
        <v>Morning</v>
      </c>
      <c r="I1507" s="12" t="str">
        <f t="shared" si="32"/>
        <v>Mon</v>
      </c>
      <c r="J1507" s="12" t="str">
        <f t="shared" si="33"/>
        <v>Sep</v>
      </c>
      <c r="K1507" s="12">
        <f t="shared" si="34"/>
        <v>1</v>
      </c>
      <c r="L1507" s="12">
        <f t="shared" si="35"/>
        <v>9</v>
      </c>
    </row>
    <row r="1508" spans="1:12" x14ac:dyDescent="0.3">
      <c r="A1508" s="6">
        <v>45544</v>
      </c>
      <c r="B1508" s="7">
        <v>45544.409614629629</v>
      </c>
      <c r="C1508" s="8">
        <f t="shared" si="30"/>
        <v>9</v>
      </c>
      <c r="D1508" s="8" t="s">
        <v>4</v>
      </c>
      <c r="E1508" s="8" t="s">
        <v>603</v>
      </c>
      <c r="F1508" s="9">
        <v>32.82</v>
      </c>
      <c r="G1508" s="8" t="s">
        <v>13</v>
      </c>
      <c r="H1508" s="8" t="str">
        <f t="shared" si="31"/>
        <v>Morning</v>
      </c>
      <c r="I1508" s="8" t="str">
        <f t="shared" si="32"/>
        <v>Mon</v>
      </c>
      <c r="J1508" s="8" t="str">
        <f t="shared" si="33"/>
        <v>Sep</v>
      </c>
      <c r="K1508" s="8">
        <f t="shared" si="34"/>
        <v>1</v>
      </c>
      <c r="L1508" s="8">
        <f t="shared" si="35"/>
        <v>9</v>
      </c>
    </row>
    <row r="1509" spans="1:12" x14ac:dyDescent="0.3">
      <c r="A1509" s="10">
        <v>45544</v>
      </c>
      <c r="B1509" s="11">
        <v>45544.410321041665</v>
      </c>
      <c r="C1509" s="12">
        <f t="shared" si="30"/>
        <v>9</v>
      </c>
      <c r="D1509" s="12" t="s">
        <v>4</v>
      </c>
      <c r="E1509" s="12" t="s">
        <v>603</v>
      </c>
      <c r="F1509" s="13">
        <v>32.82</v>
      </c>
      <c r="G1509" s="12" t="s">
        <v>15</v>
      </c>
      <c r="H1509" s="12" t="str">
        <f t="shared" si="31"/>
        <v>Morning</v>
      </c>
      <c r="I1509" s="12" t="str">
        <f t="shared" si="32"/>
        <v>Mon</v>
      </c>
      <c r="J1509" s="12" t="str">
        <f t="shared" si="33"/>
        <v>Sep</v>
      </c>
      <c r="K1509" s="12">
        <f t="shared" si="34"/>
        <v>1</v>
      </c>
      <c r="L1509" s="12">
        <f t="shared" si="35"/>
        <v>9</v>
      </c>
    </row>
    <row r="1510" spans="1:12" x14ac:dyDescent="0.3">
      <c r="A1510" s="6">
        <v>45544</v>
      </c>
      <c r="B1510" s="7">
        <v>45544.416096643516</v>
      </c>
      <c r="C1510" s="8">
        <f t="shared" si="30"/>
        <v>9</v>
      </c>
      <c r="D1510" s="8" t="s">
        <v>4</v>
      </c>
      <c r="E1510" s="8" t="s">
        <v>514</v>
      </c>
      <c r="F1510" s="9">
        <v>32.82</v>
      </c>
      <c r="G1510" s="8" t="s">
        <v>13</v>
      </c>
      <c r="H1510" s="8" t="str">
        <f t="shared" si="31"/>
        <v>Morning</v>
      </c>
      <c r="I1510" s="8" t="str">
        <f t="shared" si="32"/>
        <v>Mon</v>
      </c>
      <c r="J1510" s="8" t="str">
        <f t="shared" si="33"/>
        <v>Sep</v>
      </c>
      <c r="K1510" s="8">
        <f t="shared" si="34"/>
        <v>1</v>
      </c>
      <c r="L1510" s="8">
        <f t="shared" si="35"/>
        <v>9</v>
      </c>
    </row>
    <row r="1511" spans="1:12" x14ac:dyDescent="0.3">
      <c r="A1511" s="10">
        <v>45544</v>
      </c>
      <c r="B1511" s="11">
        <v>45544.466390300928</v>
      </c>
      <c r="C1511" s="12">
        <f t="shared" si="30"/>
        <v>11</v>
      </c>
      <c r="D1511" s="12" t="s">
        <v>4</v>
      </c>
      <c r="E1511" s="12" t="s">
        <v>620</v>
      </c>
      <c r="F1511" s="13">
        <v>27.92</v>
      </c>
      <c r="G1511" s="12" t="s">
        <v>20</v>
      </c>
      <c r="H1511" s="12" t="str">
        <f t="shared" si="31"/>
        <v>Morning</v>
      </c>
      <c r="I1511" s="12" t="str">
        <f t="shared" si="32"/>
        <v>Mon</v>
      </c>
      <c r="J1511" s="12" t="str">
        <f t="shared" si="33"/>
        <v>Sep</v>
      </c>
      <c r="K1511" s="12">
        <f t="shared" si="34"/>
        <v>1</v>
      </c>
      <c r="L1511" s="12">
        <f t="shared" si="35"/>
        <v>9</v>
      </c>
    </row>
    <row r="1512" spans="1:12" x14ac:dyDescent="0.3">
      <c r="A1512" s="6">
        <v>45544</v>
      </c>
      <c r="B1512" s="7">
        <v>45544.46725277778</v>
      </c>
      <c r="C1512" s="8">
        <f t="shared" si="30"/>
        <v>11</v>
      </c>
      <c r="D1512" s="8" t="s">
        <v>4</v>
      </c>
      <c r="E1512" s="8" t="s">
        <v>621</v>
      </c>
      <c r="F1512" s="9">
        <v>27.92</v>
      </c>
      <c r="G1512" s="8" t="s">
        <v>20</v>
      </c>
      <c r="H1512" s="8" t="str">
        <f t="shared" si="31"/>
        <v>Morning</v>
      </c>
      <c r="I1512" s="8" t="str">
        <f t="shared" si="32"/>
        <v>Mon</v>
      </c>
      <c r="J1512" s="8" t="str">
        <f t="shared" si="33"/>
        <v>Sep</v>
      </c>
      <c r="K1512" s="8">
        <f t="shared" si="34"/>
        <v>1</v>
      </c>
      <c r="L1512" s="8">
        <f t="shared" si="35"/>
        <v>9</v>
      </c>
    </row>
    <row r="1513" spans="1:12" x14ac:dyDescent="0.3">
      <c r="A1513" s="10">
        <v>45544</v>
      </c>
      <c r="B1513" s="11">
        <v>45544.479042164348</v>
      </c>
      <c r="C1513" s="12">
        <f t="shared" si="30"/>
        <v>11</v>
      </c>
      <c r="D1513" s="12" t="s">
        <v>4</v>
      </c>
      <c r="E1513" s="12" t="s">
        <v>622</v>
      </c>
      <c r="F1513" s="13">
        <v>32.82</v>
      </c>
      <c r="G1513" s="12" t="s">
        <v>13</v>
      </c>
      <c r="H1513" s="12" t="str">
        <f t="shared" si="31"/>
        <v>Morning</v>
      </c>
      <c r="I1513" s="12" t="str">
        <f t="shared" si="32"/>
        <v>Mon</v>
      </c>
      <c r="J1513" s="12" t="str">
        <f t="shared" si="33"/>
        <v>Sep</v>
      </c>
      <c r="K1513" s="12">
        <f t="shared" si="34"/>
        <v>1</v>
      </c>
      <c r="L1513" s="12">
        <f t="shared" si="35"/>
        <v>9</v>
      </c>
    </row>
    <row r="1514" spans="1:12" x14ac:dyDescent="0.3">
      <c r="A1514" s="6">
        <v>45544</v>
      </c>
      <c r="B1514" s="7">
        <v>45544.504857141204</v>
      </c>
      <c r="C1514" s="8">
        <f t="shared" si="30"/>
        <v>12</v>
      </c>
      <c r="D1514" s="8" t="s">
        <v>4</v>
      </c>
      <c r="E1514" s="8" t="s">
        <v>623</v>
      </c>
      <c r="F1514" s="9">
        <v>18.12</v>
      </c>
      <c r="G1514" s="8" t="s">
        <v>41</v>
      </c>
      <c r="H1514" s="8" t="str">
        <f t="shared" si="31"/>
        <v>Afternoon</v>
      </c>
      <c r="I1514" s="8" t="str">
        <f t="shared" si="32"/>
        <v>Mon</v>
      </c>
      <c r="J1514" s="8" t="str">
        <f t="shared" si="33"/>
        <v>Sep</v>
      </c>
      <c r="K1514" s="8">
        <f t="shared" si="34"/>
        <v>1</v>
      </c>
      <c r="L1514" s="8">
        <f t="shared" si="35"/>
        <v>9</v>
      </c>
    </row>
    <row r="1515" spans="1:12" x14ac:dyDescent="0.3">
      <c r="A1515" s="10">
        <v>45544</v>
      </c>
      <c r="B1515" s="11">
        <v>45544.63349266204</v>
      </c>
      <c r="C1515" s="12">
        <f t="shared" si="30"/>
        <v>15</v>
      </c>
      <c r="D1515" s="12" t="s">
        <v>4</v>
      </c>
      <c r="E1515" s="12" t="s">
        <v>624</v>
      </c>
      <c r="F1515" s="13">
        <v>32.82</v>
      </c>
      <c r="G1515" s="12" t="s">
        <v>13</v>
      </c>
      <c r="H1515" s="12" t="str">
        <f t="shared" si="31"/>
        <v>Afternoon</v>
      </c>
      <c r="I1515" s="12" t="str">
        <f t="shared" si="32"/>
        <v>Mon</v>
      </c>
      <c r="J1515" s="12" t="str">
        <f t="shared" si="33"/>
        <v>Sep</v>
      </c>
      <c r="K1515" s="12">
        <f t="shared" si="34"/>
        <v>1</v>
      </c>
      <c r="L1515" s="12">
        <f t="shared" si="35"/>
        <v>9</v>
      </c>
    </row>
    <row r="1516" spans="1:12" x14ac:dyDescent="0.3">
      <c r="A1516" s="6">
        <v>45544</v>
      </c>
      <c r="B1516" s="7">
        <v>45544.634311539354</v>
      </c>
      <c r="C1516" s="8">
        <f t="shared" si="30"/>
        <v>15</v>
      </c>
      <c r="D1516" s="8" t="s">
        <v>4</v>
      </c>
      <c r="E1516" s="8" t="s">
        <v>624</v>
      </c>
      <c r="F1516" s="9">
        <v>23.02</v>
      </c>
      <c r="G1516" s="8" t="s">
        <v>17</v>
      </c>
      <c r="H1516" s="8" t="str">
        <f t="shared" si="31"/>
        <v>Afternoon</v>
      </c>
      <c r="I1516" s="8" t="str">
        <f t="shared" si="32"/>
        <v>Mon</v>
      </c>
      <c r="J1516" s="8" t="str">
        <f t="shared" si="33"/>
        <v>Sep</v>
      </c>
      <c r="K1516" s="8">
        <f t="shared" si="34"/>
        <v>1</v>
      </c>
      <c r="L1516" s="8">
        <f t="shared" si="35"/>
        <v>9</v>
      </c>
    </row>
    <row r="1517" spans="1:12" x14ac:dyDescent="0.3">
      <c r="A1517" s="10">
        <v>45544</v>
      </c>
      <c r="B1517" s="11">
        <v>45544.72512023148</v>
      </c>
      <c r="C1517" s="12">
        <f t="shared" si="30"/>
        <v>17</v>
      </c>
      <c r="D1517" s="12" t="s">
        <v>4</v>
      </c>
      <c r="E1517" s="12" t="s">
        <v>625</v>
      </c>
      <c r="F1517" s="13">
        <v>32.82</v>
      </c>
      <c r="G1517" s="12" t="s">
        <v>13</v>
      </c>
      <c r="H1517" s="12" t="str">
        <f t="shared" si="31"/>
        <v>Night</v>
      </c>
      <c r="I1517" s="12" t="str">
        <f t="shared" si="32"/>
        <v>Mon</v>
      </c>
      <c r="J1517" s="12" t="str">
        <f t="shared" si="33"/>
        <v>Sep</v>
      </c>
      <c r="K1517" s="12">
        <f t="shared" si="34"/>
        <v>1</v>
      </c>
      <c r="L1517" s="12">
        <f t="shared" si="35"/>
        <v>9</v>
      </c>
    </row>
    <row r="1518" spans="1:12" x14ac:dyDescent="0.3">
      <c r="A1518" s="6">
        <v>45544</v>
      </c>
      <c r="B1518" s="7">
        <v>45544.759563888889</v>
      </c>
      <c r="C1518" s="8">
        <f t="shared" si="30"/>
        <v>18</v>
      </c>
      <c r="D1518" s="8" t="s">
        <v>4</v>
      </c>
      <c r="E1518" s="8" t="s">
        <v>527</v>
      </c>
      <c r="F1518" s="9">
        <v>32.82</v>
      </c>
      <c r="G1518" s="8" t="s">
        <v>13</v>
      </c>
      <c r="H1518" s="8" t="str">
        <f t="shared" si="31"/>
        <v>Night</v>
      </c>
      <c r="I1518" s="8" t="str">
        <f t="shared" si="32"/>
        <v>Mon</v>
      </c>
      <c r="J1518" s="8" t="str">
        <f t="shared" si="33"/>
        <v>Sep</v>
      </c>
      <c r="K1518" s="8">
        <f t="shared" si="34"/>
        <v>1</v>
      </c>
      <c r="L1518" s="8">
        <f t="shared" si="35"/>
        <v>9</v>
      </c>
    </row>
    <row r="1519" spans="1:12" x14ac:dyDescent="0.3">
      <c r="A1519" s="10">
        <v>45544</v>
      </c>
      <c r="B1519" s="11">
        <v>45544.838613402775</v>
      </c>
      <c r="C1519" s="12">
        <f t="shared" si="30"/>
        <v>20</v>
      </c>
      <c r="D1519" s="12" t="s">
        <v>4</v>
      </c>
      <c r="E1519" s="12" t="s">
        <v>288</v>
      </c>
      <c r="F1519" s="13">
        <v>32.82</v>
      </c>
      <c r="G1519" s="12" t="s">
        <v>49</v>
      </c>
      <c r="H1519" s="12" t="str">
        <f t="shared" si="31"/>
        <v>Night</v>
      </c>
      <c r="I1519" s="12" t="str">
        <f t="shared" si="32"/>
        <v>Mon</v>
      </c>
      <c r="J1519" s="12" t="str">
        <f t="shared" si="33"/>
        <v>Sep</v>
      </c>
      <c r="K1519" s="12">
        <f t="shared" si="34"/>
        <v>1</v>
      </c>
      <c r="L1519" s="12">
        <f t="shared" si="35"/>
        <v>9</v>
      </c>
    </row>
    <row r="1520" spans="1:12" x14ac:dyDescent="0.3">
      <c r="A1520" s="6">
        <v>45544</v>
      </c>
      <c r="B1520" s="7">
        <v>45544.842864861108</v>
      </c>
      <c r="C1520" s="8">
        <f t="shared" si="30"/>
        <v>20</v>
      </c>
      <c r="D1520" s="8" t="s">
        <v>4</v>
      </c>
      <c r="E1520" s="8" t="s">
        <v>626</v>
      </c>
      <c r="F1520" s="9">
        <v>32.82</v>
      </c>
      <c r="G1520" s="8" t="s">
        <v>13</v>
      </c>
      <c r="H1520" s="8" t="str">
        <f t="shared" si="31"/>
        <v>Night</v>
      </c>
      <c r="I1520" s="8" t="str">
        <f t="shared" si="32"/>
        <v>Mon</v>
      </c>
      <c r="J1520" s="8" t="str">
        <f t="shared" si="33"/>
        <v>Sep</v>
      </c>
      <c r="K1520" s="8">
        <f t="shared" si="34"/>
        <v>1</v>
      </c>
      <c r="L1520" s="8">
        <f t="shared" si="35"/>
        <v>9</v>
      </c>
    </row>
    <row r="1521" spans="1:12" x14ac:dyDescent="0.3">
      <c r="A1521" s="10">
        <v>45545</v>
      </c>
      <c r="B1521" s="11">
        <v>45545.341695023148</v>
      </c>
      <c r="C1521" s="12">
        <f t="shared" si="30"/>
        <v>8</v>
      </c>
      <c r="D1521" s="12" t="s">
        <v>4</v>
      </c>
      <c r="E1521" s="12" t="s">
        <v>627</v>
      </c>
      <c r="F1521" s="13">
        <v>32.82</v>
      </c>
      <c r="G1521" s="12" t="s">
        <v>15</v>
      </c>
      <c r="H1521" s="12" t="str">
        <f t="shared" si="31"/>
        <v>Morning</v>
      </c>
      <c r="I1521" s="12" t="str">
        <f t="shared" si="32"/>
        <v>Tue</v>
      </c>
      <c r="J1521" s="12" t="str">
        <f t="shared" si="33"/>
        <v>Sep</v>
      </c>
      <c r="K1521" s="12">
        <f t="shared" si="34"/>
        <v>2</v>
      </c>
      <c r="L1521" s="12">
        <f t="shared" si="35"/>
        <v>9</v>
      </c>
    </row>
    <row r="1522" spans="1:12" x14ac:dyDescent="0.3">
      <c r="A1522" s="6">
        <v>45545</v>
      </c>
      <c r="B1522" s="7">
        <v>45545.397763726854</v>
      </c>
      <c r="C1522" s="8">
        <f t="shared" si="30"/>
        <v>9</v>
      </c>
      <c r="D1522" s="8" t="s">
        <v>4</v>
      </c>
      <c r="E1522" s="8" t="s">
        <v>628</v>
      </c>
      <c r="F1522" s="9">
        <v>32.82</v>
      </c>
      <c r="G1522" s="8" t="s">
        <v>49</v>
      </c>
      <c r="H1522" s="8" t="str">
        <f t="shared" si="31"/>
        <v>Morning</v>
      </c>
      <c r="I1522" s="8" t="str">
        <f t="shared" si="32"/>
        <v>Tue</v>
      </c>
      <c r="J1522" s="8" t="str">
        <f t="shared" si="33"/>
        <v>Sep</v>
      </c>
      <c r="K1522" s="8">
        <f t="shared" si="34"/>
        <v>2</v>
      </c>
      <c r="L1522" s="8">
        <f t="shared" si="35"/>
        <v>9</v>
      </c>
    </row>
    <row r="1523" spans="1:12" x14ac:dyDescent="0.3">
      <c r="A1523" s="10">
        <v>45545</v>
      </c>
      <c r="B1523" s="11">
        <v>45545.640212812497</v>
      </c>
      <c r="C1523" s="12">
        <f t="shared" si="30"/>
        <v>15</v>
      </c>
      <c r="D1523" s="12" t="s">
        <v>4</v>
      </c>
      <c r="E1523" s="12" t="s">
        <v>563</v>
      </c>
      <c r="F1523" s="13">
        <v>23.02</v>
      </c>
      <c r="G1523" s="12" t="s">
        <v>34</v>
      </c>
      <c r="H1523" s="12" t="str">
        <f t="shared" si="31"/>
        <v>Afternoon</v>
      </c>
      <c r="I1523" s="12" t="str">
        <f t="shared" si="32"/>
        <v>Tue</v>
      </c>
      <c r="J1523" s="12" t="str">
        <f t="shared" si="33"/>
        <v>Sep</v>
      </c>
      <c r="K1523" s="12">
        <f t="shared" si="34"/>
        <v>2</v>
      </c>
      <c r="L1523" s="12">
        <f t="shared" si="35"/>
        <v>9</v>
      </c>
    </row>
    <row r="1524" spans="1:12" x14ac:dyDescent="0.3">
      <c r="A1524" s="6">
        <v>45545</v>
      </c>
      <c r="B1524" s="7">
        <v>45545.641041041665</v>
      </c>
      <c r="C1524" s="8">
        <f t="shared" si="30"/>
        <v>15</v>
      </c>
      <c r="D1524" s="8" t="s">
        <v>4</v>
      </c>
      <c r="E1524" s="8" t="s">
        <v>563</v>
      </c>
      <c r="F1524" s="9">
        <v>23.02</v>
      </c>
      <c r="G1524" s="8" t="s">
        <v>34</v>
      </c>
      <c r="H1524" s="8" t="str">
        <f t="shared" si="31"/>
        <v>Afternoon</v>
      </c>
      <c r="I1524" s="8" t="str">
        <f t="shared" si="32"/>
        <v>Tue</v>
      </c>
      <c r="J1524" s="8" t="str">
        <f t="shared" si="33"/>
        <v>Sep</v>
      </c>
      <c r="K1524" s="8">
        <f t="shared" si="34"/>
        <v>2</v>
      </c>
      <c r="L1524" s="8">
        <f t="shared" si="35"/>
        <v>9</v>
      </c>
    </row>
    <row r="1525" spans="1:12" x14ac:dyDescent="0.3">
      <c r="A1525" s="10">
        <v>45545</v>
      </c>
      <c r="B1525" s="11">
        <v>45545.780344444443</v>
      </c>
      <c r="C1525" s="12">
        <f t="shared" si="30"/>
        <v>18</v>
      </c>
      <c r="D1525" s="12" t="s">
        <v>4</v>
      </c>
      <c r="E1525" s="12" t="s">
        <v>629</v>
      </c>
      <c r="F1525" s="13">
        <v>32.82</v>
      </c>
      <c r="G1525" s="12" t="s">
        <v>49</v>
      </c>
      <c r="H1525" s="12" t="str">
        <f t="shared" si="31"/>
        <v>Night</v>
      </c>
      <c r="I1525" s="12" t="str">
        <f t="shared" si="32"/>
        <v>Tue</v>
      </c>
      <c r="J1525" s="12" t="str">
        <f t="shared" si="33"/>
        <v>Sep</v>
      </c>
      <c r="K1525" s="12">
        <f t="shared" si="34"/>
        <v>2</v>
      </c>
      <c r="L1525" s="12">
        <f t="shared" si="35"/>
        <v>9</v>
      </c>
    </row>
    <row r="1526" spans="1:12" x14ac:dyDescent="0.3">
      <c r="A1526" s="6">
        <v>45545</v>
      </c>
      <c r="B1526" s="7">
        <v>45545.781511851848</v>
      </c>
      <c r="C1526" s="8">
        <f t="shared" si="30"/>
        <v>18</v>
      </c>
      <c r="D1526" s="8" t="s">
        <v>4</v>
      </c>
      <c r="E1526" s="8" t="s">
        <v>630</v>
      </c>
      <c r="F1526" s="9">
        <v>27.92</v>
      </c>
      <c r="G1526" s="8" t="s">
        <v>20</v>
      </c>
      <c r="H1526" s="8" t="str">
        <f t="shared" si="31"/>
        <v>Night</v>
      </c>
      <c r="I1526" s="8" t="str">
        <f t="shared" si="32"/>
        <v>Tue</v>
      </c>
      <c r="J1526" s="8" t="str">
        <f t="shared" si="33"/>
        <v>Sep</v>
      </c>
      <c r="K1526" s="8">
        <f t="shared" si="34"/>
        <v>2</v>
      </c>
      <c r="L1526" s="8">
        <f t="shared" si="35"/>
        <v>9</v>
      </c>
    </row>
    <row r="1527" spans="1:12" x14ac:dyDescent="0.3">
      <c r="A1527" s="10">
        <v>45545</v>
      </c>
      <c r="B1527" s="11">
        <v>45545.793553553238</v>
      </c>
      <c r="C1527" s="12">
        <f t="shared" si="30"/>
        <v>19</v>
      </c>
      <c r="D1527" s="12" t="s">
        <v>4</v>
      </c>
      <c r="E1527" s="12" t="s">
        <v>631</v>
      </c>
      <c r="F1527" s="13">
        <v>32.82</v>
      </c>
      <c r="G1527" s="12" t="s">
        <v>13</v>
      </c>
      <c r="H1527" s="12" t="str">
        <f t="shared" si="31"/>
        <v>Night</v>
      </c>
      <c r="I1527" s="12" t="str">
        <f t="shared" si="32"/>
        <v>Tue</v>
      </c>
      <c r="J1527" s="12" t="str">
        <f t="shared" si="33"/>
        <v>Sep</v>
      </c>
      <c r="K1527" s="12">
        <f t="shared" si="34"/>
        <v>2</v>
      </c>
      <c r="L1527" s="12">
        <f t="shared" si="35"/>
        <v>9</v>
      </c>
    </row>
    <row r="1528" spans="1:12" x14ac:dyDescent="0.3">
      <c r="A1528" s="6">
        <v>45545</v>
      </c>
      <c r="B1528" s="7">
        <v>45545.794366400463</v>
      </c>
      <c r="C1528" s="8">
        <f t="shared" si="30"/>
        <v>19</v>
      </c>
      <c r="D1528" s="8" t="s">
        <v>4</v>
      </c>
      <c r="E1528" s="8" t="s">
        <v>631</v>
      </c>
      <c r="F1528" s="9">
        <v>32.82</v>
      </c>
      <c r="G1528" s="8" t="s">
        <v>13</v>
      </c>
      <c r="H1528" s="8" t="str">
        <f t="shared" si="31"/>
        <v>Night</v>
      </c>
      <c r="I1528" s="8" t="str">
        <f t="shared" si="32"/>
        <v>Tue</v>
      </c>
      <c r="J1528" s="8" t="str">
        <f t="shared" si="33"/>
        <v>Sep</v>
      </c>
      <c r="K1528" s="8">
        <f t="shared" si="34"/>
        <v>2</v>
      </c>
      <c r="L1528" s="8">
        <f t="shared" si="35"/>
        <v>9</v>
      </c>
    </row>
    <row r="1529" spans="1:12" x14ac:dyDescent="0.3">
      <c r="A1529" s="10">
        <v>45545</v>
      </c>
      <c r="B1529" s="11">
        <v>45545.895538842589</v>
      </c>
      <c r="C1529" s="12">
        <f t="shared" si="30"/>
        <v>21</v>
      </c>
      <c r="D1529" s="12" t="s">
        <v>4</v>
      </c>
      <c r="E1529" s="12" t="s">
        <v>29</v>
      </c>
      <c r="F1529" s="13">
        <v>27.92</v>
      </c>
      <c r="G1529" s="12" t="s">
        <v>20</v>
      </c>
      <c r="H1529" s="12" t="str">
        <f t="shared" si="31"/>
        <v>Night</v>
      </c>
      <c r="I1529" s="12" t="str">
        <f t="shared" si="32"/>
        <v>Tue</v>
      </c>
      <c r="J1529" s="12" t="str">
        <f t="shared" si="33"/>
        <v>Sep</v>
      </c>
      <c r="K1529" s="12">
        <f t="shared" si="34"/>
        <v>2</v>
      </c>
      <c r="L1529" s="12">
        <f t="shared" si="35"/>
        <v>9</v>
      </c>
    </row>
    <row r="1530" spans="1:12" x14ac:dyDescent="0.3">
      <c r="A1530" s="6">
        <v>45545</v>
      </c>
      <c r="B1530" s="7">
        <v>45545.896146250001</v>
      </c>
      <c r="C1530" s="8">
        <f t="shared" si="30"/>
        <v>21</v>
      </c>
      <c r="D1530" s="8" t="s">
        <v>4</v>
      </c>
      <c r="E1530" s="8" t="s">
        <v>29</v>
      </c>
      <c r="F1530" s="9">
        <v>23.02</v>
      </c>
      <c r="G1530" s="8" t="s">
        <v>17</v>
      </c>
      <c r="H1530" s="8" t="str">
        <f t="shared" si="31"/>
        <v>Night</v>
      </c>
      <c r="I1530" s="8" t="str">
        <f t="shared" si="32"/>
        <v>Tue</v>
      </c>
      <c r="J1530" s="8" t="str">
        <f t="shared" si="33"/>
        <v>Sep</v>
      </c>
      <c r="K1530" s="8">
        <f t="shared" si="34"/>
        <v>2</v>
      </c>
      <c r="L1530" s="8">
        <f t="shared" si="35"/>
        <v>9</v>
      </c>
    </row>
    <row r="1531" spans="1:12" x14ac:dyDescent="0.3">
      <c r="A1531" s="10">
        <v>45546</v>
      </c>
      <c r="B1531" s="11">
        <v>45546.366230381944</v>
      </c>
      <c r="C1531" s="12">
        <f t="shared" si="30"/>
        <v>8</v>
      </c>
      <c r="D1531" s="12" t="s">
        <v>4</v>
      </c>
      <c r="E1531" s="12" t="s">
        <v>632</v>
      </c>
      <c r="F1531" s="13">
        <v>32.82</v>
      </c>
      <c r="G1531" s="12" t="s">
        <v>13</v>
      </c>
      <c r="H1531" s="12" t="str">
        <f t="shared" si="31"/>
        <v>Morning</v>
      </c>
      <c r="I1531" s="12" t="str">
        <f t="shared" si="32"/>
        <v>Wed</v>
      </c>
      <c r="J1531" s="12" t="str">
        <f t="shared" si="33"/>
        <v>Sep</v>
      </c>
      <c r="K1531" s="12">
        <f t="shared" si="34"/>
        <v>3</v>
      </c>
      <c r="L1531" s="12">
        <f t="shared" si="35"/>
        <v>9</v>
      </c>
    </row>
    <row r="1532" spans="1:12" x14ac:dyDescent="0.3">
      <c r="A1532" s="6">
        <v>45546</v>
      </c>
      <c r="B1532" s="7">
        <v>45546.394985613428</v>
      </c>
      <c r="C1532" s="8">
        <f t="shared" ref="C1532:C1786" si="36">HOUR(B1532)</f>
        <v>9</v>
      </c>
      <c r="D1532" s="8" t="s">
        <v>4</v>
      </c>
      <c r="E1532" s="8" t="s">
        <v>117</v>
      </c>
      <c r="F1532" s="9">
        <v>27.92</v>
      </c>
      <c r="G1532" s="8" t="s">
        <v>20</v>
      </c>
      <c r="H1532" s="8" t="str">
        <f t="shared" ref="H1532:H1786" si="37">IF(AND(C1532&gt;=5,C1532&lt;12),"Morning",
 IF(AND(C1532&gt;=12,C1532&lt;17),"Afternoon","Night"))</f>
        <v>Morning</v>
      </c>
      <c r="I1532" s="8" t="str">
        <f t="shared" ref="I1532:I1786" si="38">TEXT(A1532, "ddd")</f>
        <v>Wed</v>
      </c>
      <c r="J1532" s="8" t="str">
        <f t="shared" ref="J1532:J1786" si="39">TEXT(A1532, "mmm")</f>
        <v>Sep</v>
      </c>
      <c r="K1532" s="8">
        <f t="shared" ref="K1532:K1786" si="40">WEEKDAY(A1532, 2)</f>
        <v>3</v>
      </c>
      <c r="L1532" s="8">
        <f t="shared" ref="L1532:L1786" si="41">MONTH(A1532)</f>
        <v>9</v>
      </c>
    </row>
    <row r="1533" spans="1:12" x14ac:dyDescent="0.3">
      <c r="A1533" s="10">
        <v>45546</v>
      </c>
      <c r="B1533" s="11">
        <v>45546.452883993057</v>
      </c>
      <c r="C1533" s="12">
        <f t="shared" si="36"/>
        <v>10</v>
      </c>
      <c r="D1533" s="12" t="s">
        <v>4</v>
      </c>
      <c r="E1533" s="12" t="s">
        <v>633</v>
      </c>
      <c r="F1533" s="13">
        <v>32.82</v>
      </c>
      <c r="G1533" s="12" t="s">
        <v>13</v>
      </c>
      <c r="H1533" s="12" t="str">
        <f t="shared" si="37"/>
        <v>Morning</v>
      </c>
      <c r="I1533" s="12" t="str">
        <f t="shared" si="38"/>
        <v>Wed</v>
      </c>
      <c r="J1533" s="12" t="str">
        <f t="shared" si="39"/>
        <v>Sep</v>
      </c>
      <c r="K1533" s="12">
        <f t="shared" si="40"/>
        <v>3</v>
      </c>
      <c r="L1533" s="12">
        <f t="shared" si="41"/>
        <v>9</v>
      </c>
    </row>
    <row r="1534" spans="1:12" x14ac:dyDescent="0.3">
      <c r="A1534" s="6">
        <v>45546</v>
      </c>
      <c r="B1534" s="7">
        <v>45546.828617326391</v>
      </c>
      <c r="C1534" s="8">
        <f t="shared" si="36"/>
        <v>19</v>
      </c>
      <c r="D1534" s="8" t="s">
        <v>4</v>
      </c>
      <c r="E1534" s="8" t="s">
        <v>634</v>
      </c>
      <c r="F1534" s="9">
        <v>32.82</v>
      </c>
      <c r="G1534" s="8" t="s">
        <v>49</v>
      </c>
      <c r="H1534" s="8" t="str">
        <f t="shared" si="37"/>
        <v>Night</v>
      </c>
      <c r="I1534" s="8" t="str">
        <f t="shared" si="38"/>
        <v>Wed</v>
      </c>
      <c r="J1534" s="8" t="str">
        <f t="shared" si="39"/>
        <v>Sep</v>
      </c>
      <c r="K1534" s="8">
        <f t="shared" si="40"/>
        <v>3</v>
      </c>
      <c r="L1534" s="8">
        <f t="shared" si="41"/>
        <v>9</v>
      </c>
    </row>
    <row r="1535" spans="1:12" x14ac:dyDescent="0.3">
      <c r="A1535" s="10">
        <v>45546</v>
      </c>
      <c r="B1535" s="11">
        <v>45546.842533414354</v>
      </c>
      <c r="C1535" s="12">
        <f t="shared" si="36"/>
        <v>20</v>
      </c>
      <c r="D1535" s="12" t="s">
        <v>4</v>
      </c>
      <c r="E1535" s="12" t="s">
        <v>551</v>
      </c>
      <c r="F1535" s="13">
        <v>27.92</v>
      </c>
      <c r="G1535" s="12" t="s">
        <v>20</v>
      </c>
      <c r="H1535" s="12" t="str">
        <f t="shared" si="37"/>
        <v>Night</v>
      </c>
      <c r="I1535" s="12" t="str">
        <f t="shared" si="38"/>
        <v>Wed</v>
      </c>
      <c r="J1535" s="12" t="str">
        <f t="shared" si="39"/>
        <v>Sep</v>
      </c>
      <c r="K1535" s="12">
        <f t="shared" si="40"/>
        <v>3</v>
      </c>
      <c r="L1535" s="12">
        <f t="shared" si="41"/>
        <v>9</v>
      </c>
    </row>
    <row r="1536" spans="1:12" x14ac:dyDescent="0.3">
      <c r="A1536" s="6">
        <v>45546</v>
      </c>
      <c r="B1536" s="7">
        <v>45546.843274143517</v>
      </c>
      <c r="C1536" s="8">
        <f t="shared" si="36"/>
        <v>20</v>
      </c>
      <c r="D1536" s="8" t="s">
        <v>4</v>
      </c>
      <c r="E1536" s="8" t="s">
        <v>551</v>
      </c>
      <c r="F1536" s="9">
        <v>32.82</v>
      </c>
      <c r="G1536" s="8" t="s">
        <v>13</v>
      </c>
      <c r="H1536" s="8" t="str">
        <f t="shared" si="37"/>
        <v>Night</v>
      </c>
      <c r="I1536" s="8" t="str">
        <f t="shared" si="38"/>
        <v>Wed</v>
      </c>
      <c r="J1536" s="8" t="str">
        <f t="shared" si="39"/>
        <v>Sep</v>
      </c>
      <c r="K1536" s="8">
        <f t="shared" si="40"/>
        <v>3</v>
      </c>
      <c r="L1536" s="8">
        <f t="shared" si="41"/>
        <v>9</v>
      </c>
    </row>
    <row r="1537" spans="1:12" x14ac:dyDescent="0.3">
      <c r="A1537" s="10">
        <v>45546</v>
      </c>
      <c r="B1537" s="11">
        <v>45546.843973958334</v>
      </c>
      <c r="C1537" s="12">
        <f t="shared" si="36"/>
        <v>20</v>
      </c>
      <c r="D1537" s="12" t="s">
        <v>4</v>
      </c>
      <c r="E1537" s="12" t="s">
        <v>551</v>
      </c>
      <c r="F1537" s="13">
        <v>32.82</v>
      </c>
      <c r="G1537" s="12" t="s">
        <v>13</v>
      </c>
      <c r="H1537" s="12" t="str">
        <f t="shared" si="37"/>
        <v>Night</v>
      </c>
      <c r="I1537" s="12" t="str">
        <f t="shared" si="38"/>
        <v>Wed</v>
      </c>
      <c r="J1537" s="12" t="str">
        <f t="shared" si="39"/>
        <v>Sep</v>
      </c>
      <c r="K1537" s="12">
        <f t="shared" si="40"/>
        <v>3</v>
      </c>
      <c r="L1537" s="12">
        <f t="shared" si="41"/>
        <v>9</v>
      </c>
    </row>
    <row r="1538" spans="1:12" x14ac:dyDescent="0.3">
      <c r="A1538" s="6">
        <v>45546</v>
      </c>
      <c r="B1538" s="7">
        <v>45546.87609056713</v>
      </c>
      <c r="C1538" s="8">
        <f t="shared" si="36"/>
        <v>21</v>
      </c>
      <c r="D1538" s="8" t="s">
        <v>4</v>
      </c>
      <c r="E1538" s="8" t="s">
        <v>604</v>
      </c>
      <c r="F1538" s="9">
        <v>23.02</v>
      </c>
      <c r="G1538" s="8" t="s">
        <v>34</v>
      </c>
      <c r="H1538" s="8" t="str">
        <f t="shared" si="37"/>
        <v>Night</v>
      </c>
      <c r="I1538" s="8" t="str">
        <f t="shared" si="38"/>
        <v>Wed</v>
      </c>
      <c r="J1538" s="8" t="str">
        <f t="shared" si="39"/>
        <v>Sep</v>
      </c>
      <c r="K1538" s="8">
        <f t="shared" si="40"/>
        <v>3</v>
      </c>
      <c r="L1538" s="8">
        <f t="shared" si="41"/>
        <v>9</v>
      </c>
    </row>
    <row r="1539" spans="1:12" x14ac:dyDescent="0.3">
      <c r="A1539" s="10">
        <v>45547</v>
      </c>
      <c r="B1539" s="11">
        <v>45547.456546516201</v>
      </c>
      <c r="C1539" s="12">
        <f t="shared" si="36"/>
        <v>10</v>
      </c>
      <c r="D1539" s="12" t="s">
        <v>4</v>
      </c>
      <c r="E1539" s="12" t="s">
        <v>367</v>
      </c>
      <c r="F1539" s="13">
        <v>18.12</v>
      </c>
      <c r="G1539" s="12" t="s">
        <v>41</v>
      </c>
      <c r="H1539" s="12" t="str">
        <f t="shared" si="37"/>
        <v>Morning</v>
      </c>
      <c r="I1539" s="12" t="str">
        <f t="shared" si="38"/>
        <v>Thu</v>
      </c>
      <c r="J1539" s="12" t="str">
        <f t="shared" si="39"/>
        <v>Sep</v>
      </c>
      <c r="K1539" s="12">
        <f t="shared" si="40"/>
        <v>4</v>
      </c>
      <c r="L1539" s="12">
        <f t="shared" si="41"/>
        <v>9</v>
      </c>
    </row>
    <row r="1540" spans="1:12" x14ac:dyDescent="0.3">
      <c r="A1540" s="6">
        <v>45547</v>
      </c>
      <c r="B1540" s="7">
        <v>45547.457173692128</v>
      </c>
      <c r="C1540" s="8">
        <f t="shared" si="36"/>
        <v>10</v>
      </c>
      <c r="D1540" s="8" t="s">
        <v>4</v>
      </c>
      <c r="E1540" s="8" t="s">
        <v>367</v>
      </c>
      <c r="F1540" s="9">
        <v>27.92</v>
      </c>
      <c r="G1540" s="8" t="s">
        <v>20</v>
      </c>
      <c r="H1540" s="8" t="str">
        <f t="shared" si="37"/>
        <v>Morning</v>
      </c>
      <c r="I1540" s="8" t="str">
        <f t="shared" si="38"/>
        <v>Thu</v>
      </c>
      <c r="J1540" s="8" t="str">
        <f t="shared" si="39"/>
        <v>Sep</v>
      </c>
      <c r="K1540" s="8">
        <f t="shared" si="40"/>
        <v>4</v>
      </c>
      <c r="L1540" s="8">
        <f t="shared" si="41"/>
        <v>9</v>
      </c>
    </row>
    <row r="1541" spans="1:12" x14ac:dyDescent="0.3">
      <c r="A1541" s="10">
        <v>45547</v>
      </c>
      <c r="B1541" s="11">
        <v>45547.477500752313</v>
      </c>
      <c r="C1541" s="12">
        <f t="shared" si="36"/>
        <v>11</v>
      </c>
      <c r="D1541" s="12" t="s">
        <v>4</v>
      </c>
      <c r="E1541" s="12" t="s">
        <v>635</v>
      </c>
      <c r="F1541" s="13">
        <v>27.92</v>
      </c>
      <c r="G1541" s="12" t="s">
        <v>20</v>
      </c>
      <c r="H1541" s="12" t="str">
        <f t="shared" si="37"/>
        <v>Morning</v>
      </c>
      <c r="I1541" s="12" t="str">
        <f t="shared" si="38"/>
        <v>Thu</v>
      </c>
      <c r="J1541" s="12" t="str">
        <f t="shared" si="39"/>
        <v>Sep</v>
      </c>
      <c r="K1541" s="12">
        <f t="shared" si="40"/>
        <v>4</v>
      </c>
      <c r="L1541" s="12">
        <f t="shared" si="41"/>
        <v>9</v>
      </c>
    </row>
    <row r="1542" spans="1:12" x14ac:dyDescent="0.3">
      <c r="A1542" s="6">
        <v>45547</v>
      </c>
      <c r="B1542" s="7">
        <v>45547.505812013886</v>
      </c>
      <c r="C1542" s="8">
        <f t="shared" si="36"/>
        <v>12</v>
      </c>
      <c r="D1542" s="8" t="s">
        <v>4</v>
      </c>
      <c r="E1542" s="8" t="s">
        <v>585</v>
      </c>
      <c r="F1542" s="9">
        <v>32.82</v>
      </c>
      <c r="G1542" s="8" t="s">
        <v>49</v>
      </c>
      <c r="H1542" s="8" t="str">
        <f t="shared" si="37"/>
        <v>Afternoon</v>
      </c>
      <c r="I1542" s="8" t="str">
        <f t="shared" si="38"/>
        <v>Thu</v>
      </c>
      <c r="J1542" s="8" t="str">
        <f t="shared" si="39"/>
        <v>Sep</v>
      </c>
      <c r="K1542" s="8">
        <f t="shared" si="40"/>
        <v>4</v>
      </c>
      <c r="L1542" s="8">
        <f t="shared" si="41"/>
        <v>9</v>
      </c>
    </row>
    <row r="1543" spans="1:12" x14ac:dyDescent="0.3">
      <c r="A1543" s="10">
        <v>45547</v>
      </c>
      <c r="B1543" s="11">
        <v>45547.521608761577</v>
      </c>
      <c r="C1543" s="12">
        <f t="shared" si="36"/>
        <v>12</v>
      </c>
      <c r="D1543" s="12" t="s">
        <v>4</v>
      </c>
      <c r="E1543" s="12" t="s">
        <v>636</v>
      </c>
      <c r="F1543" s="13">
        <v>23.02</v>
      </c>
      <c r="G1543" s="12" t="s">
        <v>34</v>
      </c>
      <c r="H1543" s="12" t="str">
        <f t="shared" si="37"/>
        <v>Afternoon</v>
      </c>
      <c r="I1543" s="12" t="str">
        <f t="shared" si="38"/>
        <v>Thu</v>
      </c>
      <c r="J1543" s="12" t="str">
        <f t="shared" si="39"/>
        <v>Sep</v>
      </c>
      <c r="K1543" s="12">
        <f t="shared" si="40"/>
        <v>4</v>
      </c>
      <c r="L1543" s="12">
        <f t="shared" si="41"/>
        <v>9</v>
      </c>
    </row>
    <row r="1544" spans="1:12" x14ac:dyDescent="0.3">
      <c r="A1544" s="6">
        <v>45547</v>
      </c>
      <c r="B1544" s="7">
        <v>45547.522488206021</v>
      </c>
      <c r="C1544" s="8">
        <f t="shared" si="36"/>
        <v>12</v>
      </c>
      <c r="D1544" s="8" t="s">
        <v>4</v>
      </c>
      <c r="E1544" s="8" t="s">
        <v>636</v>
      </c>
      <c r="F1544" s="9">
        <v>23.02</v>
      </c>
      <c r="G1544" s="8" t="s">
        <v>34</v>
      </c>
      <c r="H1544" s="8" t="str">
        <f t="shared" si="37"/>
        <v>Afternoon</v>
      </c>
      <c r="I1544" s="8" t="str">
        <f t="shared" si="38"/>
        <v>Thu</v>
      </c>
      <c r="J1544" s="8" t="str">
        <f t="shared" si="39"/>
        <v>Sep</v>
      </c>
      <c r="K1544" s="8">
        <f t="shared" si="40"/>
        <v>4</v>
      </c>
      <c r="L1544" s="8">
        <f t="shared" si="41"/>
        <v>9</v>
      </c>
    </row>
    <row r="1545" spans="1:12" x14ac:dyDescent="0.3">
      <c r="A1545" s="10">
        <v>45547</v>
      </c>
      <c r="B1545" s="11">
        <v>45547.525930821757</v>
      </c>
      <c r="C1545" s="12">
        <f t="shared" si="36"/>
        <v>12</v>
      </c>
      <c r="D1545" s="12" t="s">
        <v>4</v>
      </c>
      <c r="E1545" s="12" t="s">
        <v>161</v>
      </c>
      <c r="F1545" s="13">
        <v>23.02</v>
      </c>
      <c r="G1545" s="12" t="s">
        <v>34</v>
      </c>
      <c r="H1545" s="12" t="str">
        <f t="shared" si="37"/>
        <v>Afternoon</v>
      </c>
      <c r="I1545" s="12" t="str">
        <f t="shared" si="38"/>
        <v>Thu</v>
      </c>
      <c r="J1545" s="12" t="str">
        <f t="shared" si="39"/>
        <v>Sep</v>
      </c>
      <c r="K1545" s="12">
        <f t="shared" si="40"/>
        <v>4</v>
      </c>
      <c r="L1545" s="12">
        <f t="shared" si="41"/>
        <v>9</v>
      </c>
    </row>
    <row r="1546" spans="1:12" x14ac:dyDescent="0.3">
      <c r="A1546" s="6">
        <v>45547</v>
      </c>
      <c r="B1546" s="7">
        <v>45547.526501562497</v>
      </c>
      <c r="C1546" s="8">
        <f t="shared" si="36"/>
        <v>12</v>
      </c>
      <c r="D1546" s="8" t="s">
        <v>4</v>
      </c>
      <c r="E1546" s="8" t="s">
        <v>161</v>
      </c>
      <c r="F1546" s="9">
        <v>23.02</v>
      </c>
      <c r="G1546" s="8" t="s">
        <v>34</v>
      </c>
      <c r="H1546" s="8" t="str">
        <f t="shared" si="37"/>
        <v>Afternoon</v>
      </c>
      <c r="I1546" s="8" t="str">
        <f t="shared" si="38"/>
        <v>Thu</v>
      </c>
      <c r="J1546" s="8" t="str">
        <f t="shared" si="39"/>
        <v>Sep</v>
      </c>
      <c r="K1546" s="8">
        <f t="shared" si="40"/>
        <v>4</v>
      </c>
      <c r="L1546" s="8">
        <f t="shared" si="41"/>
        <v>9</v>
      </c>
    </row>
    <row r="1547" spans="1:12" x14ac:dyDescent="0.3">
      <c r="A1547" s="10">
        <v>45547</v>
      </c>
      <c r="B1547" s="11">
        <v>45547.70931972222</v>
      </c>
      <c r="C1547" s="12">
        <f t="shared" si="36"/>
        <v>17</v>
      </c>
      <c r="D1547" s="12" t="s">
        <v>4</v>
      </c>
      <c r="E1547" s="12" t="s">
        <v>637</v>
      </c>
      <c r="F1547" s="13">
        <v>32.82</v>
      </c>
      <c r="G1547" s="12" t="s">
        <v>13</v>
      </c>
      <c r="H1547" s="12" t="str">
        <f t="shared" si="37"/>
        <v>Night</v>
      </c>
      <c r="I1547" s="12" t="str">
        <f t="shared" si="38"/>
        <v>Thu</v>
      </c>
      <c r="J1547" s="12" t="str">
        <f t="shared" si="39"/>
        <v>Sep</v>
      </c>
      <c r="K1547" s="12">
        <f t="shared" si="40"/>
        <v>4</v>
      </c>
      <c r="L1547" s="12">
        <f t="shared" si="41"/>
        <v>9</v>
      </c>
    </row>
    <row r="1548" spans="1:12" x14ac:dyDescent="0.3">
      <c r="A1548" s="6">
        <v>45547</v>
      </c>
      <c r="B1548" s="7">
        <v>45547.881370509262</v>
      </c>
      <c r="C1548" s="8">
        <f t="shared" si="36"/>
        <v>21</v>
      </c>
      <c r="D1548" s="8" t="s">
        <v>4</v>
      </c>
      <c r="E1548" s="8" t="s">
        <v>638</v>
      </c>
      <c r="F1548" s="9">
        <v>23.02</v>
      </c>
      <c r="G1548" s="8" t="s">
        <v>17</v>
      </c>
      <c r="H1548" s="8" t="str">
        <f t="shared" si="37"/>
        <v>Night</v>
      </c>
      <c r="I1548" s="8" t="str">
        <f t="shared" si="38"/>
        <v>Thu</v>
      </c>
      <c r="J1548" s="8" t="str">
        <f t="shared" si="39"/>
        <v>Sep</v>
      </c>
      <c r="K1548" s="8">
        <f t="shared" si="40"/>
        <v>4</v>
      </c>
      <c r="L1548" s="8">
        <f t="shared" si="41"/>
        <v>9</v>
      </c>
    </row>
    <row r="1549" spans="1:12" x14ac:dyDescent="0.3">
      <c r="A1549" s="10">
        <v>45547</v>
      </c>
      <c r="B1549" s="11">
        <v>45547.882189340278</v>
      </c>
      <c r="C1549" s="12">
        <f t="shared" si="36"/>
        <v>21</v>
      </c>
      <c r="D1549" s="12" t="s">
        <v>4</v>
      </c>
      <c r="E1549" s="12" t="s">
        <v>638</v>
      </c>
      <c r="F1549" s="13">
        <v>32.82</v>
      </c>
      <c r="G1549" s="12" t="s">
        <v>49</v>
      </c>
      <c r="H1549" s="12" t="str">
        <f t="shared" si="37"/>
        <v>Night</v>
      </c>
      <c r="I1549" s="12" t="str">
        <f t="shared" si="38"/>
        <v>Thu</v>
      </c>
      <c r="J1549" s="12" t="str">
        <f t="shared" si="39"/>
        <v>Sep</v>
      </c>
      <c r="K1549" s="12">
        <f t="shared" si="40"/>
        <v>4</v>
      </c>
      <c r="L1549" s="12">
        <f t="shared" si="41"/>
        <v>9</v>
      </c>
    </row>
    <row r="1550" spans="1:12" x14ac:dyDescent="0.3">
      <c r="A1550" s="6">
        <v>45547</v>
      </c>
      <c r="B1550" s="7">
        <v>45547.884222314817</v>
      </c>
      <c r="C1550" s="8">
        <f t="shared" si="36"/>
        <v>21</v>
      </c>
      <c r="D1550" s="8" t="s">
        <v>4</v>
      </c>
      <c r="E1550" s="8" t="s">
        <v>339</v>
      </c>
      <c r="F1550" s="9">
        <v>23.02</v>
      </c>
      <c r="G1550" s="8" t="s">
        <v>34</v>
      </c>
      <c r="H1550" s="8" t="str">
        <f t="shared" si="37"/>
        <v>Night</v>
      </c>
      <c r="I1550" s="8" t="str">
        <f t="shared" si="38"/>
        <v>Thu</v>
      </c>
      <c r="J1550" s="8" t="str">
        <f t="shared" si="39"/>
        <v>Sep</v>
      </c>
      <c r="K1550" s="8">
        <f t="shared" si="40"/>
        <v>4</v>
      </c>
      <c r="L1550" s="8">
        <f t="shared" si="41"/>
        <v>9</v>
      </c>
    </row>
    <row r="1551" spans="1:12" x14ac:dyDescent="0.3">
      <c r="A1551" s="10">
        <v>45548</v>
      </c>
      <c r="B1551" s="11">
        <v>45548.331177812499</v>
      </c>
      <c r="C1551" s="12">
        <f t="shared" si="36"/>
        <v>7</v>
      </c>
      <c r="D1551" s="12" t="s">
        <v>4</v>
      </c>
      <c r="E1551" s="12" t="s">
        <v>590</v>
      </c>
      <c r="F1551" s="13">
        <v>32.82</v>
      </c>
      <c r="G1551" s="12" t="s">
        <v>13</v>
      </c>
      <c r="H1551" s="12" t="str">
        <f t="shared" si="37"/>
        <v>Morning</v>
      </c>
      <c r="I1551" s="12" t="str">
        <f t="shared" si="38"/>
        <v>Fri</v>
      </c>
      <c r="J1551" s="12" t="str">
        <f t="shared" si="39"/>
        <v>Sep</v>
      </c>
      <c r="K1551" s="12">
        <f t="shared" si="40"/>
        <v>5</v>
      </c>
      <c r="L1551" s="12">
        <f t="shared" si="41"/>
        <v>9</v>
      </c>
    </row>
    <row r="1552" spans="1:12" x14ac:dyDescent="0.3">
      <c r="A1552" s="6">
        <v>45548</v>
      </c>
      <c r="B1552" s="7">
        <v>45548.361840104168</v>
      </c>
      <c r="C1552" s="8">
        <f t="shared" si="36"/>
        <v>8</v>
      </c>
      <c r="D1552" s="8" t="s">
        <v>4</v>
      </c>
      <c r="E1552" s="8" t="s">
        <v>445</v>
      </c>
      <c r="F1552" s="9">
        <v>32.82</v>
      </c>
      <c r="G1552" s="8" t="s">
        <v>13</v>
      </c>
      <c r="H1552" s="8" t="str">
        <f t="shared" si="37"/>
        <v>Morning</v>
      </c>
      <c r="I1552" s="8" t="str">
        <f t="shared" si="38"/>
        <v>Fri</v>
      </c>
      <c r="J1552" s="8" t="str">
        <f t="shared" si="39"/>
        <v>Sep</v>
      </c>
      <c r="K1552" s="8">
        <f t="shared" si="40"/>
        <v>5</v>
      </c>
      <c r="L1552" s="8">
        <f t="shared" si="41"/>
        <v>9</v>
      </c>
    </row>
    <row r="1553" spans="1:12" x14ac:dyDescent="0.3">
      <c r="A1553" s="10">
        <v>45548</v>
      </c>
      <c r="B1553" s="11">
        <v>45548.371016365738</v>
      </c>
      <c r="C1553" s="12">
        <f t="shared" si="36"/>
        <v>8</v>
      </c>
      <c r="D1553" s="12" t="s">
        <v>4</v>
      </c>
      <c r="E1553" s="12" t="s">
        <v>395</v>
      </c>
      <c r="F1553" s="13">
        <v>32.82</v>
      </c>
      <c r="G1553" s="12" t="s">
        <v>13</v>
      </c>
      <c r="H1553" s="12" t="str">
        <f t="shared" si="37"/>
        <v>Morning</v>
      </c>
      <c r="I1553" s="12" t="str">
        <f t="shared" si="38"/>
        <v>Fri</v>
      </c>
      <c r="J1553" s="12" t="str">
        <f t="shared" si="39"/>
        <v>Sep</v>
      </c>
      <c r="K1553" s="12">
        <f t="shared" si="40"/>
        <v>5</v>
      </c>
      <c r="L1553" s="12">
        <f t="shared" si="41"/>
        <v>9</v>
      </c>
    </row>
    <row r="1554" spans="1:12" x14ac:dyDescent="0.3">
      <c r="A1554" s="6">
        <v>45548</v>
      </c>
      <c r="B1554" s="7">
        <v>45548.41064105324</v>
      </c>
      <c r="C1554" s="8">
        <f t="shared" si="36"/>
        <v>9</v>
      </c>
      <c r="D1554" s="8" t="s">
        <v>4</v>
      </c>
      <c r="E1554" s="8" t="s">
        <v>639</v>
      </c>
      <c r="F1554" s="9">
        <v>32.82</v>
      </c>
      <c r="G1554" s="8" t="s">
        <v>13</v>
      </c>
      <c r="H1554" s="8" t="str">
        <f t="shared" si="37"/>
        <v>Morning</v>
      </c>
      <c r="I1554" s="8" t="str">
        <f t="shared" si="38"/>
        <v>Fri</v>
      </c>
      <c r="J1554" s="8" t="str">
        <f t="shared" si="39"/>
        <v>Sep</v>
      </c>
      <c r="K1554" s="8">
        <f t="shared" si="40"/>
        <v>5</v>
      </c>
      <c r="L1554" s="8">
        <f t="shared" si="41"/>
        <v>9</v>
      </c>
    </row>
    <row r="1555" spans="1:12" x14ac:dyDescent="0.3">
      <c r="A1555" s="10">
        <v>45548</v>
      </c>
      <c r="B1555" s="11">
        <v>45548.651607280095</v>
      </c>
      <c r="C1555" s="12">
        <f t="shared" si="36"/>
        <v>15</v>
      </c>
      <c r="D1555" s="12" t="s">
        <v>4</v>
      </c>
      <c r="E1555" s="12" t="s">
        <v>262</v>
      </c>
      <c r="F1555" s="13">
        <v>27.92</v>
      </c>
      <c r="G1555" s="12" t="s">
        <v>20</v>
      </c>
      <c r="H1555" s="12" t="str">
        <f t="shared" si="37"/>
        <v>Afternoon</v>
      </c>
      <c r="I1555" s="12" t="str">
        <f t="shared" si="38"/>
        <v>Fri</v>
      </c>
      <c r="J1555" s="12" t="str">
        <f t="shared" si="39"/>
        <v>Sep</v>
      </c>
      <c r="K1555" s="12">
        <f t="shared" si="40"/>
        <v>5</v>
      </c>
      <c r="L1555" s="12">
        <f t="shared" si="41"/>
        <v>9</v>
      </c>
    </row>
    <row r="1556" spans="1:12" x14ac:dyDescent="0.3">
      <c r="A1556" s="6">
        <v>45548</v>
      </c>
      <c r="B1556" s="7">
        <v>45548.660345972225</v>
      </c>
      <c r="C1556" s="8">
        <f t="shared" si="36"/>
        <v>15</v>
      </c>
      <c r="D1556" s="8" t="s">
        <v>4</v>
      </c>
      <c r="E1556" s="8" t="s">
        <v>572</v>
      </c>
      <c r="F1556" s="9">
        <v>27.92</v>
      </c>
      <c r="G1556" s="8" t="s">
        <v>20</v>
      </c>
      <c r="H1556" s="8" t="str">
        <f t="shared" si="37"/>
        <v>Afternoon</v>
      </c>
      <c r="I1556" s="8" t="str">
        <f t="shared" si="38"/>
        <v>Fri</v>
      </c>
      <c r="J1556" s="8" t="str">
        <f t="shared" si="39"/>
        <v>Sep</v>
      </c>
      <c r="K1556" s="8">
        <f t="shared" si="40"/>
        <v>5</v>
      </c>
      <c r="L1556" s="8">
        <f t="shared" si="41"/>
        <v>9</v>
      </c>
    </row>
    <row r="1557" spans="1:12" x14ac:dyDescent="0.3">
      <c r="A1557" s="10">
        <v>45549</v>
      </c>
      <c r="B1557" s="11">
        <v>45549.687029618057</v>
      </c>
      <c r="C1557" s="12">
        <f t="shared" si="36"/>
        <v>16</v>
      </c>
      <c r="D1557" s="12" t="s">
        <v>4</v>
      </c>
      <c r="E1557" s="12" t="s">
        <v>563</v>
      </c>
      <c r="F1557" s="13">
        <v>32.82</v>
      </c>
      <c r="G1557" s="12" t="s">
        <v>49</v>
      </c>
      <c r="H1557" s="12" t="str">
        <f t="shared" si="37"/>
        <v>Afternoon</v>
      </c>
      <c r="I1557" s="12" t="str">
        <f t="shared" si="38"/>
        <v>Sat</v>
      </c>
      <c r="J1557" s="12" t="str">
        <f t="shared" si="39"/>
        <v>Sep</v>
      </c>
      <c r="K1557" s="12">
        <f t="shared" si="40"/>
        <v>6</v>
      </c>
      <c r="L1557" s="12">
        <f t="shared" si="41"/>
        <v>9</v>
      </c>
    </row>
    <row r="1558" spans="1:12" x14ac:dyDescent="0.3">
      <c r="A1558" s="6">
        <v>45549</v>
      </c>
      <c r="B1558" s="7">
        <v>45549.687695289351</v>
      </c>
      <c r="C1558" s="8">
        <f t="shared" si="36"/>
        <v>16</v>
      </c>
      <c r="D1558" s="8" t="s">
        <v>4</v>
      </c>
      <c r="E1558" s="8" t="s">
        <v>563</v>
      </c>
      <c r="F1558" s="9">
        <v>32.82</v>
      </c>
      <c r="G1558" s="8" t="s">
        <v>49</v>
      </c>
      <c r="H1558" s="8" t="str">
        <f t="shared" si="37"/>
        <v>Afternoon</v>
      </c>
      <c r="I1558" s="8" t="str">
        <f t="shared" si="38"/>
        <v>Sat</v>
      </c>
      <c r="J1558" s="8" t="str">
        <f t="shared" si="39"/>
        <v>Sep</v>
      </c>
      <c r="K1558" s="8">
        <f t="shared" si="40"/>
        <v>6</v>
      </c>
      <c r="L1558" s="8">
        <f t="shared" si="41"/>
        <v>9</v>
      </c>
    </row>
    <row r="1559" spans="1:12" x14ac:dyDescent="0.3">
      <c r="A1559" s="10">
        <v>45550</v>
      </c>
      <c r="B1559" s="11">
        <v>45550.362973854164</v>
      </c>
      <c r="C1559" s="12">
        <f t="shared" si="36"/>
        <v>8</v>
      </c>
      <c r="D1559" s="12" t="s">
        <v>4</v>
      </c>
      <c r="E1559" s="12" t="s">
        <v>367</v>
      </c>
      <c r="F1559" s="13">
        <v>18.12</v>
      </c>
      <c r="G1559" s="12" t="s">
        <v>41</v>
      </c>
      <c r="H1559" s="12" t="str">
        <f t="shared" si="37"/>
        <v>Morning</v>
      </c>
      <c r="I1559" s="12" t="str">
        <f t="shared" si="38"/>
        <v>Sun</v>
      </c>
      <c r="J1559" s="12" t="str">
        <f t="shared" si="39"/>
        <v>Sep</v>
      </c>
      <c r="K1559" s="12">
        <f t="shared" si="40"/>
        <v>7</v>
      </c>
      <c r="L1559" s="12">
        <f t="shared" si="41"/>
        <v>9</v>
      </c>
    </row>
    <row r="1560" spans="1:12" x14ac:dyDescent="0.3">
      <c r="A1560" s="6">
        <v>45550</v>
      </c>
      <c r="B1560" s="7">
        <v>45550.409476168985</v>
      </c>
      <c r="C1560" s="8">
        <f t="shared" si="36"/>
        <v>9</v>
      </c>
      <c r="D1560" s="8" t="s">
        <v>4</v>
      </c>
      <c r="E1560" s="8" t="s">
        <v>640</v>
      </c>
      <c r="F1560" s="9">
        <v>27.92</v>
      </c>
      <c r="G1560" s="8" t="s">
        <v>20</v>
      </c>
      <c r="H1560" s="8" t="str">
        <f t="shared" si="37"/>
        <v>Morning</v>
      </c>
      <c r="I1560" s="8" t="str">
        <f t="shared" si="38"/>
        <v>Sun</v>
      </c>
      <c r="J1560" s="8" t="str">
        <f t="shared" si="39"/>
        <v>Sep</v>
      </c>
      <c r="K1560" s="8">
        <f t="shared" si="40"/>
        <v>7</v>
      </c>
      <c r="L1560" s="8">
        <f t="shared" si="41"/>
        <v>9</v>
      </c>
    </row>
    <row r="1561" spans="1:12" x14ac:dyDescent="0.3">
      <c r="A1561" s="10">
        <v>45550</v>
      </c>
      <c r="B1561" s="11">
        <v>45550.57612716435</v>
      </c>
      <c r="C1561" s="12">
        <f t="shared" si="36"/>
        <v>13</v>
      </c>
      <c r="D1561" s="12" t="s">
        <v>4</v>
      </c>
      <c r="E1561" s="12" t="s">
        <v>324</v>
      </c>
      <c r="F1561" s="13">
        <v>23.02</v>
      </c>
      <c r="G1561" s="12" t="s">
        <v>17</v>
      </c>
      <c r="H1561" s="12" t="str">
        <f t="shared" si="37"/>
        <v>Afternoon</v>
      </c>
      <c r="I1561" s="12" t="str">
        <f t="shared" si="38"/>
        <v>Sun</v>
      </c>
      <c r="J1561" s="12" t="str">
        <f t="shared" si="39"/>
        <v>Sep</v>
      </c>
      <c r="K1561" s="12">
        <f t="shared" si="40"/>
        <v>7</v>
      </c>
      <c r="L1561" s="12">
        <f t="shared" si="41"/>
        <v>9</v>
      </c>
    </row>
    <row r="1562" spans="1:12" x14ac:dyDescent="0.3">
      <c r="A1562" s="6">
        <v>45550</v>
      </c>
      <c r="B1562" s="7">
        <v>45550.608556562504</v>
      </c>
      <c r="C1562" s="8">
        <f t="shared" si="36"/>
        <v>14</v>
      </c>
      <c r="D1562" s="8" t="s">
        <v>4</v>
      </c>
      <c r="E1562" s="8" t="s">
        <v>161</v>
      </c>
      <c r="F1562" s="9">
        <v>23.02</v>
      </c>
      <c r="G1562" s="8" t="s">
        <v>34</v>
      </c>
      <c r="H1562" s="8" t="str">
        <f t="shared" si="37"/>
        <v>Afternoon</v>
      </c>
      <c r="I1562" s="8" t="str">
        <f t="shared" si="38"/>
        <v>Sun</v>
      </c>
      <c r="J1562" s="8" t="str">
        <f t="shared" si="39"/>
        <v>Sep</v>
      </c>
      <c r="K1562" s="8">
        <f t="shared" si="40"/>
        <v>7</v>
      </c>
      <c r="L1562" s="8">
        <f t="shared" si="41"/>
        <v>9</v>
      </c>
    </row>
    <row r="1563" spans="1:12" x14ac:dyDescent="0.3">
      <c r="A1563" s="10">
        <v>45550</v>
      </c>
      <c r="B1563" s="11">
        <v>45550.609266168984</v>
      </c>
      <c r="C1563" s="12">
        <f t="shared" si="36"/>
        <v>14</v>
      </c>
      <c r="D1563" s="12" t="s">
        <v>4</v>
      </c>
      <c r="E1563" s="12" t="s">
        <v>161</v>
      </c>
      <c r="F1563" s="13">
        <v>23.02</v>
      </c>
      <c r="G1563" s="12" t="s">
        <v>34</v>
      </c>
      <c r="H1563" s="12" t="str">
        <f t="shared" si="37"/>
        <v>Afternoon</v>
      </c>
      <c r="I1563" s="12" t="str">
        <f t="shared" si="38"/>
        <v>Sun</v>
      </c>
      <c r="J1563" s="12" t="str">
        <f t="shared" si="39"/>
        <v>Sep</v>
      </c>
      <c r="K1563" s="12">
        <f t="shared" si="40"/>
        <v>7</v>
      </c>
      <c r="L1563" s="12">
        <f t="shared" si="41"/>
        <v>9</v>
      </c>
    </row>
    <row r="1564" spans="1:12" x14ac:dyDescent="0.3">
      <c r="A1564" s="6">
        <v>45550</v>
      </c>
      <c r="B1564" s="7">
        <v>45550.620355416664</v>
      </c>
      <c r="C1564" s="8">
        <f t="shared" si="36"/>
        <v>14</v>
      </c>
      <c r="D1564" s="8" t="s">
        <v>4</v>
      </c>
      <c r="E1564" s="8" t="s">
        <v>563</v>
      </c>
      <c r="F1564" s="9">
        <v>32.82</v>
      </c>
      <c r="G1564" s="8" t="s">
        <v>49</v>
      </c>
      <c r="H1564" s="8" t="str">
        <f t="shared" si="37"/>
        <v>Afternoon</v>
      </c>
      <c r="I1564" s="8" t="str">
        <f t="shared" si="38"/>
        <v>Sun</v>
      </c>
      <c r="J1564" s="8" t="str">
        <f t="shared" si="39"/>
        <v>Sep</v>
      </c>
      <c r="K1564" s="8">
        <f t="shared" si="40"/>
        <v>7</v>
      </c>
      <c r="L1564" s="8">
        <f t="shared" si="41"/>
        <v>9</v>
      </c>
    </row>
    <row r="1565" spans="1:12" x14ac:dyDescent="0.3">
      <c r="A1565" s="10">
        <v>45551</v>
      </c>
      <c r="B1565" s="11">
        <v>45551.564153645835</v>
      </c>
      <c r="C1565" s="12">
        <f t="shared" si="36"/>
        <v>13</v>
      </c>
      <c r="D1565" s="12" t="s">
        <v>4</v>
      </c>
      <c r="E1565" s="12" t="s">
        <v>641</v>
      </c>
      <c r="F1565" s="13">
        <v>32.82</v>
      </c>
      <c r="G1565" s="12" t="s">
        <v>13</v>
      </c>
      <c r="H1565" s="12" t="str">
        <f t="shared" si="37"/>
        <v>Afternoon</v>
      </c>
      <c r="I1565" s="12" t="str">
        <f t="shared" si="38"/>
        <v>Mon</v>
      </c>
      <c r="J1565" s="12" t="str">
        <f t="shared" si="39"/>
        <v>Sep</v>
      </c>
      <c r="K1565" s="12">
        <f t="shared" si="40"/>
        <v>1</v>
      </c>
      <c r="L1565" s="12">
        <f t="shared" si="41"/>
        <v>9</v>
      </c>
    </row>
    <row r="1566" spans="1:12" x14ac:dyDescent="0.3">
      <c r="A1566" s="6">
        <v>45551</v>
      </c>
      <c r="B1566" s="7">
        <v>45551.565008877318</v>
      </c>
      <c r="C1566" s="8">
        <f t="shared" si="36"/>
        <v>13</v>
      </c>
      <c r="D1566" s="8" t="s">
        <v>4</v>
      </c>
      <c r="E1566" s="8" t="s">
        <v>604</v>
      </c>
      <c r="F1566" s="9">
        <v>27.92</v>
      </c>
      <c r="G1566" s="8" t="s">
        <v>20</v>
      </c>
      <c r="H1566" s="8" t="str">
        <f t="shared" si="37"/>
        <v>Afternoon</v>
      </c>
      <c r="I1566" s="8" t="str">
        <f t="shared" si="38"/>
        <v>Mon</v>
      </c>
      <c r="J1566" s="8" t="str">
        <f t="shared" si="39"/>
        <v>Sep</v>
      </c>
      <c r="K1566" s="8">
        <f t="shared" si="40"/>
        <v>1</v>
      </c>
      <c r="L1566" s="8">
        <f t="shared" si="41"/>
        <v>9</v>
      </c>
    </row>
    <row r="1567" spans="1:12" x14ac:dyDescent="0.3">
      <c r="A1567" s="10">
        <v>45551</v>
      </c>
      <c r="B1567" s="11">
        <v>45551.641195138887</v>
      </c>
      <c r="C1567" s="12">
        <f t="shared" si="36"/>
        <v>15</v>
      </c>
      <c r="D1567" s="12" t="s">
        <v>4</v>
      </c>
      <c r="E1567" s="12" t="s">
        <v>641</v>
      </c>
      <c r="F1567" s="13">
        <v>32.82</v>
      </c>
      <c r="G1567" s="12" t="s">
        <v>13</v>
      </c>
      <c r="H1567" s="12" t="str">
        <f t="shared" si="37"/>
        <v>Afternoon</v>
      </c>
      <c r="I1567" s="12" t="str">
        <f t="shared" si="38"/>
        <v>Mon</v>
      </c>
      <c r="J1567" s="12" t="str">
        <f t="shared" si="39"/>
        <v>Sep</v>
      </c>
      <c r="K1567" s="12">
        <f t="shared" si="40"/>
        <v>1</v>
      </c>
      <c r="L1567" s="12">
        <f t="shared" si="41"/>
        <v>9</v>
      </c>
    </row>
    <row r="1568" spans="1:12" x14ac:dyDescent="0.3">
      <c r="A1568" s="6">
        <v>45551</v>
      </c>
      <c r="B1568" s="7">
        <v>45551.719510810188</v>
      </c>
      <c r="C1568" s="8">
        <f t="shared" si="36"/>
        <v>17</v>
      </c>
      <c r="D1568" s="8" t="s">
        <v>4</v>
      </c>
      <c r="E1568" s="8" t="s">
        <v>642</v>
      </c>
      <c r="F1568" s="9">
        <v>27.92</v>
      </c>
      <c r="G1568" s="8" t="s">
        <v>20</v>
      </c>
      <c r="H1568" s="8" t="str">
        <f t="shared" si="37"/>
        <v>Night</v>
      </c>
      <c r="I1568" s="8" t="str">
        <f t="shared" si="38"/>
        <v>Mon</v>
      </c>
      <c r="J1568" s="8" t="str">
        <f t="shared" si="39"/>
        <v>Sep</v>
      </c>
      <c r="K1568" s="8">
        <f t="shared" si="40"/>
        <v>1</v>
      </c>
      <c r="L1568" s="8">
        <f t="shared" si="41"/>
        <v>9</v>
      </c>
    </row>
    <row r="1569" spans="1:12" x14ac:dyDescent="0.3">
      <c r="A1569" s="10">
        <v>45551</v>
      </c>
      <c r="B1569" s="11">
        <v>45551.720870960649</v>
      </c>
      <c r="C1569" s="12">
        <f t="shared" si="36"/>
        <v>17</v>
      </c>
      <c r="D1569" s="12" t="s">
        <v>4</v>
      </c>
      <c r="E1569" s="12" t="s">
        <v>643</v>
      </c>
      <c r="F1569" s="13">
        <v>32.82</v>
      </c>
      <c r="G1569" s="12" t="s">
        <v>13</v>
      </c>
      <c r="H1569" s="12" t="str">
        <f t="shared" si="37"/>
        <v>Night</v>
      </c>
      <c r="I1569" s="12" t="str">
        <f t="shared" si="38"/>
        <v>Mon</v>
      </c>
      <c r="J1569" s="12" t="str">
        <f t="shared" si="39"/>
        <v>Sep</v>
      </c>
      <c r="K1569" s="12">
        <f t="shared" si="40"/>
        <v>1</v>
      </c>
      <c r="L1569" s="12">
        <f t="shared" si="41"/>
        <v>9</v>
      </c>
    </row>
    <row r="1570" spans="1:12" x14ac:dyDescent="0.3">
      <c r="A1570" s="6">
        <v>45551</v>
      </c>
      <c r="B1570" s="7">
        <v>45551.788026018519</v>
      </c>
      <c r="C1570" s="8">
        <f t="shared" si="36"/>
        <v>18</v>
      </c>
      <c r="D1570" s="8" t="s">
        <v>4</v>
      </c>
      <c r="E1570" s="8" t="s">
        <v>644</v>
      </c>
      <c r="F1570" s="9">
        <v>32.82</v>
      </c>
      <c r="G1570" s="8" t="s">
        <v>13</v>
      </c>
      <c r="H1570" s="8" t="str">
        <f t="shared" si="37"/>
        <v>Night</v>
      </c>
      <c r="I1570" s="8" t="str">
        <f t="shared" si="38"/>
        <v>Mon</v>
      </c>
      <c r="J1570" s="8" t="str">
        <f t="shared" si="39"/>
        <v>Sep</v>
      </c>
      <c r="K1570" s="8">
        <f t="shared" si="40"/>
        <v>1</v>
      </c>
      <c r="L1570" s="8">
        <f t="shared" si="41"/>
        <v>9</v>
      </c>
    </row>
    <row r="1571" spans="1:12" x14ac:dyDescent="0.3">
      <c r="A1571" s="10">
        <v>45551</v>
      </c>
      <c r="B1571" s="11">
        <v>45551.788949942129</v>
      </c>
      <c r="C1571" s="12">
        <f t="shared" si="36"/>
        <v>18</v>
      </c>
      <c r="D1571" s="12" t="s">
        <v>4</v>
      </c>
      <c r="E1571" s="12" t="s">
        <v>645</v>
      </c>
      <c r="F1571" s="13">
        <v>32.82</v>
      </c>
      <c r="G1571" s="12" t="s">
        <v>13</v>
      </c>
      <c r="H1571" s="12" t="str">
        <f t="shared" si="37"/>
        <v>Night</v>
      </c>
      <c r="I1571" s="12" t="str">
        <f t="shared" si="38"/>
        <v>Mon</v>
      </c>
      <c r="J1571" s="12" t="str">
        <f t="shared" si="39"/>
        <v>Sep</v>
      </c>
      <c r="K1571" s="12">
        <f t="shared" si="40"/>
        <v>1</v>
      </c>
      <c r="L1571" s="12">
        <f t="shared" si="41"/>
        <v>9</v>
      </c>
    </row>
    <row r="1572" spans="1:12" x14ac:dyDescent="0.3">
      <c r="A1572" s="6">
        <v>45551</v>
      </c>
      <c r="B1572" s="7">
        <v>45551.88216079861</v>
      </c>
      <c r="C1572" s="8">
        <f t="shared" si="36"/>
        <v>21</v>
      </c>
      <c r="D1572" s="8" t="s">
        <v>4</v>
      </c>
      <c r="E1572" s="8" t="s">
        <v>646</v>
      </c>
      <c r="F1572" s="9">
        <v>27.92</v>
      </c>
      <c r="G1572" s="8" t="s">
        <v>20</v>
      </c>
      <c r="H1572" s="8" t="str">
        <f t="shared" si="37"/>
        <v>Night</v>
      </c>
      <c r="I1572" s="8" t="str">
        <f t="shared" si="38"/>
        <v>Mon</v>
      </c>
      <c r="J1572" s="8" t="str">
        <f t="shared" si="39"/>
        <v>Sep</v>
      </c>
      <c r="K1572" s="8">
        <f t="shared" si="40"/>
        <v>1</v>
      </c>
      <c r="L1572" s="8">
        <f t="shared" si="41"/>
        <v>9</v>
      </c>
    </row>
    <row r="1573" spans="1:12" x14ac:dyDescent="0.3">
      <c r="A1573" s="10">
        <v>45551</v>
      </c>
      <c r="B1573" s="11">
        <v>45551.883015046296</v>
      </c>
      <c r="C1573" s="12">
        <f t="shared" si="36"/>
        <v>21</v>
      </c>
      <c r="D1573" s="12" t="s">
        <v>4</v>
      </c>
      <c r="E1573" s="12" t="s">
        <v>646</v>
      </c>
      <c r="F1573" s="13">
        <v>32.82</v>
      </c>
      <c r="G1573" s="12" t="s">
        <v>13</v>
      </c>
      <c r="H1573" s="12" t="str">
        <f t="shared" si="37"/>
        <v>Night</v>
      </c>
      <c r="I1573" s="12" t="str">
        <f t="shared" si="38"/>
        <v>Mon</v>
      </c>
      <c r="J1573" s="12" t="str">
        <f t="shared" si="39"/>
        <v>Sep</v>
      </c>
      <c r="K1573" s="12">
        <f t="shared" si="40"/>
        <v>1</v>
      </c>
      <c r="L1573" s="12">
        <f t="shared" si="41"/>
        <v>9</v>
      </c>
    </row>
    <row r="1574" spans="1:12" x14ac:dyDescent="0.3">
      <c r="A1574" s="6">
        <v>45551</v>
      </c>
      <c r="B1574" s="7">
        <v>45551.901241990738</v>
      </c>
      <c r="C1574" s="8">
        <f t="shared" si="36"/>
        <v>21</v>
      </c>
      <c r="D1574" s="8" t="s">
        <v>4</v>
      </c>
      <c r="E1574" s="8" t="s">
        <v>307</v>
      </c>
      <c r="F1574" s="9">
        <v>27.92</v>
      </c>
      <c r="G1574" s="8" t="s">
        <v>20</v>
      </c>
      <c r="H1574" s="8" t="str">
        <f t="shared" si="37"/>
        <v>Night</v>
      </c>
      <c r="I1574" s="8" t="str">
        <f t="shared" si="38"/>
        <v>Mon</v>
      </c>
      <c r="J1574" s="8" t="str">
        <f t="shared" si="39"/>
        <v>Sep</v>
      </c>
      <c r="K1574" s="8">
        <f t="shared" si="40"/>
        <v>1</v>
      </c>
      <c r="L1574" s="8">
        <f t="shared" si="41"/>
        <v>9</v>
      </c>
    </row>
    <row r="1575" spans="1:12" x14ac:dyDescent="0.3">
      <c r="A1575" s="10">
        <v>45551</v>
      </c>
      <c r="B1575" s="11">
        <v>45551.901952152781</v>
      </c>
      <c r="C1575" s="12">
        <f t="shared" si="36"/>
        <v>21</v>
      </c>
      <c r="D1575" s="12" t="s">
        <v>4</v>
      </c>
      <c r="E1575" s="12" t="s">
        <v>117</v>
      </c>
      <c r="F1575" s="13">
        <v>27.92</v>
      </c>
      <c r="G1575" s="12" t="s">
        <v>20</v>
      </c>
      <c r="H1575" s="12" t="str">
        <f t="shared" si="37"/>
        <v>Night</v>
      </c>
      <c r="I1575" s="12" t="str">
        <f t="shared" si="38"/>
        <v>Mon</v>
      </c>
      <c r="J1575" s="12" t="str">
        <f t="shared" si="39"/>
        <v>Sep</v>
      </c>
      <c r="K1575" s="12">
        <f t="shared" si="40"/>
        <v>1</v>
      </c>
      <c r="L1575" s="12">
        <f t="shared" si="41"/>
        <v>9</v>
      </c>
    </row>
    <row r="1576" spans="1:12" x14ac:dyDescent="0.3">
      <c r="A1576" s="6">
        <v>45552</v>
      </c>
      <c r="B1576" s="7">
        <v>45552.329837118057</v>
      </c>
      <c r="C1576" s="8">
        <f t="shared" si="36"/>
        <v>7</v>
      </c>
      <c r="D1576" s="8" t="s">
        <v>4</v>
      </c>
      <c r="E1576" s="8" t="s">
        <v>647</v>
      </c>
      <c r="F1576" s="9">
        <v>23.02</v>
      </c>
      <c r="G1576" s="8" t="s">
        <v>34</v>
      </c>
      <c r="H1576" s="8" t="str">
        <f t="shared" si="37"/>
        <v>Morning</v>
      </c>
      <c r="I1576" s="8" t="str">
        <f t="shared" si="38"/>
        <v>Tue</v>
      </c>
      <c r="J1576" s="8" t="str">
        <f t="shared" si="39"/>
        <v>Sep</v>
      </c>
      <c r="K1576" s="8">
        <f t="shared" si="40"/>
        <v>2</v>
      </c>
      <c r="L1576" s="8">
        <f t="shared" si="41"/>
        <v>9</v>
      </c>
    </row>
    <row r="1577" spans="1:12" x14ac:dyDescent="0.3">
      <c r="A1577" s="10">
        <v>45552</v>
      </c>
      <c r="B1577" s="11">
        <v>45552.339593703706</v>
      </c>
      <c r="C1577" s="12">
        <f t="shared" si="36"/>
        <v>8</v>
      </c>
      <c r="D1577" s="12" t="s">
        <v>4</v>
      </c>
      <c r="E1577" s="12" t="s">
        <v>641</v>
      </c>
      <c r="F1577" s="13">
        <v>32.82</v>
      </c>
      <c r="G1577" s="12" t="s">
        <v>13</v>
      </c>
      <c r="H1577" s="12" t="str">
        <f t="shared" si="37"/>
        <v>Morning</v>
      </c>
      <c r="I1577" s="12" t="str">
        <f t="shared" si="38"/>
        <v>Tue</v>
      </c>
      <c r="J1577" s="12" t="str">
        <f t="shared" si="39"/>
        <v>Sep</v>
      </c>
      <c r="K1577" s="12">
        <f t="shared" si="40"/>
        <v>2</v>
      </c>
      <c r="L1577" s="12">
        <f t="shared" si="41"/>
        <v>9</v>
      </c>
    </row>
    <row r="1578" spans="1:12" x14ac:dyDescent="0.3">
      <c r="A1578" s="6">
        <v>45552</v>
      </c>
      <c r="B1578" s="7">
        <v>45552.359462418979</v>
      </c>
      <c r="C1578" s="8">
        <f t="shared" si="36"/>
        <v>8</v>
      </c>
      <c r="D1578" s="8" t="s">
        <v>4</v>
      </c>
      <c r="E1578" s="8" t="s">
        <v>296</v>
      </c>
      <c r="F1578" s="9">
        <v>27.92</v>
      </c>
      <c r="G1578" s="8" t="s">
        <v>20</v>
      </c>
      <c r="H1578" s="8" t="str">
        <f t="shared" si="37"/>
        <v>Morning</v>
      </c>
      <c r="I1578" s="8" t="str">
        <f t="shared" si="38"/>
        <v>Tue</v>
      </c>
      <c r="J1578" s="8" t="str">
        <f t="shared" si="39"/>
        <v>Sep</v>
      </c>
      <c r="K1578" s="8">
        <f t="shared" si="40"/>
        <v>2</v>
      </c>
      <c r="L1578" s="8">
        <f t="shared" si="41"/>
        <v>9</v>
      </c>
    </row>
    <row r="1579" spans="1:12" x14ac:dyDescent="0.3">
      <c r="A1579" s="10">
        <v>45552</v>
      </c>
      <c r="B1579" s="11">
        <v>45552.362864282404</v>
      </c>
      <c r="C1579" s="12">
        <f t="shared" si="36"/>
        <v>8</v>
      </c>
      <c r="D1579" s="12" t="s">
        <v>4</v>
      </c>
      <c r="E1579" s="12" t="s">
        <v>161</v>
      </c>
      <c r="F1579" s="13">
        <v>23.02</v>
      </c>
      <c r="G1579" s="12" t="s">
        <v>34</v>
      </c>
      <c r="H1579" s="12" t="str">
        <f t="shared" si="37"/>
        <v>Morning</v>
      </c>
      <c r="I1579" s="12" t="str">
        <f t="shared" si="38"/>
        <v>Tue</v>
      </c>
      <c r="J1579" s="12" t="str">
        <f t="shared" si="39"/>
        <v>Sep</v>
      </c>
      <c r="K1579" s="12">
        <f t="shared" si="40"/>
        <v>2</v>
      </c>
      <c r="L1579" s="12">
        <f t="shared" si="41"/>
        <v>9</v>
      </c>
    </row>
    <row r="1580" spans="1:12" x14ac:dyDescent="0.3">
      <c r="A1580" s="6">
        <v>45552</v>
      </c>
      <c r="B1580" s="7">
        <v>45552.381987905093</v>
      </c>
      <c r="C1580" s="8">
        <f t="shared" si="36"/>
        <v>9</v>
      </c>
      <c r="D1580" s="8" t="s">
        <v>4</v>
      </c>
      <c r="E1580" s="8" t="s">
        <v>574</v>
      </c>
      <c r="F1580" s="9">
        <v>32.82</v>
      </c>
      <c r="G1580" s="8" t="s">
        <v>49</v>
      </c>
      <c r="H1580" s="8" t="str">
        <f t="shared" si="37"/>
        <v>Morning</v>
      </c>
      <c r="I1580" s="8" t="str">
        <f t="shared" si="38"/>
        <v>Tue</v>
      </c>
      <c r="J1580" s="8" t="str">
        <f t="shared" si="39"/>
        <v>Sep</v>
      </c>
      <c r="K1580" s="8">
        <f t="shared" si="40"/>
        <v>2</v>
      </c>
      <c r="L1580" s="8">
        <f t="shared" si="41"/>
        <v>9</v>
      </c>
    </row>
    <row r="1581" spans="1:12" x14ac:dyDescent="0.3">
      <c r="A1581" s="10">
        <v>45552</v>
      </c>
      <c r="B1581" s="11">
        <v>45552.382734039355</v>
      </c>
      <c r="C1581" s="12">
        <f t="shared" si="36"/>
        <v>9</v>
      </c>
      <c r="D1581" s="12" t="s">
        <v>4</v>
      </c>
      <c r="E1581" s="12" t="s">
        <v>574</v>
      </c>
      <c r="F1581" s="13">
        <v>27.92</v>
      </c>
      <c r="G1581" s="12" t="s">
        <v>20</v>
      </c>
      <c r="H1581" s="12" t="str">
        <f t="shared" si="37"/>
        <v>Morning</v>
      </c>
      <c r="I1581" s="12" t="str">
        <f t="shared" si="38"/>
        <v>Tue</v>
      </c>
      <c r="J1581" s="12" t="str">
        <f t="shared" si="39"/>
        <v>Sep</v>
      </c>
      <c r="K1581" s="12">
        <f t="shared" si="40"/>
        <v>2</v>
      </c>
      <c r="L1581" s="12">
        <f t="shared" si="41"/>
        <v>9</v>
      </c>
    </row>
    <row r="1582" spans="1:12" x14ac:dyDescent="0.3">
      <c r="A1582" s="6">
        <v>45552</v>
      </c>
      <c r="B1582" s="7">
        <v>45552.399268055553</v>
      </c>
      <c r="C1582" s="8">
        <f t="shared" si="36"/>
        <v>9</v>
      </c>
      <c r="D1582" s="8" t="s">
        <v>4</v>
      </c>
      <c r="E1582" s="8" t="s">
        <v>640</v>
      </c>
      <c r="F1582" s="9">
        <v>27.92</v>
      </c>
      <c r="G1582" s="8" t="s">
        <v>20</v>
      </c>
      <c r="H1582" s="8" t="str">
        <f t="shared" si="37"/>
        <v>Morning</v>
      </c>
      <c r="I1582" s="8" t="str">
        <f t="shared" si="38"/>
        <v>Tue</v>
      </c>
      <c r="J1582" s="8" t="str">
        <f t="shared" si="39"/>
        <v>Sep</v>
      </c>
      <c r="K1582" s="8">
        <f t="shared" si="40"/>
        <v>2</v>
      </c>
      <c r="L1582" s="8">
        <f t="shared" si="41"/>
        <v>9</v>
      </c>
    </row>
    <row r="1583" spans="1:12" x14ac:dyDescent="0.3">
      <c r="A1583" s="10">
        <v>45552</v>
      </c>
      <c r="B1583" s="11">
        <v>45552.526779722219</v>
      </c>
      <c r="C1583" s="12">
        <f t="shared" si="36"/>
        <v>12</v>
      </c>
      <c r="D1583" s="12" t="s">
        <v>4</v>
      </c>
      <c r="E1583" s="12" t="s">
        <v>648</v>
      </c>
      <c r="F1583" s="13">
        <v>18.12</v>
      </c>
      <c r="G1583" s="12" t="s">
        <v>41</v>
      </c>
      <c r="H1583" s="12" t="str">
        <f t="shared" si="37"/>
        <v>Afternoon</v>
      </c>
      <c r="I1583" s="12" t="str">
        <f t="shared" si="38"/>
        <v>Tue</v>
      </c>
      <c r="J1583" s="12" t="str">
        <f t="shared" si="39"/>
        <v>Sep</v>
      </c>
      <c r="K1583" s="12">
        <f t="shared" si="40"/>
        <v>2</v>
      </c>
      <c r="L1583" s="12">
        <f t="shared" si="41"/>
        <v>9</v>
      </c>
    </row>
    <row r="1584" spans="1:12" x14ac:dyDescent="0.3">
      <c r="A1584" s="6">
        <v>45552</v>
      </c>
      <c r="B1584" s="7">
        <v>45552.5274731713</v>
      </c>
      <c r="C1584" s="8">
        <f t="shared" si="36"/>
        <v>12</v>
      </c>
      <c r="D1584" s="8" t="s">
        <v>4</v>
      </c>
      <c r="E1584" s="8" t="s">
        <v>648</v>
      </c>
      <c r="F1584" s="9">
        <v>27.92</v>
      </c>
      <c r="G1584" s="8" t="s">
        <v>20</v>
      </c>
      <c r="H1584" s="8" t="str">
        <f t="shared" si="37"/>
        <v>Afternoon</v>
      </c>
      <c r="I1584" s="8" t="str">
        <f t="shared" si="38"/>
        <v>Tue</v>
      </c>
      <c r="J1584" s="8" t="str">
        <f t="shared" si="39"/>
        <v>Sep</v>
      </c>
      <c r="K1584" s="8">
        <f t="shared" si="40"/>
        <v>2</v>
      </c>
      <c r="L1584" s="8">
        <f t="shared" si="41"/>
        <v>9</v>
      </c>
    </row>
    <row r="1585" spans="1:12" x14ac:dyDescent="0.3">
      <c r="A1585" s="10">
        <v>45552</v>
      </c>
      <c r="B1585" s="11">
        <v>45552.530730925922</v>
      </c>
      <c r="C1585" s="12">
        <f t="shared" si="36"/>
        <v>12</v>
      </c>
      <c r="D1585" s="12" t="s">
        <v>4</v>
      </c>
      <c r="E1585" s="12" t="s">
        <v>649</v>
      </c>
      <c r="F1585" s="13">
        <v>32.82</v>
      </c>
      <c r="G1585" s="12" t="s">
        <v>13</v>
      </c>
      <c r="H1585" s="12" t="str">
        <f t="shared" si="37"/>
        <v>Afternoon</v>
      </c>
      <c r="I1585" s="12" t="str">
        <f t="shared" si="38"/>
        <v>Tue</v>
      </c>
      <c r="J1585" s="12" t="str">
        <f t="shared" si="39"/>
        <v>Sep</v>
      </c>
      <c r="K1585" s="12">
        <f t="shared" si="40"/>
        <v>2</v>
      </c>
      <c r="L1585" s="12">
        <f t="shared" si="41"/>
        <v>9</v>
      </c>
    </row>
    <row r="1586" spans="1:12" x14ac:dyDescent="0.3">
      <c r="A1586" s="6">
        <v>45552</v>
      </c>
      <c r="B1586" s="7">
        <v>45552.579433240739</v>
      </c>
      <c r="C1586" s="8">
        <f t="shared" si="36"/>
        <v>13</v>
      </c>
      <c r="D1586" s="8" t="s">
        <v>4</v>
      </c>
      <c r="E1586" s="8" t="s">
        <v>574</v>
      </c>
      <c r="F1586" s="9">
        <v>27.92</v>
      </c>
      <c r="G1586" s="8" t="s">
        <v>20</v>
      </c>
      <c r="H1586" s="8" t="str">
        <f t="shared" si="37"/>
        <v>Afternoon</v>
      </c>
      <c r="I1586" s="8" t="str">
        <f t="shared" si="38"/>
        <v>Tue</v>
      </c>
      <c r="J1586" s="8" t="str">
        <f t="shared" si="39"/>
        <v>Sep</v>
      </c>
      <c r="K1586" s="8">
        <f t="shared" si="40"/>
        <v>2</v>
      </c>
      <c r="L1586" s="8">
        <f t="shared" si="41"/>
        <v>9</v>
      </c>
    </row>
    <row r="1587" spans="1:12" x14ac:dyDescent="0.3">
      <c r="A1587" s="10">
        <v>45552</v>
      </c>
      <c r="B1587" s="11">
        <v>45552.580222696757</v>
      </c>
      <c r="C1587" s="12">
        <f t="shared" si="36"/>
        <v>13</v>
      </c>
      <c r="D1587" s="12" t="s">
        <v>4</v>
      </c>
      <c r="E1587" s="12" t="s">
        <v>650</v>
      </c>
      <c r="F1587" s="13">
        <v>23.02</v>
      </c>
      <c r="G1587" s="12" t="s">
        <v>34</v>
      </c>
      <c r="H1587" s="12" t="str">
        <f t="shared" si="37"/>
        <v>Afternoon</v>
      </c>
      <c r="I1587" s="12" t="str">
        <f t="shared" si="38"/>
        <v>Tue</v>
      </c>
      <c r="J1587" s="12" t="str">
        <f t="shared" si="39"/>
        <v>Sep</v>
      </c>
      <c r="K1587" s="12">
        <f t="shared" si="40"/>
        <v>2</v>
      </c>
      <c r="L1587" s="12">
        <f t="shared" si="41"/>
        <v>9</v>
      </c>
    </row>
    <row r="1588" spans="1:12" x14ac:dyDescent="0.3">
      <c r="A1588" s="6">
        <v>45552</v>
      </c>
      <c r="B1588" s="7">
        <v>45552.687236296297</v>
      </c>
      <c r="C1588" s="8">
        <f t="shared" si="36"/>
        <v>16</v>
      </c>
      <c r="D1588" s="8" t="s">
        <v>4</v>
      </c>
      <c r="E1588" s="8" t="s">
        <v>574</v>
      </c>
      <c r="F1588" s="9">
        <v>32.82</v>
      </c>
      <c r="G1588" s="8" t="s">
        <v>49</v>
      </c>
      <c r="H1588" s="8" t="str">
        <f t="shared" si="37"/>
        <v>Afternoon</v>
      </c>
      <c r="I1588" s="8" t="str">
        <f t="shared" si="38"/>
        <v>Tue</v>
      </c>
      <c r="J1588" s="8" t="str">
        <f t="shared" si="39"/>
        <v>Sep</v>
      </c>
      <c r="K1588" s="8">
        <f t="shared" si="40"/>
        <v>2</v>
      </c>
      <c r="L1588" s="8">
        <f t="shared" si="41"/>
        <v>9</v>
      </c>
    </row>
    <row r="1589" spans="1:12" x14ac:dyDescent="0.3">
      <c r="A1589" s="10">
        <v>45552</v>
      </c>
      <c r="B1589" s="11">
        <v>45552.688202731479</v>
      </c>
      <c r="C1589" s="12">
        <f t="shared" si="36"/>
        <v>16</v>
      </c>
      <c r="D1589" s="12" t="s">
        <v>4</v>
      </c>
      <c r="E1589" s="12" t="s">
        <v>650</v>
      </c>
      <c r="F1589" s="13">
        <v>32.82</v>
      </c>
      <c r="G1589" s="12" t="s">
        <v>13</v>
      </c>
      <c r="H1589" s="12" t="str">
        <f t="shared" si="37"/>
        <v>Afternoon</v>
      </c>
      <c r="I1589" s="12" t="str">
        <f t="shared" si="38"/>
        <v>Tue</v>
      </c>
      <c r="J1589" s="12" t="str">
        <f t="shared" si="39"/>
        <v>Sep</v>
      </c>
      <c r="K1589" s="12">
        <f t="shared" si="40"/>
        <v>2</v>
      </c>
      <c r="L1589" s="12">
        <f t="shared" si="41"/>
        <v>9</v>
      </c>
    </row>
    <row r="1590" spans="1:12" x14ac:dyDescent="0.3">
      <c r="A1590" s="6">
        <v>45552</v>
      </c>
      <c r="B1590" s="7">
        <v>45552.787775266203</v>
      </c>
      <c r="C1590" s="8">
        <f t="shared" si="36"/>
        <v>18</v>
      </c>
      <c r="D1590" s="8" t="s">
        <v>4</v>
      </c>
      <c r="E1590" s="8" t="s">
        <v>651</v>
      </c>
      <c r="F1590" s="9">
        <v>32.82</v>
      </c>
      <c r="G1590" s="8" t="s">
        <v>15</v>
      </c>
      <c r="H1590" s="8" t="str">
        <f t="shared" si="37"/>
        <v>Night</v>
      </c>
      <c r="I1590" s="8" t="str">
        <f t="shared" si="38"/>
        <v>Tue</v>
      </c>
      <c r="J1590" s="8" t="str">
        <f t="shared" si="39"/>
        <v>Sep</v>
      </c>
      <c r="K1590" s="8">
        <f t="shared" si="40"/>
        <v>2</v>
      </c>
      <c r="L1590" s="8">
        <f t="shared" si="41"/>
        <v>9</v>
      </c>
    </row>
    <row r="1591" spans="1:12" x14ac:dyDescent="0.3">
      <c r="A1591" s="10">
        <v>45552</v>
      </c>
      <c r="B1591" s="11">
        <v>45552.792198067131</v>
      </c>
      <c r="C1591" s="12">
        <f t="shared" si="36"/>
        <v>19</v>
      </c>
      <c r="D1591" s="12" t="s">
        <v>4</v>
      </c>
      <c r="E1591" s="12" t="s">
        <v>652</v>
      </c>
      <c r="F1591" s="13">
        <v>27.92</v>
      </c>
      <c r="G1591" s="12" t="s">
        <v>20</v>
      </c>
      <c r="H1591" s="12" t="str">
        <f t="shared" si="37"/>
        <v>Night</v>
      </c>
      <c r="I1591" s="12" t="str">
        <f t="shared" si="38"/>
        <v>Tue</v>
      </c>
      <c r="J1591" s="12" t="str">
        <f t="shared" si="39"/>
        <v>Sep</v>
      </c>
      <c r="K1591" s="12">
        <f t="shared" si="40"/>
        <v>2</v>
      </c>
      <c r="L1591" s="12">
        <f t="shared" si="41"/>
        <v>9</v>
      </c>
    </row>
    <row r="1592" spans="1:12" x14ac:dyDescent="0.3">
      <c r="A1592" s="6">
        <v>45552</v>
      </c>
      <c r="B1592" s="7">
        <v>45552.79436659722</v>
      </c>
      <c r="C1592" s="8">
        <f t="shared" si="36"/>
        <v>19</v>
      </c>
      <c r="D1592" s="8" t="s">
        <v>4</v>
      </c>
      <c r="E1592" s="8" t="s">
        <v>653</v>
      </c>
      <c r="F1592" s="9">
        <v>27.92</v>
      </c>
      <c r="G1592" s="8" t="s">
        <v>20</v>
      </c>
      <c r="H1592" s="8" t="str">
        <f t="shared" si="37"/>
        <v>Night</v>
      </c>
      <c r="I1592" s="8" t="str">
        <f t="shared" si="38"/>
        <v>Tue</v>
      </c>
      <c r="J1592" s="8" t="str">
        <f t="shared" si="39"/>
        <v>Sep</v>
      </c>
      <c r="K1592" s="8">
        <f t="shared" si="40"/>
        <v>2</v>
      </c>
      <c r="L1592" s="8">
        <f t="shared" si="41"/>
        <v>9</v>
      </c>
    </row>
    <row r="1593" spans="1:12" x14ac:dyDescent="0.3">
      <c r="A1593" s="10">
        <v>45552</v>
      </c>
      <c r="B1593" s="11">
        <v>45552.800554456022</v>
      </c>
      <c r="C1593" s="12">
        <f t="shared" si="36"/>
        <v>19</v>
      </c>
      <c r="D1593" s="12" t="s">
        <v>4</v>
      </c>
      <c r="E1593" s="12" t="s">
        <v>654</v>
      </c>
      <c r="F1593" s="13">
        <v>32.82</v>
      </c>
      <c r="G1593" s="12" t="s">
        <v>13</v>
      </c>
      <c r="H1593" s="12" t="str">
        <f t="shared" si="37"/>
        <v>Night</v>
      </c>
      <c r="I1593" s="12" t="str">
        <f t="shared" si="38"/>
        <v>Tue</v>
      </c>
      <c r="J1593" s="12" t="str">
        <f t="shared" si="39"/>
        <v>Sep</v>
      </c>
      <c r="K1593" s="12">
        <f t="shared" si="40"/>
        <v>2</v>
      </c>
      <c r="L1593" s="12">
        <f t="shared" si="41"/>
        <v>9</v>
      </c>
    </row>
    <row r="1594" spans="1:12" x14ac:dyDescent="0.3">
      <c r="A1594" s="6">
        <v>45552</v>
      </c>
      <c r="B1594" s="7">
        <v>45552.801385902778</v>
      </c>
      <c r="C1594" s="8">
        <f t="shared" si="36"/>
        <v>19</v>
      </c>
      <c r="D1594" s="8" t="s">
        <v>4</v>
      </c>
      <c r="E1594" s="8" t="s">
        <v>654</v>
      </c>
      <c r="F1594" s="9">
        <v>27.92</v>
      </c>
      <c r="G1594" s="8" t="s">
        <v>20</v>
      </c>
      <c r="H1594" s="8" t="str">
        <f t="shared" si="37"/>
        <v>Night</v>
      </c>
      <c r="I1594" s="8" t="str">
        <f t="shared" si="38"/>
        <v>Tue</v>
      </c>
      <c r="J1594" s="8" t="str">
        <f t="shared" si="39"/>
        <v>Sep</v>
      </c>
      <c r="K1594" s="8">
        <f t="shared" si="40"/>
        <v>2</v>
      </c>
      <c r="L1594" s="8">
        <f t="shared" si="41"/>
        <v>9</v>
      </c>
    </row>
    <row r="1595" spans="1:12" x14ac:dyDescent="0.3">
      <c r="A1595" s="10">
        <v>45552</v>
      </c>
      <c r="B1595" s="11">
        <v>45552.802077696761</v>
      </c>
      <c r="C1595" s="12">
        <f t="shared" si="36"/>
        <v>19</v>
      </c>
      <c r="D1595" s="12" t="s">
        <v>4</v>
      </c>
      <c r="E1595" s="12" t="s">
        <v>654</v>
      </c>
      <c r="F1595" s="13">
        <v>27.92</v>
      </c>
      <c r="G1595" s="12" t="s">
        <v>20</v>
      </c>
      <c r="H1595" s="12" t="str">
        <f t="shared" si="37"/>
        <v>Night</v>
      </c>
      <c r="I1595" s="12" t="str">
        <f t="shared" si="38"/>
        <v>Tue</v>
      </c>
      <c r="J1595" s="12" t="str">
        <f t="shared" si="39"/>
        <v>Sep</v>
      </c>
      <c r="K1595" s="12">
        <f t="shared" si="40"/>
        <v>2</v>
      </c>
      <c r="L1595" s="12">
        <f t="shared" si="41"/>
        <v>9</v>
      </c>
    </row>
    <row r="1596" spans="1:12" x14ac:dyDescent="0.3">
      <c r="A1596" s="6">
        <v>45552</v>
      </c>
      <c r="B1596" s="7">
        <v>45552.813858425929</v>
      </c>
      <c r="C1596" s="8">
        <f t="shared" si="36"/>
        <v>19</v>
      </c>
      <c r="D1596" s="8" t="s">
        <v>4</v>
      </c>
      <c r="E1596" s="8" t="s">
        <v>655</v>
      </c>
      <c r="F1596" s="9">
        <v>27.92</v>
      </c>
      <c r="G1596" s="8" t="s">
        <v>20</v>
      </c>
      <c r="H1596" s="8" t="str">
        <f t="shared" si="37"/>
        <v>Night</v>
      </c>
      <c r="I1596" s="8" t="str">
        <f t="shared" si="38"/>
        <v>Tue</v>
      </c>
      <c r="J1596" s="8" t="str">
        <f t="shared" si="39"/>
        <v>Sep</v>
      </c>
      <c r="K1596" s="8">
        <f t="shared" si="40"/>
        <v>2</v>
      </c>
      <c r="L1596" s="8">
        <f t="shared" si="41"/>
        <v>9</v>
      </c>
    </row>
    <row r="1597" spans="1:12" x14ac:dyDescent="0.3">
      <c r="A1597" s="10">
        <v>45552</v>
      </c>
      <c r="B1597" s="11">
        <v>45552.930277557869</v>
      </c>
      <c r="C1597" s="12">
        <f t="shared" si="36"/>
        <v>22</v>
      </c>
      <c r="D1597" s="12" t="s">
        <v>4</v>
      </c>
      <c r="E1597" s="12" t="s">
        <v>656</v>
      </c>
      <c r="F1597" s="13">
        <v>32.82</v>
      </c>
      <c r="G1597" s="12" t="s">
        <v>15</v>
      </c>
      <c r="H1597" s="12" t="str">
        <f t="shared" si="37"/>
        <v>Night</v>
      </c>
      <c r="I1597" s="12" t="str">
        <f t="shared" si="38"/>
        <v>Tue</v>
      </c>
      <c r="J1597" s="12" t="str">
        <f t="shared" si="39"/>
        <v>Sep</v>
      </c>
      <c r="K1597" s="12">
        <f t="shared" si="40"/>
        <v>2</v>
      </c>
      <c r="L1597" s="12">
        <f t="shared" si="41"/>
        <v>9</v>
      </c>
    </row>
    <row r="1598" spans="1:12" x14ac:dyDescent="0.3">
      <c r="A1598" s="6">
        <v>45552</v>
      </c>
      <c r="B1598" s="7">
        <v>45552.930780671297</v>
      </c>
      <c r="C1598" s="8">
        <f t="shared" si="36"/>
        <v>22</v>
      </c>
      <c r="D1598" s="8" t="s">
        <v>4</v>
      </c>
      <c r="E1598" s="8" t="s">
        <v>657</v>
      </c>
      <c r="F1598" s="9">
        <v>32.82</v>
      </c>
      <c r="G1598" s="8" t="s">
        <v>15</v>
      </c>
      <c r="H1598" s="8" t="str">
        <f t="shared" si="37"/>
        <v>Night</v>
      </c>
      <c r="I1598" s="8" t="str">
        <f t="shared" si="38"/>
        <v>Tue</v>
      </c>
      <c r="J1598" s="8" t="str">
        <f t="shared" si="39"/>
        <v>Sep</v>
      </c>
      <c r="K1598" s="8">
        <f t="shared" si="40"/>
        <v>2</v>
      </c>
      <c r="L1598" s="8">
        <f t="shared" si="41"/>
        <v>9</v>
      </c>
    </row>
    <row r="1599" spans="1:12" x14ac:dyDescent="0.3">
      <c r="A1599" s="10">
        <v>45553</v>
      </c>
      <c r="B1599" s="11">
        <v>45553.604038171296</v>
      </c>
      <c r="C1599" s="12">
        <f t="shared" si="36"/>
        <v>14</v>
      </c>
      <c r="D1599" s="12" t="s">
        <v>4</v>
      </c>
      <c r="E1599" s="12" t="s">
        <v>658</v>
      </c>
      <c r="F1599" s="13">
        <v>32.82</v>
      </c>
      <c r="G1599" s="12" t="s">
        <v>13</v>
      </c>
      <c r="H1599" s="12" t="str">
        <f t="shared" si="37"/>
        <v>Afternoon</v>
      </c>
      <c r="I1599" s="12" t="str">
        <f t="shared" si="38"/>
        <v>Wed</v>
      </c>
      <c r="J1599" s="12" t="str">
        <f t="shared" si="39"/>
        <v>Sep</v>
      </c>
      <c r="K1599" s="12">
        <f t="shared" si="40"/>
        <v>3</v>
      </c>
      <c r="L1599" s="12">
        <f t="shared" si="41"/>
        <v>9</v>
      </c>
    </row>
    <row r="1600" spans="1:12" x14ac:dyDescent="0.3">
      <c r="A1600" s="6">
        <v>45553</v>
      </c>
      <c r="B1600" s="7">
        <v>45553.732172048614</v>
      </c>
      <c r="C1600" s="8">
        <f t="shared" si="36"/>
        <v>17</v>
      </c>
      <c r="D1600" s="8" t="s">
        <v>4</v>
      </c>
      <c r="E1600" s="8" t="s">
        <v>659</v>
      </c>
      <c r="F1600" s="9">
        <v>32.82</v>
      </c>
      <c r="G1600" s="8" t="s">
        <v>13</v>
      </c>
      <c r="H1600" s="8" t="str">
        <f t="shared" si="37"/>
        <v>Night</v>
      </c>
      <c r="I1600" s="8" t="str">
        <f t="shared" si="38"/>
        <v>Wed</v>
      </c>
      <c r="J1600" s="8" t="str">
        <f t="shared" si="39"/>
        <v>Sep</v>
      </c>
      <c r="K1600" s="8">
        <f t="shared" si="40"/>
        <v>3</v>
      </c>
      <c r="L1600" s="8">
        <f t="shared" si="41"/>
        <v>9</v>
      </c>
    </row>
    <row r="1601" spans="1:12" x14ac:dyDescent="0.3">
      <c r="A1601" s="10">
        <v>45553</v>
      </c>
      <c r="B1601" s="11">
        <v>45553.885865254633</v>
      </c>
      <c r="C1601" s="12">
        <f t="shared" si="36"/>
        <v>21</v>
      </c>
      <c r="D1601" s="12" t="s">
        <v>4</v>
      </c>
      <c r="E1601" s="12" t="s">
        <v>60</v>
      </c>
      <c r="F1601" s="13">
        <v>27.92</v>
      </c>
      <c r="G1601" s="12" t="s">
        <v>20</v>
      </c>
      <c r="H1601" s="12" t="str">
        <f t="shared" si="37"/>
        <v>Night</v>
      </c>
      <c r="I1601" s="12" t="str">
        <f t="shared" si="38"/>
        <v>Wed</v>
      </c>
      <c r="J1601" s="12" t="str">
        <f t="shared" si="39"/>
        <v>Sep</v>
      </c>
      <c r="K1601" s="12">
        <f t="shared" si="40"/>
        <v>3</v>
      </c>
      <c r="L1601" s="12">
        <f t="shared" si="41"/>
        <v>9</v>
      </c>
    </row>
    <row r="1602" spans="1:12" x14ac:dyDescent="0.3">
      <c r="A1602" s="6">
        <v>45553</v>
      </c>
      <c r="B1602" s="7">
        <v>45553.887749467591</v>
      </c>
      <c r="C1602" s="8">
        <f t="shared" si="36"/>
        <v>21</v>
      </c>
      <c r="D1602" s="8" t="s">
        <v>4</v>
      </c>
      <c r="E1602" s="8" t="s">
        <v>60</v>
      </c>
      <c r="F1602" s="9">
        <v>27.92</v>
      </c>
      <c r="G1602" s="8" t="s">
        <v>20</v>
      </c>
      <c r="H1602" s="8" t="str">
        <f t="shared" si="37"/>
        <v>Night</v>
      </c>
      <c r="I1602" s="8" t="str">
        <f t="shared" si="38"/>
        <v>Wed</v>
      </c>
      <c r="J1602" s="8" t="str">
        <f t="shared" si="39"/>
        <v>Sep</v>
      </c>
      <c r="K1602" s="8">
        <f t="shared" si="40"/>
        <v>3</v>
      </c>
      <c r="L1602" s="8">
        <f t="shared" si="41"/>
        <v>9</v>
      </c>
    </row>
    <row r="1603" spans="1:12" x14ac:dyDescent="0.3">
      <c r="A1603" s="10">
        <v>45554</v>
      </c>
      <c r="B1603" s="11">
        <v>45554.34535491898</v>
      </c>
      <c r="C1603" s="12">
        <f t="shared" si="36"/>
        <v>8</v>
      </c>
      <c r="D1603" s="12" t="s">
        <v>4</v>
      </c>
      <c r="E1603" s="12" t="s">
        <v>296</v>
      </c>
      <c r="F1603" s="13">
        <v>27.92</v>
      </c>
      <c r="G1603" s="12" t="s">
        <v>20</v>
      </c>
      <c r="H1603" s="12" t="str">
        <f t="shared" si="37"/>
        <v>Morning</v>
      </c>
      <c r="I1603" s="12" t="str">
        <f t="shared" si="38"/>
        <v>Thu</v>
      </c>
      <c r="J1603" s="12" t="str">
        <f t="shared" si="39"/>
        <v>Sep</v>
      </c>
      <c r="K1603" s="12">
        <f t="shared" si="40"/>
        <v>4</v>
      </c>
      <c r="L1603" s="12">
        <f t="shared" si="41"/>
        <v>9</v>
      </c>
    </row>
    <row r="1604" spans="1:12" x14ac:dyDescent="0.3">
      <c r="A1604" s="6">
        <v>45554</v>
      </c>
      <c r="B1604" s="7">
        <v>45554.354502858798</v>
      </c>
      <c r="C1604" s="8">
        <f t="shared" si="36"/>
        <v>8</v>
      </c>
      <c r="D1604" s="8" t="s">
        <v>4</v>
      </c>
      <c r="E1604" s="8" t="s">
        <v>647</v>
      </c>
      <c r="F1604" s="9">
        <v>23.02</v>
      </c>
      <c r="G1604" s="8" t="s">
        <v>34</v>
      </c>
      <c r="H1604" s="8" t="str">
        <f t="shared" si="37"/>
        <v>Morning</v>
      </c>
      <c r="I1604" s="8" t="str">
        <f t="shared" si="38"/>
        <v>Thu</v>
      </c>
      <c r="J1604" s="8" t="str">
        <f t="shared" si="39"/>
        <v>Sep</v>
      </c>
      <c r="K1604" s="8">
        <f t="shared" si="40"/>
        <v>4</v>
      </c>
      <c r="L1604" s="8">
        <f t="shared" si="41"/>
        <v>9</v>
      </c>
    </row>
    <row r="1605" spans="1:12" x14ac:dyDescent="0.3">
      <c r="A1605" s="10">
        <v>45554</v>
      </c>
      <c r="B1605" s="11">
        <v>45554.417715034724</v>
      </c>
      <c r="C1605" s="12">
        <f t="shared" si="36"/>
        <v>10</v>
      </c>
      <c r="D1605" s="12" t="s">
        <v>4</v>
      </c>
      <c r="E1605" s="12" t="s">
        <v>514</v>
      </c>
      <c r="F1605" s="13">
        <v>32.82</v>
      </c>
      <c r="G1605" s="12" t="s">
        <v>13</v>
      </c>
      <c r="H1605" s="12" t="str">
        <f t="shared" si="37"/>
        <v>Morning</v>
      </c>
      <c r="I1605" s="12" t="str">
        <f t="shared" si="38"/>
        <v>Thu</v>
      </c>
      <c r="J1605" s="12" t="str">
        <f t="shared" si="39"/>
        <v>Sep</v>
      </c>
      <c r="K1605" s="12">
        <f t="shared" si="40"/>
        <v>4</v>
      </c>
      <c r="L1605" s="12">
        <f t="shared" si="41"/>
        <v>9</v>
      </c>
    </row>
    <row r="1606" spans="1:12" x14ac:dyDescent="0.3">
      <c r="A1606" s="6">
        <v>45554</v>
      </c>
      <c r="B1606" s="7">
        <v>45554.54136127315</v>
      </c>
      <c r="C1606" s="8">
        <f t="shared" si="36"/>
        <v>12</v>
      </c>
      <c r="D1606" s="8" t="s">
        <v>4</v>
      </c>
      <c r="E1606" s="8" t="s">
        <v>18</v>
      </c>
      <c r="F1606" s="9">
        <v>23.02</v>
      </c>
      <c r="G1606" s="8" t="s">
        <v>17</v>
      </c>
      <c r="H1606" s="8" t="str">
        <f t="shared" si="37"/>
        <v>Afternoon</v>
      </c>
      <c r="I1606" s="8" t="str">
        <f t="shared" si="38"/>
        <v>Thu</v>
      </c>
      <c r="J1606" s="8" t="str">
        <f t="shared" si="39"/>
        <v>Sep</v>
      </c>
      <c r="K1606" s="8">
        <f t="shared" si="40"/>
        <v>4</v>
      </c>
      <c r="L1606" s="8">
        <f t="shared" si="41"/>
        <v>9</v>
      </c>
    </row>
    <row r="1607" spans="1:12" x14ac:dyDescent="0.3">
      <c r="A1607" s="10">
        <v>45554</v>
      </c>
      <c r="B1607" s="11">
        <v>45554.542055740741</v>
      </c>
      <c r="C1607" s="12">
        <f t="shared" si="36"/>
        <v>13</v>
      </c>
      <c r="D1607" s="12" t="s">
        <v>4</v>
      </c>
      <c r="E1607" s="12" t="s">
        <v>18</v>
      </c>
      <c r="F1607" s="13">
        <v>27.92</v>
      </c>
      <c r="G1607" s="12" t="s">
        <v>20</v>
      </c>
      <c r="H1607" s="12" t="str">
        <f t="shared" si="37"/>
        <v>Afternoon</v>
      </c>
      <c r="I1607" s="12" t="str">
        <f t="shared" si="38"/>
        <v>Thu</v>
      </c>
      <c r="J1607" s="12" t="str">
        <f t="shared" si="39"/>
        <v>Sep</v>
      </c>
      <c r="K1607" s="12">
        <f t="shared" si="40"/>
        <v>4</v>
      </c>
      <c r="L1607" s="12">
        <f t="shared" si="41"/>
        <v>9</v>
      </c>
    </row>
    <row r="1608" spans="1:12" x14ac:dyDescent="0.3">
      <c r="A1608" s="6">
        <v>45554</v>
      </c>
      <c r="B1608" s="7">
        <v>45554.573407025462</v>
      </c>
      <c r="C1608" s="8">
        <f t="shared" si="36"/>
        <v>13</v>
      </c>
      <c r="D1608" s="8" t="s">
        <v>4</v>
      </c>
      <c r="E1608" s="8" t="s">
        <v>660</v>
      </c>
      <c r="F1608" s="9">
        <v>23.02</v>
      </c>
      <c r="G1608" s="8" t="s">
        <v>34</v>
      </c>
      <c r="H1608" s="8" t="str">
        <f t="shared" si="37"/>
        <v>Afternoon</v>
      </c>
      <c r="I1608" s="8" t="str">
        <f t="shared" si="38"/>
        <v>Thu</v>
      </c>
      <c r="J1608" s="8" t="str">
        <f t="shared" si="39"/>
        <v>Sep</v>
      </c>
      <c r="K1608" s="8">
        <f t="shared" si="40"/>
        <v>4</v>
      </c>
      <c r="L1608" s="8">
        <f t="shared" si="41"/>
        <v>9</v>
      </c>
    </row>
    <row r="1609" spans="1:12" x14ac:dyDescent="0.3">
      <c r="A1609" s="10">
        <v>45555</v>
      </c>
      <c r="B1609" s="11">
        <v>45555.357603356482</v>
      </c>
      <c r="C1609" s="12">
        <f t="shared" si="36"/>
        <v>8</v>
      </c>
      <c r="D1609" s="12" t="s">
        <v>4</v>
      </c>
      <c r="E1609" s="12" t="s">
        <v>296</v>
      </c>
      <c r="F1609" s="13">
        <v>27.92</v>
      </c>
      <c r="G1609" s="12" t="s">
        <v>20</v>
      </c>
      <c r="H1609" s="12" t="str">
        <f t="shared" si="37"/>
        <v>Morning</v>
      </c>
      <c r="I1609" s="12" t="str">
        <f t="shared" si="38"/>
        <v>Fri</v>
      </c>
      <c r="J1609" s="12" t="str">
        <f t="shared" si="39"/>
        <v>Sep</v>
      </c>
      <c r="K1609" s="12">
        <f t="shared" si="40"/>
        <v>5</v>
      </c>
      <c r="L1609" s="12">
        <f t="shared" si="41"/>
        <v>9</v>
      </c>
    </row>
    <row r="1610" spans="1:12" x14ac:dyDescent="0.3">
      <c r="A1610" s="6">
        <v>45555</v>
      </c>
      <c r="B1610" s="7">
        <v>45555.407122685188</v>
      </c>
      <c r="C1610" s="8">
        <f t="shared" si="36"/>
        <v>9</v>
      </c>
      <c r="D1610" s="8" t="s">
        <v>4</v>
      </c>
      <c r="E1610" s="8" t="s">
        <v>661</v>
      </c>
      <c r="F1610" s="9">
        <v>27.92</v>
      </c>
      <c r="G1610" s="8" t="s">
        <v>20</v>
      </c>
      <c r="H1610" s="8" t="str">
        <f t="shared" si="37"/>
        <v>Morning</v>
      </c>
      <c r="I1610" s="8" t="str">
        <f t="shared" si="38"/>
        <v>Fri</v>
      </c>
      <c r="J1610" s="8" t="str">
        <f t="shared" si="39"/>
        <v>Sep</v>
      </c>
      <c r="K1610" s="8">
        <f t="shared" si="40"/>
        <v>5</v>
      </c>
      <c r="L1610" s="8">
        <f t="shared" si="41"/>
        <v>9</v>
      </c>
    </row>
    <row r="1611" spans="1:12" x14ac:dyDescent="0.3">
      <c r="A1611" s="10">
        <v>45555</v>
      </c>
      <c r="B1611" s="11">
        <v>45555.569391956022</v>
      </c>
      <c r="C1611" s="12">
        <f t="shared" si="36"/>
        <v>13</v>
      </c>
      <c r="D1611" s="12" t="s">
        <v>4</v>
      </c>
      <c r="E1611" s="12" t="s">
        <v>353</v>
      </c>
      <c r="F1611" s="13">
        <v>27.92</v>
      </c>
      <c r="G1611" s="12" t="s">
        <v>20</v>
      </c>
      <c r="H1611" s="12" t="str">
        <f t="shared" si="37"/>
        <v>Afternoon</v>
      </c>
      <c r="I1611" s="12" t="str">
        <f t="shared" si="38"/>
        <v>Fri</v>
      </c>
      <c r="J1611" s="12" t="str">
        <f t="shared" si="39"/>
        <v>Sep</v>
      </c>
      <c r="K1611" s="12">
        <f t="shared" si="40"/>
        <v>5</v>
      </c>
      <c r="L1611" s="12">
        <f t="shared" si="41"/>
        <v>9</v>
      </c>
    </row>
    <row r="1612" spans="1:12" x14ac:dyDescent="0.3">
      <c r="A1612" s="6">
        <v>45555</v>
      </c>
      <c r="B1612" s="7">
        <v>45555.669092719909</v>
      </c>
      <c r="C1612" s="8">
        <f t="shared" si="36"/>
        <v>16</v>
      </c>
      <c r="D1612" s="8" t="s">
        <v>4</v>
      </c>
      <c r="E1612" s="8" t="s">
        <v>662</v>
      </c>
      <c r="F1612" s="9">
        <v>32.82</v>
      </c>
      <c r="G1612" s="8" t="s">
        <v>13</v>
      </c>
      <c r="H1612" s="8" t="str">
        <f t="shared" si="37"/>
        <v>Afternoon</v>
      </c>
      <c r="I1612" s="8" t="str">
        <f t="shared" si="38"/>
        <v>Fri</v>
      </c>
      <c r="J1612" s="8" t="str">
        <f t="shared" si="39"/>
        <v>Sep</v>
      </c>
      <c r="K1612" s="8">
        <f t="shared" si="40"/>
        <v>5</v>
      </c>
      <c r="L1612" s="8">
        <f t="shared" si="41"/>
        <v>9</v>
      </c>
    </row>
    <row r="1613" spans="1:12" x14ac:dyDescent="0.3">
      <c r="A1613" s="10">
        <v>45555</v>
      </c>
      <c r="B1613" s="11">
        <v>45555.860684363426</v>
      </c>
      <c r="C1613" s="12">
        <f t="shared" si="36"/>
        <v>20</v>
      </c>
      <c r="D1613" s="12" t="s">
        <v>4</v>
      </c>
      <c r="E1613" s="12" t="s">
        <v>663</v>
      </c>
      <c r="F1613" s="13">
        <v>23.02</v>
      </c>
      <c r="G1613" s="12" t="s">
        <v>17</v>
      </c>
      <c r="H1613" s="12" t="str">
        <f t="shared" si="37"/>
        <v>Night</v>
      </c>
      <c r="I1613" s="12" t="str">
        <f t="shared" si="38"/>
        <v>Fri</v>
      </c>
      <c r="J1613" s="12" t="str">
        <f t="shared" si="39"/>
        <v>Sep</v>
      </c>
      <c r="K1613" s="12">
        <f t="shared" si="40"/>
        <v>5</v>
      </c>
      <c r="L1613" s="12">
        <f t="shared" si="41"/>
        <v>9</v>
      </c>
    </row>
    <row r="1614" spans="1:12" x14ac:dyDescent="0.3">
      <c r="A1614" s="6">
        <v>45555</v>
      </c>
      <c r="B1614" s="7">
        <v>45555.896951157411</v>
      </c>
      <c r="C1614" s="8">
        <f t="shared" si="36"/>
        <v>21</v>
      </c>
      <c r="D1614" s="8" t="s">
        <v>4</v>
      </c>
      <c r="E1614" s="8" t="s">
        <v>307</v>
      </c>
      <c r="F1614" s="9">
        <v>27.92</v>
      </c>
      <c r="G1614" s="8" t="s">
        <v>20</v>
      </c>
      <c r="H1614" s="8" t="str">
        <f t="shared" si="37"/>
        <v>Night</v>
      </c>
      <c r="I1614" s="8" t="str">
        <f t="shared" si="38"/>
        <v>Fri</v>
      </c>
      <c r="J1614" s="8" t="str">
        <f t="shared" si="39"/>
        <v>Sep</v>
      </c>
      <c r="K1614" s="8">
        <f t="shared" si="40"/>
        <v>5</v>
      </c>
      <c r="L1614" s="8">
        <f t="shared" si="41"/>
        <v>9</v>
      </c>
    </row>
    <row r="1615" spans="1:12" x14ac:dyDescent="0.3">
      <c r="A1615" s="10">
        <v>45555</v>
      </c>
      <c r="B1615" s="11">
        <v>45555.897720196757</v>
      </c>
      <c r="C1615" s="12">
        <f t="shared" si="36"/>
        <v>21</v>
      </c>
      <c r="D1615" s="12" t="s">
        <v>4</v>
      </c>
      <c r="E1615" s="12" t="s">
        <v>307</v>
      </c>
      <c r="F1615" s="13">
        <v>27.92</v>
      </c>
      <c r="G1615" s="12" t="s">
        <v>20</v>
      </c>
      <c r="H1615" s="12" t="str">
        <f t="shared" si="37"/>
        <v>Night</v>
      </c>
      <c r="I1615" s="12" t="str">
        <f t="shared" si="38"/>
        <v>Fri</v>
      </c>
      <c r="J1615" s="12" t="str">
        <f t="shared" si="39"/>
        <v>Sep</v>
      </c>
      <c r="K1615" s="12">
        <f t="shared" si="40"/>
        <v>5</v>
      </c>
      <c r="L1615" s="12">
        <f t="shared" si="41"/>
        <v>9</v>
      </c>
    </row>
    <row r="1616" spans="1:12" x14ac:dyDescent="0.3">
      <c r="A1616" s="6">
        <v>45556</v>
      </c>
      <c r="B1616" s="7">
        <v>45556.459200787038</v>
      </c>
      <c r="C1616" s="8">
        <f t="shared" si="36"/>
        <v>11</v>
      </c>
      <c r="D1616" s="8" t="s">
        <v>4</v>
      </c>
      <c r="E1616" s="8" t="s">
        <v>664</v>
      </c>
      <c r="F1616" s="9">
        <v>32.82</v>
      </c>
      <c r="G1616" s="8" t="s">
        <v>13</v>
      </c>
      <c r="H1616" s="8" t="str">
        <f t="shared" si="37"/>
        <v>Morning</v>
      </c>
      <c r="I1616" s="8" t="str">
        <f t="shared" si="38"/>
        <v>Sat</v>
      </c>
      <c r="J1616" s="8" t="str">
        <f t="shared" si="39"/>
        <v>Sep</v>
      </c>
      <c r="K1616" s="8">
        <f t="shared" si="40"/>
        <v>6</v>
      </c>
      <c r="L1616" s="8">
        <f t="shared" si="41"/>
        <v>9</v>
      </c>
    </row>
    <row r="1617" spans="1:12" x14ac:dyDescent="0.3">
      <c r="A1617" s="10">
        <v>45556</v>
      </c>
      <c r="B1617" s="11">
        <v>45556.459881967596</v>
      </c>
      <c r="C1617" s="12">
        <f t="shared" si="36"/>
        <v>11</v>
      </c>
      <c r="D1617" s="12" t="s">
        <v>4</v>
      </c>
      <c r="E1617" s="12" t="s">
        <v>664</v>
      </c>
      <c r="F1617" s="13">
        <v>32.82</v>
      </c>
      <c r="G1617" s="12" t="s">
        <v>24</v>
      </c>
      <c r="H1617" s="12" t="str">
        <f t="shared" si="37"/>
        <v>Morning</v>
      </c>
      <c r="I1617" s="12" t="str">
        <f t="shared" si="38"/>
        <v>Sat</v>
      </c>
      <c r="J1617" s="12" t="str">
        <f t="shared" si="39"/>
        <v>Sep</v>
      </c>
      <c r="K1617" s="12">
        <f t="shared" si="40"/>
        <v>6</v>
      </c>
      <c r="L1617" s="12">
        <f t="shared" si="41"/>
        <v>9</v>
      </c>
    </row>
    <row r="1618" spans="1:12" x14ac:dyDescent="0.3">
      <c r="A1618" s="6">
        <v>45556</v>
      </c>
      <c r="B1618" s="7">
        <v>45556.484574571761</v>
      </c>
      <c r="C1618" s="8">
        <f t="shared" si="36"/>
        <v>11</v>
      </c>
      <c r="D1618" s="8" t="s">
        <v>4</v>
      </c>
      <c r="E1618" s="8" t="s">
        <v>563</v>
      </c>
      <c r="F1618" s="9">
        <v>23.02</v>
      </c>
      <c r="G1618" s="8" t="s">
        <v>34</v>
      </c>
      <c r="H1618" s="8" t="str">
        <f t="shared" si="37"/>
        <v>Morning</v>
      </c>
      <c r="I1618" s="8" t="str">
        <f t="shared" si="38"/>
        <v>Sat</v>
      </c>
      <c r="J1618" s="8" t="str">
        <f t="shared" si="39"/>
        <v>Sep</v>
      </c>
      <c r="K1618" s="8">
        <f t="shared" si="40"/>
        <v>6</v>
      </c>
      <c r="L1618" s="8">
        <f t="shared" si="41"/>
        <v>9</v>
      </c>
    </row>
    <row r="1619" spans="1:12" x14ac:dyDescent="0.3">
      <c r="A1619" s="10">
        <v>45556</v>
      </c>
      <c r="B1619" s="11">
        <v>45556.485243020834</v>
      </c>
      <c r="C1619" s="12">
        <f t="shared" si="36"/>
        <v>11</v>
      </c>
      <c r="D1619" s="12" t="s">
        <v>4</v>
      </c>
      <c r="E1619" s="12" t="s">
        <v>563</v>
      </c>
      <c r="F1619" s="13">
        <v>23.02</v>
      </c>
      <c r="G1619" s="12" t="s">
        <v>34</v>
      </c>
      <c r="H1619" s="12" t="str">
        <f t="shared" si="37"/>
        <v>Morning</v>
      </c>
      <c r="I1619" s="12" t="str">
        <f t="shared" si="38"/>
        <v>Sat</v>
      </c>
      <c r="J1619" s="12" t="str">
        <f t="shared" si="39"/>
        <v>Sep</v>
      </c>
      <c r="K1619" s="12">
        <f t="shared" si="40"/>
        <v>6</v>
      </c>
      <c r="L1619" s="12">
        <f t="shared" si="41"/>
        <v>9</v>
      </c>
    </row>
    <row r="1620" spans="1:12" x14ac:dyDescent="0.3">
      <c r="A1620" s="6">
        <v>45556</v>
      </c>
      <c r="B1620" s="7">
        <v>45556.632052870373</v>
      </c>
      <c r="C1620" s="8">
        <f t="shared" si="36"/>
        <v>15</v>
      </c>
      <c r="D1620" s="8" t="s">
        <v>4</v>
      </c>
      <c r="E1620" s="8" t="s">
        <v>665</v>
      </c>
      <c r="F1620" s="9">
        <v>32.82</v>
      </c>
      <c r="G1620" s="8" t="s">
        <v>49</v>
      </c>
      <c r="H1620" s="8" t="str">
        <f t="shared" si="37"/>
        <v>Afternoon</v>
      </c>
      <c r="I1620" s="8" t="str">
        <f t="shared" si="38"/>
        <v>Sat</v>
      </c>
      <c r="J1620" s="8" t="str">
        <f t="shared" si="39"/>
        <v>Sep</v>
      </c>
      <c r="K1620" s="8">
        <f t="shared" si="40"/>
        <v>6</v>
      </c>
      <c r="L1620" s="8">
        <f t="shared" si="41"/>
        <v>9</v>
      </c>
    </row>
    <row r="1621" spans="1:12" x14ac:dyDescent="0.3">
      <c r="A1621" s="10">
        <v>45556</v>
      </c>
      <c r="B1621" s="11">
        <v>45556.650157511576</v>
      </c>
      <c r="C1621" s="12">
        <f t="shared" si="36"/>
        <v>15</v>
      </c>
      <c r="D1621" s="12" t="s">
        <v>4</v>
      </c>
      <c r="E1621" s="12" t="s">
        <v>666</v>
      </c>
      <c r="F1621" s="13">
        <v>32.82</v>
      </c>
      <c r="G1621" s="12" t="s">
        <v>13</v>
      </c>
      <c r="H1621" s="12" t="str">
        <f t="shared" si="37"/>
        <v>Afternoon</v>
      </c>
      <c r="I1621" s="12" t="str">
        <f t="shared" si="38"/>
        <v>Sat</v>
      </c>
      <c r="J1621" s="12" t="str">
        <f t="shared" si="39"/>
        <v>Sep</v>
      </c>
      <c r="K1621" s="12">
        <f t="shared" si="40"/>
        <v>6</v>
      </c>
      <c r="L1621" s="12">
        <f t="shared" si="41"/>
        <v>9</v>
      </c>
    </row>
    <row r="1622" spans="1:12" x14ac:dyDescent="0.3">
      <c r="A1622" s="6">
        <v>45556</v>
      </c>
      <c r="B1622" s="7">
        <v>45556.761443298608</v>
      </c>
      <c r="C1622" s="8">
        <f t="shared" si="36"/>
        <v>18</v>
      </c>
      <c r="D1622" s="8" t="s">
        <v>4</v>
      </c>
      <c r="E1622" s="8" t="s">
        <v>527</v>
      </c>
      <c r="F1622" s="9">
        <v>32.82</v>
      </c>
      <c r="G1622" s="8" t="s">
        <v>13</v>
      </c>
      <c r="H1622" s="8" t="str">
        <f t="shared" si="37"/>
        <v>Night</v>
      </c>
      <c r="I1622" s="8" t="str">
        <f t="shared" si="38"/>
        <v>Sat</v>
      </c>
      <c r="J1622" s="8" t="str">
        <f t="shared" si="39"/>
        <v>Sep</v>
      </c>
      <c r="K1622" s="8">
        <f t="shared" si="40"/>
        <v>6</v>
      </c>
      <c r="L1622" s="8">
        <f t="shared" si="41"/>
        <v>9</v>
      </c>
    </row>
    <row r="1623" spans="1:12" x14ac:dyDescent="0.3">
      <c r="A1623" s="10">
        <v>45556</v>
      </c>
      <c r="B1623" s="11">
        <v>45556.76216071759</v>
      </c>
      <c r="C1623" s="12">
        <f t="shared" si="36"/>
        <v>18</v>
      </c>
      <c r="D1623" s="12" t="s">
        <v>4</v>
      </c>
      <c r="E1623" s="12" t="s">
        <v>527</v>
      </c>
      <c r="F1623" s="13">
        <v>32.82</v>
      </c>
      <c r="G1623" s="12" t="s">
        <v>13</v>
      </c>
      <c r="H1623" s="12" t="str">
        <f t="shared" si="37"/>
        <v>Night</v>
      </c>
      <c r="I1623" s="12" t="str">
        <f t="shared" si="38"/>
        <v>Sat</v>
      </c>
      <c r="J1623" s="12" t="str">
        <f t="shared" si="39"/>
        <v>Sep</v>
      </c>
      <c r="K1623" s="12">
        <f t="shared" si="40"/>
        <v>6</v>
      </c>
      <c r="L1623" s="12">
        <f t="shared" si="41"/>
        <v>9</v>
      </c>
    </row>
    <row r="1624" spans="1:12" x14ac:dyDescent="0.3">
      <c r="A1624" s="6">
        <v>45556</v>
      </c>
      <c r="B1624" s="7">
        <v>45556.853969201387</v>
      </c>
      <c r="C1624" s="8">
        <f t="shared" si="36"/>
        <v>20</v>
      </c>
      <c r="D1624" s="8" t="s">
        <v>4</v>
      </c>
      <c r="E1624" s="8" t="s">
        <v>60</v>
      </c>
      <c r="F1624" s="9">
        <v>23.02</v>
      </c>
      <c r="G1624" s="8" t="s">
        <v>17</v>
      </c>
      <c r="H1624" s="8" t="str">
        <f t="shared" si="37"/>
        <v>Night</v>
      </c>
      <c r="I1624" s="8" t="str">
        <f t="shared" si="38"/>
        <v>Sat</v>
      </c>
      <c r="J1624" s="8" t="str">
        <f t="shared" si="39"/>
        <v>Sep</v>
      </c>
      <c r="K1624" s="8">
        <f t="shared" si="40"/>
        <v>6</v>
      </c>
      <c r="L1624" s="8">
        <f t="shared" si="41"/>
        <v>9</v>
      </c>
    </row>
    <row r="1625" spans="1:12" x14ac:dyDescent="0.3">
      <c r="A1625" s="10">
        <v>45556</v>
      </c>
      <c r="B1625" s="11">
        <v>45556.854616689816</v>
      </c>
      <c r="C1625" s="12">
        <f t="shared" si="36"/>
        <v>20</v>
      </c>
      <c r="D1625" s="12" t="s">
        <v>4</v>
      </c>
      <c r="E1625" s="12" t="s">
        <v>60</v>
      </c>
      <c r="F1625" s="13">
        <v>23.02</v>
      </c>
      <c r="G1625" s="12" t="s">
        <v>17</v>
      </c>
      <c r="H1625" s="12" t="str">
        <f t="shared" si="37"/>
        <v>Night</v>
      </c>
      <c r="I1625" s="12" t="str">
        <f t="shared" si="38"/>
        <v>Sat</v>
      </c>
      <c r="J1625" s="12" t="str">
        <f t="shared" si="39"/>
        <v>Sep</v>
      </c>
      <c r="K1625" s="12">
        <f t="shared" si="40"/>
        <v>6</v>
      </c>
      <c r="L1625" s="12">
        <f t="shared" si="41"/>
        <v>9</v>
      </c>
    </row>
    <row r="1626" spans="1:12" x14ac:dyDescent="0.3">
      <c r="A1626" s="6">
        <v>45556</v>
      </c>
      <c r="B1626" s="7">
        <v>45556.856923321757</v>
      </c>
      <c r="C1626" s="8">
        <f t="shared" si="36"/>
        <v>20</v>
      </c>
      <c r="D1626" s="8" t="s">
        <v>4</v>
      </c>
      <c r="E1626" s="8" t="s">
        <v>622</v>
      </c>
      <c r="F1626" s="9">
        <v>32.82</v>
      </c>
      <c r="G1626" s="8" t="s">
        <v>13</v>
      </c>
      <c r="H1626" s="8" t="str">
        <f t="shared" si="37"/>
        <v>Night</v>
      </c>
      <c r="I1626" s="8" t="str">
        <f t="shared" si="38"/>
        <v>Sat</v>
      </c>
      <c r="J1626" s="8" t="str">
        <f t="shared" si="39"/>
        <v>Sep</v>
      </c>
      <c r="K1626" s="8">
        <f t="shared" si="40"/>
        <v>6</v>
      </c>
      <c r="L1626" s="8">
        <f t="shared" si="41"/>
        <v>9</v>
      </c>
    </row>
    <row r="1627" spans="1:12" x14ac:dyDescent="0.3">
      <c r="A1627" s="10">
        <v>45556</v>
      </c>
      <c r="B1627" s="11">
        <v>45556.857988067131</v>
      </c>
      <c r="C1627" s="12">
        <f t="shared" si="36"/>
        <v>20</v>
      </c>
      <c r="D1627" s="12" t="s">
        <v>4</v>
      </c>
      <c r="E1627" s="12" t="s">
        <v>622</v>
      </c>
      <c r="F1627" s="13">
        <v>32.82</v>
      </c>
      <c r="G1627" s="12" t="s">
        <v>13</v>
      </c>
      <c r="H1627" s="12" t="str">
        <f t="shared" si="37"/>
        <v>Night</v>
      </c>
      <c r="I1627" s="12" t="str">
        <f t="shared" si="38"/>
        <v>Sat</v>
      </c>
      <c r="J1627" s="12" t="str">
        <f t="shared" si="39"/>
        <v>Sep</v>
      </c>
      <c r="K1627" s="12">
        <f t="shared" si="40"/>
        <v>6</v>
      </c>
      <c r="L1627" s="12">
        <f t="shared" si="41"/>
        <v>9</v>
      </c>
    </row>
    <row r="1628" spans="1:12" x14ac:dyDescent="0.3">
      <c r="A1628" s="6">
        <v>45556</v>
      </c>
      <c r="B1628" s="7">
        <v>45556.929700092594</v>
      </c>
      <c r="C1628" s="8">
        <f t="shared" si="36"/>
        <v>22</v>
      </c>
      <c r="D1628" s="8" t="s">
        <v>4</v>
      </c>
      <c r="E1628" s="8" t="s">
        <v>667</v>
      </c>
      <c r="F1628" s="9">
        <v>27.92</v>
      </c>
      <c r="G1628" s="8" t="s">
        <v>20</v>
      </c>
      <c r="H1628" s="8" t="str">
        <f t="shared" si="37"/>
        <v>Night</v>
      </c>
      <c r="I1628" s="8" t="str">
        <f t="shared" si="38"/>
        <v>Sat</v>
      </c>
      <c r="J1628" s="8" t="str">
        <f t="shared" si="39"/>
        <v>Sep</v>
      </c>
      <c r="K1628" s="8">
        <f t="shared" si="40"/>
        <v>6</v>
      </c>
      <c r="L1628" s="8">
        <f t="shared" si="41"/>
        <v>9</v>
      </c>
    </row>
    <row r="1629" spans="1:12" x14ac:dyDescent="0.3">
      <c r="A1629" s="10">
        <v>45556</v>
      </c>
      <c r="B1629" s="11">
        <v>45556.930441296296</v>
      </c>
      <c r="C1629" s="12">
        <f t="shared" si="36"/>
        <v>22</v>
      </c>
      <c r="D1629" s="12" t="s">
        <v>4</v>
      </c>
      <c r="E1629" s="12" t="s">
        <v>667</v>
      </c>
      <c r="F1629" s="13">
        <v>23.02</v>
      </c>
      <c r="G1629" s="12" t="s">
        <v>17</v>
      </c>
      <c r="H1629" s="12" t="str">
        <f t="shared" si="37"/>
        <v>Night</v>
      </c>
      <c r="I1629" s="12" t="str">
        <f t="shared" si="38"/>
        <v>Sat</v>
      </c>
      <c r="J1629" s="12" t="str">
        <f t="shared" si="39"/>
        <v>Sep</v>
      </c>
      <c r="K1629" s="12">
        <f t="shared" si="40"/>
        <v>6</v>
      </c>
      <c r="L1629" s="12">
        <f t="shared" si="41"/>
        <v>9</v>
      </c>
    </row>
    <row r="1630" spans="1:12" x14ac:dyDescent="0.3">
      <c r="A1630" s="6">
        <v>45556</v>
      </c>
      <c r="B1630" s="7">
        <v>45556.931115277781</v>
      </c>
      <c r="C1630" s="8">
        <f t="shared" si="36"/>
        <v>22</v>
      </c>
      <c r="D1630" s="8" t="s">
        <v>4</v>
      </c>
      <c r="E1630" s="8" t="s">
        <v>667</v>
      </c>
      <c r="F1630" s="9">
        <v>23.02</v>
      </c>
      <c r="G1630" s="8" t="s">
        <v>17</v>
      </c>
      <c r="H1630" s="8" t="str">
        <f t="shared" si="37"/>
        <v>Night</v>
      </c>
      <c r="I1630" s="8" t="str">
        <f t="shared" si="38"/>
        <v>Sat</v>
      </c>
      <c r="J1630" s="8" t="str">
        <f t="shared" si="39"/>
        <v>Sep</v>
      </c>
      <c r="K1630" s="8">
        <f t="shared" si="40"/>
        <v>6</v>
      </c>
      <c r="L1630" s="8">
        <f t="shared" si="41"/>
        <v>9</v>
      </c>
    </row>
    <row r="1631" spans="1:12" x14ac:dyDescent="0.3">
      <c r="A1631" s="10">
        <v>45557</v>
      </c>
      <c r="B1631" s="11">
        <v>45557.356182546297</v>
      </c>
      <c r="C1631" s="12">
        <f t="shared" si="36"/>
        <v>8</v>
      </c>
      <c r="D1631" s="12" t="s">
        <v>4</v>
      </c>
      <c r="E1631" s="12" t="s">
        <v>668</v>
      </c>
      <c r="F1631" s="13">
        <v>23.02</v>
      </c>
      <c r="G1631" s="12" t="s">
        <v>17</v>
      </c>
      <c r="H1631" s="12" t="str">
        <f t="shared" si="37"/>
        <v>Morning</v>
      </c>
      <c r="I1631" s="12" t="str">
        <f t="shared" si="38"/>
        <v>Sun</v>
      </c>
      <c r="J1631" s="12" t="str">
        <f t="shared" si="39"/>
        <v>Sep</v>
      </c>
      <c r="K1631" s="12">
        <f t="shared" si="40"/>
        <v>7</v>
      </c>
      <c r="L1631" s="12">
        <f t="shared" si="41"/>
        <v>9</v>
      </c>
    </row>
    <row r="1632" spans="1:12" x14ac:dyDescent="0.3">
      <c r="A1632" s="6">
        <v>45557</v>
      </c>
      <c r="B1632" s="7">
        <v>45557.42511300926</v>
      </c>
      <c r="C1632" s="8">
        <f t="shared" si="36"/>
        <v>10</v>
      </c>
      <c r="D1632" s="8" t="s">
        <v>4</v>
      </c>
      <c r="E1632" s="8" t="s">
        <v>669</v>
      </c>
      <c r="F1632" s="9">
        <v>27.92</v>
      </c>
      <c r="G1632" s="8" t="s">
        <v>20</v>
      </c>
      <c r="H1632" s="8" t="str">
        <f t="shared" si="37"/>
        <v>Morning</v>
      </c>
      <c r="I1632" s="8" t="str">
        <f t="shared" si="38"/>
        <v>Sun</v>
      </c>
      <c r="J1632" s="8" t="str">
        <f t="shared" si="39"/>
        <v>Sep</v>
      </c>
      <c r="K1632" s="8">
        <f t="shared" si="40"/>
        <v>7</v>
      </c>
      <c r="L1632" s="8">
        <f t="shared" si="41"/>
        <v>9</v>
      </c>
    </row>
    <row r="1633" spans="1:12" x14ac:dyDescent="0.3">
      <c r="A1633" s="10">
        <v>45557</v>
      </c>
      <c r="B1633" s="11">
        <v>45557.425793819442</v>
      </c>
      <c r="C1633" s="12">
        <f t="shared" si="36"/>
        <v>10</v>
      </c>
      <c r="D1633" s="12" t="s">
        <v>4</v>
      </c>
      <c r="E1633" s="12" t="s">
        <v>669</v>
      </c>
      <c r="F1633" s="13">
        <v>32.82</v>
      </c>
      <c r="G1633" s="12" t="s">
        <v>13</v>
      </c>
      <c r="H1633" s="12" t="str">
        <f t="shared" si="37"/>
        <v>Morning</v>
      </c>
      <c r="I1633" s="12" t="str">
        <f t="shared" si="38"/>
        <v>Sun</v>
      </c>
      <c r="J1633" s="12" t="str">
        <f t="shared" si="39"/>
        <v>Sep</v>
      </c>
      <c r="K1633" s="12">
        <f t="shared" si="40"/>
        <v>7</v>
      </c>
      <c r="L1633" s="12">
        <f t="shared" si="41"/>
        <v>9</v>
      </c>
    </row>
    <row r="1634" spans="1:12" x14ac:dyDescent="0.3">
      <c r="A1634" s="6">
        <v>45557</v>
      </c>
      <c r="B1634" s="7">
        <v>45557.462804479168</v>
      </c>
      <c r="C1634" s="8">
        <f t="shared" si="36"/>
        <v>11</v>
      </c>
      <c r="D1634" s="8" t="s">
        <v>4</v>
      </c>
      <c r="E1634" s="8" t="s">
        <v>670</v>
      </c>
      <c r="F1634" s="9">
        <v>23.02</v>
      </c>
      <c r="G1634" s="8" t="s">
        <v>34</v>
      </c>
      <c r="H1634" s="8" t="str">
        <f t="shared" si="37"/>
        <v>Morning</v>
      </c>
      <c r="I1634" s="8" t="str">
        <f t="shared" si="38"/>
        <v>Sun</v>
      </c>
      <c r="J1634" s="8" t="str">
        <f t="shared" si="39"/>
        <v>Sep</v>
      </c>
      <c r="K1634" s="8">
        <f t="shared" si="40"/>
        <v>7</v>
      </c>
      <c r="L1634" s="8">
        <f t="shared" si="41"/>
        <v>9</v>
      </c>
    </row>
    <row r="1635" spans="1:12" x14ac:dyDescent="0.3">
      <c r="A1635" s="10">
        <v>45557</v>
      </c>
      <c r="B1635" s="11">
        <v>45557.463615509259</v>
      </c>
      <c r="C1635" s="12">
        <f t="shared" si="36"/>
        <v>11</v>
      </c>
      <c r="D1635" s="12" t="s">
        <v>4</v>
      </c>
      <c r="E1635" s="12" t="s">
        <v>670</v>
      </c>
      <c r="F1635" s="13">
        <v>23.02</v>
      </c>
      <c r="G1635" s="12" t="s">
        <v>34</v>
      </c>
      <c r="H1635" s="12" t="str">
        <f t="shared" si="37"/>
        <v>Morning</v>
      </c>
      <c r="I1635" s="12" t="str">
        <f t="shared" si="38"/>
        <v>Sun</v>
      </c>
      <c r="J1635" s="12" t="str">
        <f t="shared" si="39"/>
        <v>Sep</v>
      </c>
      <c r="K1635" s="12">
        <f t="shared" si="40"/>
        <v>7</v>
      </c>
      <c r="L1635" s="12">
        <f t="shared" si="41"/>
        <v>9</v>
      </c>
    </row>
    <row r="1636" spans="1:12" x14ac:dyDescent="0.3">
      <c r="A1636" s="6">
        <v>45557</v>
      </c>
      <c r="B1636" s="7">
        <v>45557.494443148149</v>
      </c>
      <c r="C1636" s="8">
        <f t="shared" si="36"/>
        <v>11</v>
      </c>
      <c r="D1636" s="8" t="s">
        <v>4</v>
      </c>
      <c r="E1636" s="8" t="s">
        <v>671</v>
      </c>
      <c r="F1636" s="9">
        <v>27.92</v>
      </c>
      <c r="G1636" s="8" t="s">
        <v>20</v>
      </c>
      <c r="H1636" s="8" t="str">
        <f t="shared" si="37"/>
        <v>Morning</v>
      </c>
      <c r="I1636" s="8" t="str">
        <f t="shared" si="38"/>
        <v>Sun</v>
      </c>
      <c r="J1636" s="8" t="str">
        <f t="shared" si="39"/>
        <v>Sep</v>
      </c>
      <c r="K1636" s="8">
        <f t="shared" si="40"/>
        <v>7</v>
      </c>
      <c r="L1636" s="8">
        <f t="shared" si="41"/>
        <v>9</v>
      </c>
    </row>
    <row r="1637" spans="1:12" x14ac:dyDescent="0.3">
      <c r="A1637" s="10">
        <v>45557</v>
      </c>
      <c r="B1637" s="11">
        <v>45557.49667734954</v>
      </c>
      <c r="C1637" s="12">
        <f t="shared" si="36"/>
        <v>11</v>
      </c>
      <c r="D1637" s="12" t="s">
        <v>4</v>
      </c>
      <c r="E1637" s="12" t="s">
        <v>119</v>
      </c>
      <c r="F1637" s="13">
        <v>23.02</v>
      </c>
      <c r="G1637" s="12" t="s">
        <v>17</v>
      </c>
      <c r="H1637" s="12" t="str">
        <f t="shared" si="37"/>
        <v>Morning</v>
      </c>
      <c r="I1637" s="12" t="str">
        <f t="shared" si="38"/>
        <v>Sun</v>
      </c>
      <c r="J1637" s="12" t="str">
        <f t="shared" si="39"/>
        <v>Sep</v>
      </c>
      <c r="K1637" s="12">
        <f t="shared" si="40"/>
        <v>7</v>
      </c>
      <c r="L1637" s="12">
        <f t="shared" si="41"/>
        <v>9</v>
      </c>
    </row>
    <row r="1638" spans="1:12" x14ac:dyDescent="0.3">
      <c r="A1638" s="6">
        <v>45557</v>
      </c>
      <c r="B1638" s="7">
        <v>45557.505101469906</v>
      </c>
      <c r="C1638" s="8">
        <f t="shared" si="36"/>
        <v>12</v>
      </c>
      <c r="D1638" s="8" t="s">
        <v>4</v>
      </c>
      <c r="E1638" s="8" t="s">
        <v>296</v>
      </c>
      <c r="F1638" s="9">
        <v>27.92</v>
      </c>
      <c r="G1638" s="8" t="s">
        <v>20</v>
      </c>
      <c r="H1638" s="8" t="str">
        <f t="shared" si="37"/>
        <v>Afternoon</v>
      </c>
      <c r="I1638" s="8" t="str">
        <f t="shared" si="38"/>
        <v>Sun</v>
      </c>
      <c r="J1638" s="8" t="str">
        <f t="shared" si="39"/>
        <v>Sep</v>
      </c>
      <c r="K1638" s="8">
        <f t="shared" si="40"/>
        <v>7</v>
      </c>
      <c r="L1638" s="8">
        <f t="shared" si="41"/>
        <v>9</v>
      </c>
    </row>
    <row r="1639" spans="1:12" x14ac:dyDescent="0.3">
      <c r="A1639" s="10">
        <v>45557</v>
      </c>
      <c r="B1639" s="11">
        <v>45557.561280821756</v>
      </c>
      <c r="C1639" s="12">
        <f t="shared" si="36"/>
        <v>13</v>
      </c>
      <c r="D1639" s="12" t="s">
        <v>4</v>
      </c>
      <c r="E1639" s="12" t="s">
        <v>353</v>
      </c>
      <c r="F1639" s="13">
        <v>27.92</v>
      </c>
      <c r="G1639" s="12" t="s">
        <v>20</v>
      </c>
      <c r="H1639" s="12" t="str">
        <f t="shared" si="37"/>
        <v>Afternoon</v>
      </c>
      <c r="I1639" s="12" t="str">
        <f t="shared" si="38"/>
        <v>Sun</v>
      </c>
      <c r="J1639" s="12" t="str">
        <f t="shared" si="39"/>
        <v>Sep</v>
      </c>
      <c r="K1639" s="12">
        <f t="shared" si="40"/>
        <v>7</v>
      </c>
      <c r="L1639" s="12">
        <f t="shared" si="41"/>
        <v>9</v>
      </c>
    </row>
    <row r="1640" spans="1:12" x14ac:dyDescent="0.3">
      <c r="A1640" s="6">
        <v>45557</v>
      </c>
      <c r="B1640" s="7">
        <v>45557.562221261571</v>
      </c>
      <c r="C1640" s="8">
        <f t="shared" si="36"/>
        <v>13</v>
      </c>
      <c r="D1640" s="8" t="s">
        <v>4</v>
      </c>
      <c r="E1640" s="8" t="s">
        <v>353</v>
      </c>
      <c r="F1640" s="9">
        <v>27.92</v>
      </c>
      <c r="G1640" s="8" t="s">
        <v>20</v>
      </c>
      <c r="H1640" s="8" t="str">
        <f t="shared" si="37"/>
        <v>Afternoon</v>
      </c>
      <c r="I1640" s="8" t="str">
        <f t="shared" si="38"/>
        <v>Sun</v>
      </c>
      <c r="J1640" s="8" t="str">
        <f t="shared" si="39"/>
        <v>Sep</v>
      </c>
      <c r="K1640" s="8">
        <f t="shared" si="40"/>
        <v>7</v>
      </c>
      <c r="L1640" s="8">
        <f t="shared" si="41"/>
        <v>9</v>
      </c>
    </row>
    <row r="1641" spans="1:12" x14ac:dyDescent="0.3">
      <c r="A1641" s="10">
        <v>45557</v>
      </c>
      <c r="B1641" s="11">
        <v>45557.564983344906</v>
      </c>
      <c r="C1641" s="12">
        <f t="shared" si="36"/>
        <v>13</v>
      </c>
      <c r="D1641" s="12" t="s">
        <v>4</v>
      </c>
      <c r="E1641" s="12" t="s">
        <v>530</v>
      </c>
      <c r="F1641" s="13">
        <v>27.92</v>
      </c>
      <c r="G1641" s="12" t="s">
        <v>20</v>
      </c>
      <c r="H1641" s="12" t="str">
        <f t="shared" si="37"/>
        <v>Afternoon</v>
      </c>
      <c r="I1641" s="12" t="str">
        <f t="shared" si="38"/>
        <v>Sun</v>
      </c>
      <c r="J1641" s="12" t="str">
        <f t="shared" si="39"/>
        <v>Sep</v>
      </c>
      <c r="K1641" s="12">
        <f t="shared" si="40"/>
        <v>7</v>
      </c>
      <c r="L1641" s="12">
        <f t="shared" si="41"/>
        <v>9</v>
      </c>
    </row>
    <row r="1642" spans="1:12" x14ac:dyDescent="0.3">
      <c r="A1642" s="6">
        <v>45557</v>
      </c>
      <c r="B1642" s="7">
        <v>45557.648727997686</v>
      </c>
      <c r="C1642" s="8">
        <f t="shared" si="36"/>
        <v>15</v>
      </c>
      <c r="D1642" s="8" t="s">
        <v>4</v>
      </c>
      <c r="E1642" s="8" t="s">
        <v>672</v>
      </c>
      <c r="F1642" s="9">
        <v>32.82</v>
      </c>
      <c r="G1642" s="8" t="s">
        <v>13</v>
      </c>
      <c r="H1642" s="8" t="str">
        <f t="shared" si="37"/>
        <v>Afternoon</v>
      </c>
      <c r="I1642" s="8" t="str">
        <f t="shared" si="38"/>
        <v>Sun</v>
      </c>
      <c r="J1642" s="8" t="str">
        <f t="shared" si="39"/>
        <v>Sep</v>
      </c>
      <c r="K1642" s="8">
        <f t="shared" si="40"/>
        <v>7</v>
      </c>
      <c r="L1642" s="8">
        <f t="shared" si="41"/>
        <v>9</v>
      </c>
    </row>
    <row r="1643" spans="1:12" x14ac:dyDescent="0.3">
      <c r="A1643" s="10">
        <v>45557</v>
      </c>
      <c r="B1643" s="11">
        <v>45557.649586041669</v>
      </c>
      <c r="C1643" s="12">
        <f t="shared" si="36"/>
        <v>15</v>
      </c>
      <c r="D1643" s="12" t="s">
        <v>4</v>
      </c>
      <c r="E1643" s="12" t="s">
        <v>672</v>
      </c>
      <c r="F1643" s="13">
        <v>27.92</v>
      </c>
      <c r="G1643" s="12" t="s">
        <v>20</v>
      </c>
      <c r="H1643" s="12" t="str">
        <f t="shared" si="37"/>
        <v>Afternoon</v>
      </c>
      <c r="I1643" s="12" t="str">
        <f t="shared" si="38"/>
        <v>Sun</v>
      </c>
      <c r="J1643" s="12" t="str">
        <f t="shared" si="39"/>
        <v>Sep</v>
      </c>
      <c r="K1643" s="12">
        <f t="shared" si="40"/>
        <v>7</v>
      </c>
      <c r="L1643" s="12">
        <f t="shared" si="41"/>
        <v>9</v>
      </c>
    </row>
    <row r="1644" spans="1:12" x14ac:dyDescent="0.3">
      <c r="A1644" s="6">
        <v>45557</v>
      </c>
      <c r="B1644" s="7">
        <v>45557.684067916663</v>
      </c>
      <c r="C1644" s="8">
        <f t="shared" si="36"/>
        <v>16</v>
      </c>
      <c r="D1644" s="8" t="s">
        <v>4</v>
      </c>
      <c r="E1644" s="8" t="s">
        <v>673</v>
      </c>
      <c r="F1644" s="9">
        <v>32.82</v>
      </c>
      <c r="G1644" s="8" t="s">
        <v>24</v>
      </c>
      <c r="H1644" s="8" t="str">
        <f t="shared" si="37"/>
        <v>Afternoon</v>
      </c>
      <c r="I1644" s="8" t="str">
        <f t="shared" si="38"/>
        <v>Sun</v>
      </c>
      <c r="J1644" s="8" t="str">
        <f t="shared" si="39"/>
        <v>Sep</v>
      </c>
      <c r="K1644" s="8">
        <f t="shared" si="40"/>
        <v>7</v>
      </c>
      <c r="L1644" s="8">
        <f t="shared" si="41"/>
        <v>9</v>
      </c>
    </row>
    <row r="1645" spans="1:12" x14ac:dyDescent="0.3">
      <c r="A1645" s="10">
        <v>45557</v>
      </c>
      <c r="B1645" s="11">
        <v>45557.846644467594</v>
      </c>
      <c r="C1645" s="12">
        <f t="shared" si="36"/>
        <v>20</v>
      </c>
      <c r="D1645" s="12" t="s">
        <v>4</v>
      </c>
      <c r="E1645" s="12" t="s">
        <v>674</v>
      </c>
      <c r="F1645" s="13">
        <v>32.82</v>
      </c>
      <c r="G1645" s="12" t="s">
        <v>13</v>
      </c>
      <c r="H1645" s="12" t="str">
        <f t="shared" si="37"/>
        <v>Night</v>
      </c>
      <c r="I1645" s="12" t="str">
        <f t="shared" si="38"/>
        <v>Sun</v>
      </c>
      <c r="J1645" s="12" t="str">
        <f t="shared" si="39"/>
        <v>Sep</v>
      </c>
      <c r="K1645" s="12">
        <f t="shared" si="40"/>
        <v>7</v>
      </c>
      <c r="L1645" s="12">
        <f t="shared" si="41"/>
        <v>9</v>
      </c>
    </row>
    <row r="1646" spans="1:12" x14ac:dyDescent="0.3">
      <c r="A1646" s="6">
        <v>45557</v>
      </c>
      <c r="B1646" s="7">
        <v>45557.847634131947</v>
      </c>
      <c r="C1646" s="8">
        <f t="shared" si="36"/>
        <v>20</v>
      </c>
      <c r="D1646" s="8" t="s">
        <v>4</v>
      </c>
      <c r="E1646" s="8" t="s">
        <v>674</v>
      </c>
      <c r="F1646" s="9">
        <v>32.82</v>
      </c>
      <c r="G1646" s="8" t="s">
        <v>49</v>
      </c>
      <c r="H1646" s="8" t="str">
        <f t="shared" si="37"/>
        <v>Night</v>
      </c>
      <c r="I1646" s="8" t="str">
        <f t="shared" si="38"/>
        <v>Sun</v>
      </c>
      <c r="J1646" s="8" t="str">
        <f t="shared" si="39"/>
        <v>Sep</v>
      </c>
      <c r="K1646" s="8">
        <f t="shared" si="40"/>
        <v>7</v>
      </c>
      <c r="L1646" s="8">
        <f t="shared" si="41"/>
        <v>9</v>
      </c>
    </row>
    <row r="1647" spans="1:12" x14ac:dyDescent="0.3">
      <c r="A1647" s="10">
        <v>45557</v>
      </c>
      <c r="B1647" s="11">
        <v>45557.865581111109</v>
      </c>
      <c r="C1647" s="12">
        <f t="shared" si="36"/>
        <v>20</v>
      </c>
      <c r="D1647" s="12" t="s">
        <v>4</v>
      </c>
      <c r="E1647" s="12" t="s">
        <v>475</v>
      </c>
      <c r="F1647" s="13">
        <v>27.92</v>
      </c>
      <c r="G1647" s="12" t="s">
        <v>20</v>
      </c>
      <c r="H1647" s="12" t="str">
        <f t="shared" si="37"/>
        <v>Night</v>
      </c>
      <c r="I1647" s="12" t="str">
        <f t="shared" si="38"/>
        <v>Sun</v>
      </c>
      <c r="J1647" s="12" t="str">
        <f t="shared" si="39"/>
        <v>Sep</v>
      </c>
      <c r="K1647" s="12">
        <f t="shared" si="40"/>
        <v>7</v>
      </c>
      <c r="L1647" s="12">
        <f t="shared" si="41"/>
        <v>9</v>
      </c>
    </row>
    <row r="1648" spans="1:12" x14ac:dyDescent="0.3">
      <c r="A1648" s="6">
        <v>45557</v>
      </c>
      <c r="B1648" s="7">
        <v>45557.866378425926</v>
      </c>
      <c r="C1648" s="8">
        <f t="shared" si="36"/>
        <v>20</v>
      </c>
      <c r="D1648" s="8" t="s">
        <v>4</v>
      </c>
      <c r="E1648" s="8" t="s">
        <v>475</v>
      </c>
      <c r="F1648" s="9">
        <v>27.92</v>
      </c>
      <c r="G1648" s="8" t="s">
        <v>20</v>
      </c>
      <c r="H1648" s="8" t="str">
        <f t="shared" si="37"/>
        <v>Night</v>
      </c>
      <c r="I1648" s="8" t="str">
        <f t="shared" si="38"/>
        <v>Sun</v>
      </c>
      <c r="J1648" s="8" t="str">
        <f t="shared" si="39"/>
        <v>Sep</v>
      </c>
      <c r="K1648" s="8">
        <f t="shared" si="40"/>
        <v>7</v>
      </c>
      <c r="L1648" s="8">
        <f t="shared" si="41"/>
        <v>9</v>
      </c>
    </row>
    <row r="1649" spans="1:12" x14ac:dyDescent="0.3">
      <c r="A1649" s="10">
        <v>45557</v>
      </c>
      <c r="B1649" s="11">
        <v>45557.879916597223</v>
      </c>
      <c r="C1649" s="12">
        <f t="shared" si="36"/>
        <v>21</v>
      </c>
      <c r="D1649" s="12" t="s">
        <v>4</v>
      </c>
      <c r="E1649" s="12" t="s">
        <v>675</v>
      </c>
      <c r="F1649" s="13">
        <v>27.92</v>
      </c>
      <c r="G1649" s="12" t="s">
        <v>20</v>
      </c>
      <c r="H1649" s="12" t="str">
        <f t="shared" si="37"/>
        <v>Night</v>
      </c>
      <c r="I1649" s="12" t="str">
        <f t="shared" si="38"/>
        <v>Sun</v>
      </c>
      <c r="J1649" s="12" t="str">
        <f t="shared" si="39"/>
        <v>Sep</v>
      </c>
      <c r="K1649" s="12">
        <f t="shared" si="40"/>
        <v>7</v>
      </c>
      <c r="L1649" s="12">
        <f t="shared" si="41"/>
        <v>9</v>
      </c>
    </row>
    <row r="1650" spans="1:12" x14ac:dyDescent="0.3">
      <c r="A1650" s="6">
        <v>45557</v>
      </c>
      <c r="B1650" s="7">
        <v>45557.880726828706</v>
      </c>
      <c r="C1650" s="8">
        <f t="shared" si="36"/>
        <v>21</v>
      </c>
      <c r="D1650" s="8" t="s">
        <v>4</v>
      </c>
      <c r="E1650" s="8" t="s">
        <v>675</v>
      </c>
      <c r="F1650" s="9">
        <v>27.92</v>
      </c>
      <c r="G1650" s="8" t="s">
        <v>20</v>
      </c>
      <c r="H1650" s="8" t="str">
        <f t="shared" si="37"/>
        <v>Night</v>
      </c>
      <c r="I1650" s="8" t="str">
        <f t="shared" si="38"/>
        <v>Sun</v>
      </c>
      <c r="J1650" s="8" t="str">
        <f t="shared" si="39"/>
        <v>Sep</v>
      </c>
      <c r="K1650" s="8">
        <f t="shared" si="40"/>
        <v>7</v>
      </c>
      <c r="L1650" s="8">
        <f t="shared" si="41"/>
        <v>9</v>
      </c>
    </row>
    <row r="1651" spans="1:12" x14ac:dyDescent="0.3">
      <c r="A1651" s="10">
        <v>45557</v>
      </c>
      <c r="B1651" s="11">
        <v>45557.912547430555</v>
      </c>
      <c r="C1651" s="12">
        <f t="shared" si="36"/>
        <v>21</v>
      </c>
      <c r="D1651" s="12" t="s">
        <v>4</v>
      </c>
      <c r="E1651" s="12" t="s">
        <v>657</v>
      </c>
      <c r="F1651" s="13">
        <v>32.82</v>
      </c>
      <c r="G1651" s="12" t="s">
        <v>15</v>
      </c>
      <c r="H1651" s="12" t="str">
        <f t="shared" si="37"/>
        <v>Night</v>
      </c>
      <c r="I1651" s="12" t="str">
        <f t="shared" si="38"/>
        <v>Sun</v>
      </c>
      <c r="J1651" s="12" t="str">
        <f t="shared" si="39"/>
        <v>Sep</v>
      </c>
      <c r="K1651" s="12">
        <f t="shared" si="40"/>
        <v>7</v>
      </c>
      <c r="L1651" s="12">
        <f t="shared" si="41"/>
        <v>9</v>
      </c>
    </row>
    <row r="1652" spans="1:12" x14ac:dyDescent="0.3">
      <c r="A1652" s="6">
        <v>45557</v>
      </c>
      <c r="B1652" s="7">
        <v>45557.913130752313</v>
      </c>
      <c r="C1652" s="8">
        <f t="shared" si="36"/>
        <v>21</v>
      </c>
      <c r="D1652" s="8" t="s">
        <v>4</v>
      </c>
      <c r="E1652" s="8" t="s">
        <v>657</v>
      </c>
      <c r="F1652" s="9">
        <v>32.82</v>
      </c>
      <c r="G1652" s="8" t="s">
        <v>15</v>
      </c>
      <c r="H1652" s="8" t="str">
        <f t="shared" si="37"/>
        <v>Night</v>
      </c>
      <c r="I1652" s="8" t="str">
        <f t="shared" si="38"/>
        <v>Sun</v>
      </c>
      <c r="J1652" s="8" t="str">
        <f t="shared" si="39"/>
        <v>Sep</v>
      </c>
      <c r="K1652" s="8">
        <f t="shared" si="40"/>
        <v>7</v>
      </c>
      <c r="L1652" s="8">
        <f t="shared" si="41"/>
        <v>9</v>
      </c>
    </row>
    <row r="1653" spans="1:12" x14ac:dyDescent="0.3">
      <c r="A1653" s="10">
        <v>45557</v>
      </c>
      <c r="B1653" s="11">
        <v>45557.942388703705</v>
      </c>
      <c r="C1653" s="12">
        <f t="shared" si="36"/>
        <v>22</v>
      </c>
      <c r="D1653" s="12" t="s">
        <v>4</v>
      </c>
      <c r="E1653" s="12" t="s">
        <v>676</v>
      </c>
      <c r="F1653" s="13">
        <v>23.02</v>
      </c>
      <c r="G1653" s="12" t="s">
        <v>17</v>
      </c>
      <c r="H1653" s="12" t="str">
        <f t="shared" si="37"/>
        <v>Night</v>
      </c>
      <c r="I1653" s="12" t="str">
        <f t="shared" si="38"/>
        <v>Sun</v>
      </c>
      <c r="J1653" s="12" t="str">
        <f t="shared" si="39"/>
        <v>Sep</v>
      </c>
      <c r="K1653" s="12">
        <f t="shared" si="40"/>
        <v>7</v>
      </c>
      <c r="L1653" s="12">
        <f t="shared" si="41"/>
        <v>9</v>
      </c>
    </row>
    <row r="1654" spans="1:12" x14ac:dyDescent="0.3">
      <c r="A1654" s="6">
        <v>45557</v>
      </c>
      <c r="B1654" s="7">
        <v>45557.943037106481</v>
      </c>
      <c r="C1654" s="8">
        <f t="shared" si="36"/>
        <v>22</v>
      </c>
      <c r="D1654" s="8" t="s">
        <v>4</v>
      </c>
      <c r="E1654" s="8" t="s">
        <v>677</v>
      </c>
      <c r="F1654" s="9">
        <v>27.92</v>
      </c>
      <c r="G1654" s="8" t="s">
        <v>20</v>
      </c>
      <c r="H1654" s="8" t="str">
        <f t="shared" si="37"/>
        <v>Night</v>
      </c>
      <c r="I1654" s="8" t="str">
        <f t="shared" si="38"/>
        <v>Sun</v>
      </c>
      <c r="J1654" s="8" t="str">
        <f t="shared" si="39"/>
        <v>Sep</v>
      </c>
      <c r="K1654" s="8">
        <f t="shared" si="40"/>
        <v>7</v>
      </c>
      <c r="L1654" s="8">
        <f t="shared" si="41"/>
        <v>9</v>
      </c>
    </row>
    <row r="1655" spans="1:12" x14ac:dyDescent="0.3">
      <c r="A1655" s="10">
        <v>45558</v>
      </c>
      <c r="B1655" s="11">
        <v>45558.377511041668</v>
      </c>
      <c r="C1655" s="12">
        <f t="shared" si="36"/>
        <v>9</v>
      </c>
      <c r="D1655" s="12" t="s">
        <v>4</v>
      </c>
      <c r="E1655" s="12" t="s">
        <v>296</v>
      </c>
      <c r="F1655" s="13">
        <v>27.92</v>
      </c>
      <c r="G1655" s="12" t="s">
        <v>20</v>
      </c>
      <c r="H1655" s="12" t="str">
        <f t="shared" si="37"/>
        <v>Morning</v>
      </c>
      <c r="I1655" s="12" t="str">
        <f t="shared" si="38"/>
        <v>Mon</v>
      </c>
      <c r="J1655" s="12" t="str">
        <f t="shared" si="39"/>
        <v>Sep</v>
      </c>
      <c r="K1655" s="12">
        <f t="shared" si="40"/>
        <v>1</v>
      </c>
      <c r="L1655" s="12">
        <f t="shared" si="41"/>
        <v>9</v>
      </c>
    </row>
    <row r="1656" spans="1:12" x14ac:dyDescent="0.3">
      <c r="A1656" s="6">
        <v>45558</v>
      </c>
      <c r="B1656" s="7">
        <v>45558.419644305555</v>
      </c>
      <c r="C1656" s="8">
        <f t="shared" si="36"/>
        <v>10</v>
      </c>
      <c r="D1656" s="8" t="s">
        <v>4</v>
      </c>
      <c r="E1656" s="8" t="s">
        <v>161</v>
      </c>
      <c r="F1656" s="9">
        <v>23.02</v>
      </c>
      <c r="G1656" s="8" t="s">
        <v>34</v>
      </c>
      <c r="H1656" s="8" t="str">
        <f t="shared" si="37"/>
        <v>Morning</v>
      </c>
      <c r="I1656" s="8" t="str">
        <f t="shared" si="38"/>
        <v>Mon</v>
      </c>
      <c r="J1656" s="8" t="str">
        <f t="shared" si="39"/>
        <v>Sep</v>
      </c>
      <c r="K1656" s="8">
        <f t="shared" si="40"/>
        <v>1</v>
      </c>
      <c r="L1656" s="8">
        <f t="shared" si="41"/>
        <v>9</v>
      </c>
    </row>
    <row r="1657" spans="1:12" x14ac:dyDescent="0.3">
      <c r="A1657" s="10">
        <v>45558</v>
      </c>
      <c r="B1657" s="11">
        <v>45558.507689259262</v>
      </c>
      <c r="C1657" s="12">
        <f t="shared" si="36"/>
        <v>12</v>
      </c>
      <c r="D1657" s="12" t="s">
        <v>4</v>
      </c>
      <c r="E1657" s="12" t="s">
        <v>604</v>
      </c>
      <c r="F1657" s="13">
        <v>23.02</v>
      </c>
      <c r="G1657" s="12" t="s">
        <v>17</v>
      </c>
      <c r="H1657" s="12" t="str">
        <f t="shared" si="37"/>
        <v>Afternoon</v>
      </c>
      <c r="I1657" s="12" t="str">
        <f t="shared" si="38"/>
        <v>Mon</v>
      </c>
      <c r="J1657" s="12" t="str">
        <f t="shared" si="39"/>
        <v>Sep</v>
      </c>
      <c r="K1657" s="12">
        <f t="shared" si="40"/>
        <v>1</v>
      </c>
      <c r="L1657" s="12">
        <f t="shared" si="41"/>
        <v>9</v>
      </c>
    </row>
    <row r="1658" spans="1:12" x14ac:dyDescent="0.3">
      <c r="A1658" s="6">
        <v>45558</v>
      </c>
      <c r="B1658" s="7">
        <v>45558.589490115737</v>
      </c>
      <c r="C1658" s="8">
        <f t="shared" si="36"/>
        <v>14</v>
      </c>
      <c r="D1658" s="8" t="s">
        <v>4</v>
      </c>
      <c r="E1658" s="8" t="s">
        <v>593</v>
      </c>
      <c r="F1658" s="9">
        <v>27.92</v>
      </c>
      <c r="G1658" s="8" t="s">
        <v>20</v>
      </c>
      <c r="H1658" s="8" t="str">
        <f t="shared" si="37"/>
        <v>Afternoon</v>
      </c>
      <c r="I1658" s="8" t="str">
        <f t="shared" si="38"/>
        <v>Mon</v>
      </c>
      <c r="J1658" s="8" t="str">
        <f t="shared" si="39"/>
        <v>Sep</v>
      </c>
      <c r="K1658" s="8">
        <f t="shared" si="40"/>
        <v>1</v>
      </c>
      <c r="L1658" s="8">
        <f t="shared" si="41"/>
        <v>9</v>
      </c>
    </row>
    <row r="1659" spans="1:12" x14ac:dyDescent="0.3">
      <c r="A1659" s="10">
        <v>45558</v>
      </c>
      <c r="B1659" s="11">
        <v>45558.72763415509</v>
      </c>
      <c r="C1659" s="12">
        <f t="shared" si="36"/>
        <v>17</v>
      </c>
      <c r="D1659" s="12" t="s">
        <v>4</v>
      </c>
      <c r="E1659" s="12" t="s">
        <v>678</v>
      </c>
      <c r="F1659" s="13">
        <v>32.82</v>
      </c>
      <c r="G1659" s="12" t="s">
        <v>49</v>
      </c>
      <c r="H1659" s="12" t="str">
        <f t="shared" si="37"/>
        <v>Night</v>
      </c>
      <c r="I1659" s="12" t="str">
        <f t="shared" si="38"/>
        <v>Mon</v>
      </c>
      <c r="J1659" s="12" t="str">
        <f t="shared" si="39"/>
        <v>Sep</v>
      </c>
      <c r="K1659" s="12">
        <f t="shared" si="40"/>
        <v>1</v>
      </c>
      <c r="L1659" s="12">
        <f t="shared" si="41"/>
        <v>9</v>
      </c>
    </row>
    <row r="1660" spans="1:12" x14ac:dyDescent="0.3">
      <c r="A1660" s="6">
        <v>45558</v>
      </c>
      <c r="B1660" s="7">
        <v>45558.783685601855</v>
      </c>
      <c r="C1660" s="8">
        <f t="shared" si="36"/>
        <v>18</v>
      </c>
      <c r="D1660" s="8" t="s">
        <v>4</v>
      </c>
      <c r="E1660" s="8" t="s">
        <v>679</v>
      </c>
      <c r="F1660" s="9">
        <v>23.02</v>
      </c>
      <c r="G1660" s="8" t="s">
        <v>17</v>
      </c>
      <c r="H1660" s="8" t="str">
        <f t="shared" si="37"/>
        <v>Night</v>
      </c>
      <c r="I1660" s="8" t="str">
        <f t="shared" si="38"/>
        <v>Mon</v>
      </c>
      <c r="J1660" s="8" t="str">
        <f t="shared" si="39"/>
        <v>Sep</v>
      </c>
      <c r="K1660" s="8">
        <f t="shared" si="40"/>
        <v>1</v>
      </c>
      <c r="L1660" s="8">
        <f t="shared" si="41"/>
        <v>9</v>
      </c>
    </row>
    <row r="1661" spans="1:12" x14ac:dyDescent="0.3">
      <c r="A1661" s="10">
        <v>45558</v>
      </c>
      <c r="B1661" s="11">
        <v>45558.824559606481</v>
      </c>
      <c r="C1661" s="12">
        <f t="shared" si="36"/>
        <v>19</v>
      </c>
      <c r="D1661" s="12" t="s">
        <v>4</v>
      </c>
      <c r="E1661" s="12" t="s">
        <v>527</v>
      </c>
      <c r="F1661" s="13">
        <v>32.82</v>
      </c>
      <c r="G1661" s="12" t="s">
        <v>13</v>
      </c>
      <c r="H1661" s="12" t="str">
        <f t="shared" si="37"/>
        <v>Night</v>
      </c>
      <c r="I1661" s="12" t="str">
        <f t="shared" si="38"/>
        <v>Mon</v>
      </c>
      <c r="J1661" s="12" t="str">
        <f t="shared" si="39"/>
        <v>Sep</v>
      </c>
      <c r="K1661" s="12">
        <f t="shared" si="40"/>
        <v>1</v>
      </c>
      <c r="L1661" s="12">
        <f t="shared" si="41"/>
        <v>9</v>
      </c>
    </row>
    <row r="1662" spans="1:12" x14ac:dyDescent="0.3">
      <c r="A1662" s="6">
        <v>45558</v>
      </c>
      <c r="B1662" s="7">
        <v>45558.84011420139</v>
      </c>
      <c r="C1662" s="8">
        <f t="shared" si="36"/>
        <v>20</v>
      </c>
      <c r="D1662" s="8" t="s">
        <v>4</v>
      </c>
      <c r="E1662" s="8" t="s">
        <v>226</v>
      </c>
      <c r="F1662" s="9">
        <v>32.82</v>
      </c>
      <c r="G1662" s="8" t="s">
        <v>49</v>
      </c>
      <c r="H1662" s="8" t="str">
        <f t="shared" si="37"/>
        <v>Night</v>
      </c>
      <c r="I1662" s="8" t="str">
        <f t="shared" si="38"/>
        <v>Mon</v>
      </c>
      <c r="J1662" s="8" t="str">
        <f t="shared" si="39"/>
        <v>Sep</v>
      </c>
      <c r="K1662" s="8">
        <f t="shared" si="40"/>
        <v>1</v>
      </c>
      <c r="L1662" s="8">
        <f t="shared" si="41"/>
        <v>9</v>
      </c>
    </row>
    <row r="1663" spans="1:12" x14ac:dyDescent="0.3">
      <c r="A1663" s="10">
        <v>45558</v>
      </c>
      <c r="B1663" s="11">
        <v>45558.926047604167</v>
      </c>
      <c r="C1663" s="12">
        <f t="shared" si="36"/>
        <v>22</v>
      </c>
      <c r="D1663" s="12" t="s">
        <v>4</v>
      </c>
      <c r="E1663" s="12" t="s">
        <v>661</v>
      </c>
      <c r="F1663" s="13">
        <v>27.92</v>
      </c>
      <c r="G1663" s="12" t="s">
        <v>20</v>
      </c>
      <c r="H1663" s="12" t="str">
        <f t="shared" si="37"/>
        <v>Night</v>
      </c>
      <c r="I1663" s="12" t="str">
        <f t="shared" si="38"/>
        <v>Mon</v>
      </c>
      <c r="J1663" s="12" t="str">
        <f t="shared" si="39"/>
        <v>Sep</v>
      </c>
      <c r="K1663" s="12">
        <f t="shared" si="40"/>
        <v>1</v>
      </c>
      <c r="L1663" s="12">
        <f t="shared" si="41"/>
        <v>9</v>
      </c>
    </row>
    <row r="1664" spans="1:12" x14ac:dyDescent="0.3">
      <c r="A1664" s="6">
        <v>45558</v>
      </c>
      <c r="B1664" s="7">
        <v>45558.92725645833</v>
      </c>
      <c r="C1664" s="8">
        <f t="shared" si="36"/>
        <v>22</v>
      </c>
      <c r="D1664" s="8" t="s">
        <v>4</v>
      </c>
      <c r="E1664" s="8" t="s">
        <v>661</v>
      </c>
      <c r="F1664" s="9">
        <v>27.92</v>
      </c>
      <c r="G1664" s="8" t="s">
        <v>20</v>
      </c>
      <c r="H1664" s="8" t="str">
        <f t="shared" si="37"/>
        <v>Night</v>
      </c>
      <c r="I1664" s="8" t="str">
        <f t="shared" si="38"/>
        <v>Mon</v>
      </c>
      <c r="J1664" s="8" t="str">
        <f t="shared" si="39"/>
        <v>Sep</v>
      </c>
      <c r="K1664" s="8">
        <f t="shared" si="40"/>
        <v>1</v>
      </c>
      <c r="L1664" s="8">
        <f t="shared" si="41"/>
        <v>9</v>
      </c>
    </row>
    <row r="1665" spans="1:12" x14ac:dyDescent="0.3">
      <c r="A1665" s="10">
        <v>45559</v>
      </c>
      <c r="B1665" s="11">
        <v>45559.356627465277</v>
      </c>
      <c r="C1665" s="12">
        <f t="shared" si="36"/>
        <v>8</v>
      </c>
      <c r="D1665" s="12" t="s">
        <v>4</v>
      </c>
      <c r="E1665" s="12" t="s">
        <v>296</v>
      </c>
      <c r="F1665" s="13">
        <v>27.92</v>
      </c>
      <c r="G1665" s="12" t="s">
        <v>20</v>
      </c>
      <c r="H1665" s="12" t="str">
        <f t="shared" si="37"/>
        <v>Morning</v>
      </c>
      <c r="I1665" s="12" t="str">
        <f t="shared" si="38"/>
        <v>Tue</v>
      </c>
      <c r="J1665" s="12" t="str">
        <f t="shared" si="39"/>
        <v>Sep</v>
      </c>
      <c r="K1665" s="12">
        <f t="shared" si="40"/>
        <v>2</v>
      </c>
      <c r="L1665" s="12">
        <f t="shared" si="41"/>
        <v>9</v>
      </c>
    </row>
    <row r="1666" spans="1:12" x14ac:dyDescent="0.3">
      <c r="A1666" s="6">
        <v>45559</v>
      </c>
      <c r="B1666" s="7">
        <v>45559.516631516206</v>
      </c>
      <c r="C1666" s="8">
        <f t="shared" si="36"/>
        <v>12</v>
      </c>
      <c r="D1666" s="8" t="s">
        <v>4</v>
      </c>
      <c r="E1666" s="8" t="s">
        <v>654</v>
      </c>
      <c r="F1666" s="9">
        <v>32.82</v>
      </c>
      <c r="G1666" s="8" t="s">
        <v>13</v>
      </c>
      <c r="H1666" s="8" t="str">
        <f t="shared" si="37"/>
        <v>Afternoon</v>
      </c>
      <c r="I1666" s="8" t="str">
        <f t="shared" si="38"/>
        <v>Tue</v>
      </c>
      <c r="J1666" s="8" t="str">
        <f t="shared" si="39"/>
        <v>Sep</v>
      </c>
      <c r="K1666" s="8">
        <f t="shared" si="40"/>
        <v>2</v>
      </c>
      <c r="L1666" s="8">
        <f t="shared" si="41"/>
        <v>9</v>
      </c>
    </row>
    <row r="1667" spans="1:12" x14ac:dyDescent="0.3">
      <c r="A1667" s="10">
        <v>45559</v>
      </c>
      <c r="B1667" s="11">
        <v>45559.517300347223</v>
      </c>
      <c r="C1667" s="12">
        <f t="shared" si="36"/>
        <v>12</v>
      </c>
      <c r="D1667" s="12" t="s">
        <v>4</v>
      </c>
      <c r="E1667" s="12" t="s">
        <v>654</v>
      </c>
      <c r="F1667" s="13">
        <v>32.82</v>
      </c>
      <c r="G1667" s="12" t="s">
        <v>13</v>
      </c>
      <c r="H1667" s="12" t="str">
        <f t="shared" si="37"/>
        <v>Afternoon</v>
      </c>
      <c r="I1667" s="12" t="str">
        <f t="shared" si="38"/>
        <v>Tue</v>
      </c>
      <c r="J1667" s="12" t="str">
        <f t="shared" si="39"/>
        <v>Sep</v>
      </c>
      <c r="K1667" s="12">
        <f t="shared" si="40"/>
        <v>2</v>
      </c>
      <c r="L1667" s="12">
        <f t="shared" si="41"/>
        <v>9</v>
      </c>
    </row>
    <row r="1668" spans="1:12" x14ac:dyDescent="0.3">
      <c r="A1668" s="6">
        <v>45559</v>
      </c>
      <c r="B1668" s="7">
        <v>45559.532458368056</v>
      </c>
      <c r="C1668" s="8">
        <f t="shared" si="36"/>
        <v>12</v>
      </c>
      <c r="D1668" s="8" t="s">
        <v>4</v>
      </c>
      <c r="E1668" s="8" t="s">
        <v>680</v>
      </c>
      <c r="F1668" s="9">
        <v>32.82</v>
      </c>
      <c r="G1668" s="8" t="s">
        <v>13</v>
      </c>
      <c r="H1668" s="8" t="str">
        <f t="shared" si="37"/>
        <v>Afternoon</v>
      </c>
      <c r="I1668" s="8" t="str">
        <f t="shared" si="38"/>
        <v>Tue</v>
      </c>
      <c r="J1668" s="8" t="str">
        <f t="shared" si="39"/>
        <v>Sep</v>
      </c>
      <c r="K1668" s="8">
        <f t="shared" si="40"/>
        <v>2</v>
      </c>
      <c r="L1668" s="8">
        <f t="shared" si="41"/>
        <v>9</v>
      </c>
    </row>
    <row r="1669" spans="1:12" x14ac:dyDescent="0.3">
      <c r="A1669" s="10">
        <v>45559</v>
      </c>
      <c r="B1669" s="11">
        <v>45559.533210925925</v>
      </c>
      <c r="C1669" s="12">
        <f t="shared" si="36"/>
        <v>12</v>
      </c>
      <c r="D1669" s="12" t="s">
        <v>4</v>
      </c>
      <c r="E1669" s="12" t="s">
        <v>680</v>
      </c>
      <c r="F1669" s="13">
        <v>32.82</v>
      </c>
      <c r="G1669" s="12" t="s">
        <v>13</v>
      </c>
      <c r="H1669" s="12" t="str">
        <f t="shared" si="37"/>
        <v>Afternoon</v>
      </c>
      <c r="I1669" s="12" t="str">
        <f t="shared" si="38"/>
        <v>Tue</v>
      </c>
      <c r="J1669" s="12" t="str">
        <f t="shared" si="39"/>
        <v>Sep</v>
      </c>
      <c r="K1669" s="12">
        <f t="shared" si="40"/>
        <v>2</v>
      </c>
      <c r="L1669" s="12">
        <f t="shared" si="41"/>
        <v>9</v>
      </c>
    </row>
    <row r="1670" spans="1:12" x14ac:dyDescent="0.3">
      <c r="A1670" s="6">
        <v>45559</v>
      </c>
      <c r="B1670" s="7">
        <v>45559.591427534724</v>
      </c>
      <c r="C1670" s="8">
        <f t="shared" si="36"/>
        <v>14</v>
      </c>
      <c r="D1670" s="8" t="s">
        <v>4</v>
      </c>
      <c r="E1670" s="8" t="s">
        <v>681</v>
      </c>
      <c r="F1670" s="9">
        <v>32.82</v>
      </c>
      <c r="G1670" s="8" t="s">
        <v>13</v>
      </c>
      <c r="H1670" s="8" t="str">
        <f t="shared" si="37"/>
        <v>Afternoon</v>
      </c>
      <c r="I1670" s="8" t="str">
        <f t="shared" si="38"/>
        <v>Tue</v>
      </c>
      <c r="J1670" s="8" t="str">
        <f t="shared" si="39"/>
        <v>Sep</v>
      </c>
      <c r="K1670" s="8">
        <f t="shared" si="40"/>
        <v>2</v>
      </c>
      <c r="L1670" s="8">
        <f t="shared" si="41"/>
        <v>9</v>
      </c>
    </row>
    <row r="1671" spans="1:12" x14ac:dyDescent="0.3">
      <c r="A1671" s="10">
        <v>45559</v>
      </c>
      <c r="B1671" s="11">
        <v>45559.605193761578</v>
      </c>
      <c r="C1671" s="12">
        <f t="shared" si="36"/>
        <v>14</v>
      </c>
      <c r="D1671" s="12" t="s">
        <v>4</v>
      </c>
      <c r="E1671" s="12" t="s">
        <v>682</v>
      </c>
      <c r="F1671" s="13">
        <v>23.02</v>
      </c>
      <c r="G1671" s="12" t="s">
        <v>34</v>
      </c>
      <c r="H1671" s="12" t="str">
        <f t="shared" si="37"/>
        <v>Afternoon</v>
      </c>
      <c r="I1671" s="12" t="str">
        <f t="shared" si="38"/>
        <v>Tue</v>
      </c>
      <c r="J1671" s="12" t="str">
        <f t="shared" si="39"/>
        <v>Sep</v>
      </c>
      <c r="K1671" s="12">
        <f t="shared" si="40"/>
        <v>2</v>
      </c>
      <c r="L1671" s="12">
        <f t="shared" si="41"/>
        <v>9</v>
      </c>
    </row>
    <row r="1672" spans="1:12" x14ac:dyDescent="0.3">
      <c r="A1672" s="6">
        <v>45559</v>
      </c>
      <c r="B1672" s="7">
        <v>45559.650968726855</v>
      </c>
      <c r="C1672" s="8">
        <f t="shared" si="36"/>
        <v>15</v>
      </c>
      <c r="D1672" s="8" t="s">
        <v>4</v>
      </c>
      <c r="E1672" s="8" t="s">
        <v>530</v>
      </c>
      <c r="F1672" s="9">
        <v>32.82</v>
      </c>
      <c r="G1672" s="8" t="s">
        <v>49</v>
      </c>
      <c r="H1672" s="8" t="str">
        <f t="shared" si="37"/>
        <v>Afternoon</v>
      </c>
      <c r="I1672" s="8" t="str">
        <f t="shared" si="38"/>
        <v>Tue</v>
      </c>
      <c r="J1672" s="8" t="str">
        <f t="shared" si="39"/>
        <v>Sep</v>
      </c>
      <c r="K1672" s="8">
        <f t="shared" si="40"/>
        <v>2</v>
      </c>
      <c r="L1672" s="8">
        <f t="shared" si="41"/>
        <v>9</v>
      </c>
    </row>
    <row r="1673" spans="1:12" x14ac:dyDescent="0.3">
      <c r="A1673" s="10">
        <v>45559</v>
      </c>
      <c r="B1673" s="11">
        <v>45559.693614537035</v>
      </c>
      <c r="C1673" s="12">
        <f t="shared" si="36"/>
        <v>16</v>
      </c>
      <c r="D1673" s="12" t="s">
        <v>4</v>
      </c>
      <c r="E1673" s="12" t="s">
        <v>603</v>
      </c>
      <c r="F1673" s="13">
        <v>32.82</v>
      </c>
      <c r="G1673" s="12" t="s">
        <v>13</v>
      </c>
      <c r="H1673" s="12" t="str">
        <f t="shared" si="37"/>
        <v>Afternoon</v>
      </c>
      <c r="I1673" s="12" t="str">
        <f t="shared" si="38"/>
        <v>Tue</v>
      </c>
      <c r="J1673" s="12" t="str">
        <f t="shared" si="39"/>
        <v>Sep</v>
      </c>
      <c r="K1673" s="12">
        <f t="shared" si="40"/>
        <v>2</v>
      </c>
      <c r="L1673" s="12">
        <f t="shared" si="41"/>
        <v>9</v>
      </c>
    </row>
    <row r="1674" spans="1:12" x14ac:dyDescent="0.3">
      <c r="A1674" s="6">
        <v>45559</v>
      </c>
      <c r="B1674" s="7">
        <v>45559.779895081017</v>
      </c>
      <c r="C1674" s="8">
        <f t="shared" si="36"/>
        <v>18</v>
      </c>
      <c r="D1674" s="8" t="s">
        <v>4</v>
      </c>
      <c r="E1674" s="8" t="s">
        <v>428</v>
      </c>
      <c r="F1674" s="9">
        <v>23.02</v>
      </c>
      <c r="G1674" s="8" t="s">
        <v>17</v>
      </c>
      <c r="H1674" s="8" t="str">
        <f t="shared" si="37"/>
        <v>Night</v>
      </c>
      <c r="I1674" s="8" t="str">
        <f t="shared" si="38"/>
        <v>Tue</v>
      </c>
      <c r="J1674" s="8" t="str">
        <f t="shared" si="39"/>
        <v>Sep</v>
      </c>
      <c r="K1674" s="8">
        <f t="shared" si="40"/>
        <v>2</v>
      </c>
      <c r="L1674" s="8">
        <f t="shared" si="41"/>
        <v>9</v>
      </c>
    </row>
    <row r="1675" spans="1:12" x14ac:dyDescent="0.3">
      <c r="A1675" s="10">
        <v>45559</v>
      </c>
      <c r="B1675" s="11">
        <v>45559.780487060183</v>
      </c>
      <c r="C1675" s="12">
        <f t="shared" si="36"/>
        <v>18</v>
      </c>
      <c r="D1675" s="12" t="s">
        <v>4</v>
      </c>
      <c r="E1675" s="12" t="s">
        <v>428</v>
      </c>
      <c r="F1675" s="13">
        <v>23.02</v>
      </c>
      <c r="G1675" s="12" t="s">
        <v>17</v>
      </c>
      <c r="H1675" s="12" t="str">
        <f t="shared" si="37"/>
        <v>Night</v>
      </c>
      <c r="I1675" s="12" t="str">
        <f t="shared" si="38"/>
        <v>Tue</v>
      </c>
      <c r="J1675" s="12" t="str">
        <f t="shared" si="39"/>
        <v>Sep</v>
      </c>
      <c r="K1675" s="12">
        <f t="shared" si="40"/>
        <v>2</v>
      </c>
      <c r="L1675" s="12">
        <f t="shared" si="41"/>
        <v>9</v>
      </c>
    </row>
    <row r="1676" spans="1:12" x14ac:dyDescent="0.3">
      <c r="A1676" s="6">
        <v>45559</v>
      </c>
      <c r="B1676" s="7">
        <v>45559.844333287037</v>
      </c>
      <c r="C1676" s="8">
        <f t="shared" si="36"/>
        <v>20</v>
      </c>
      <c r="D1676" s="8" t="s">
        <v>4</v>
      </c>
      <c r="E1676" s="8" t="s">
        <v>683</v>
      </c>
      <c r="F1676" s="9">
        <v>32.82</v>
      </c>
      <c r="G1676" s="8" t="s">
        <v>15</v>
      </c>
      <c r="H1676" s="8" t="str">
        <f t="shared" si="37"/>
        <v>Night</v>
      </c>
      <c r="I1676" s="8" t="str">
        <f t="shared" si="38"/>
        <v>Tue</v>
      </c>
      <c r="J1676" s="8" t="str">
        <f t="shared" si="39"/>
        <v>Sep</v>
      </c>
      <c r="K1676" s="8">
        <f t="shared" si="40"/>
        <v>2</v>
      </c>
      <c r="L1676" s="8">
        <f t="shared" si="41"/>
        <v>9</v>
      </c>
    </row>
    <row r="1677" spans="1:12" x14ac:dyDescent="0.3">
      <c r="A1677" s="10">
        <v>45559</v>
      </c>
      <c r="B1677" s="11">
        <v>45559.878636458336</v>
      </c>
      <c r="C1677" s="12">
        <f t="shared" si="36"/>
        <v>21</v>
      </c>
      <c r="D1677" s="12" t="s">
        <v>4</v>
      </c>
      <c r="E1677" s="12" t="s">
        <v>651</v>
      </c>
      <c r="F1677" s="13">
        <v>32.82</v>
      </c>
      <c r="G1677" s="12" t="s">
        <v>13</v>
      </c>
      <c r="H1677" s="12" t="str">
        <f t="shared" si="37"/>
        <v>Night</v>
      </c>
      <c r="I1677" s="12" t="str">
        <f t="shared" si="38"/>
        <v>Tue</v>
      </c>
      <c r="J1677" s="12" t="str">
        <f t="shared" si="39"/>
        <v>Sep</v>
      </c>
      <c r="K1677" s="12">
        <f t="shared" si="40"/>
        <v>2</v>
      </c>
      <c r="L1677" s="12">
        <f t="shared" si="41"/>
        <v>9</v>
      </c>
    </row>
    <row r="1678" spans="1:12" x14ac:dyDescent="0.3">
      <c r="A1678" s="6">
        <v>45559</v>
      </c>
      <c r="B1678" s="7">
        <v>45559.879541689814</v>
      </c>
      <c r="C1678" s="8">
        <f t="shared" si="36"/>
        <v>21</v>
      </c>
      <c r="D1678" s="8" t="s">
        <v>4</v>
      </c>
      <c r="E1678" s="8" t="s">
        <v>551</v>
      </c>
      <c r="F1678" s="9">
        <v>27.92</v>
      </c>
      <c r="G1678" s="8" t="s">
        <v>20</v>
      </c>
      <c r="H1678" s="8" t="str">
        <f t="shared" si="37"/>
        <v>Night</v>
      </c>
      <c r="I1678" s="8" t="str">
        <f t="shared" si="38"/>
        <v>Tue</v>
      </c>
      <c r="J1678" s="8" t="str">
        <f t="shared" si="39"/>
        <v>Sep</v>
      </c>
      <c r="K1678" s="8">
        <f t="shared" si="40"/>
        <v>2</v>
      </c>
      <c r="L1678" s="8">
        <f t="shared" si="41"/>
        <v>9</v>
      </c>
    </row>
    <row r="1679" spans="1:12" x14ac:dyDescent="0.3">
      <c r="A1679" s="10">
        <v>45559</v>
      </c>
      <c r="B1679" s="11">
        <v>45559.880265798609</v>
      </c>
      <c r="C1679" s="12">
        <f t="shared" si="36"/>
        <v>21</v>
      </c>
      <c r="D1679" s="12" t="s">
        <v>4</v>
      </c>
      <c r="E1679" s="12" t="s">
        <v>551</v>
      </c>
      <c r="F1679" s="13">
        <v>27.92</v>
      </c>
      <c r="G1679" s="12" t="s">
        <v>20</v>
      </c>
      <c r="H1679" s="12" t="str">
        <f t="shared" si="37"/>
        <v>Night</v>
      </c>
      <c r="I1679" s="12" t="str">
        <f t="shared" si="38"/>
        <v>Tue</v>
      </c>
      <c r="J1679" s="12" t="str">
        <f t="shared" si="39"/>
        <v>Sep</v>
      </c>
      <c r="K1679" s="12">
        <f t="shared" si="40"/>
        <v>2</v>
      </c>
      <c r="L1679" s="12">
        <f t="shared" si="41"/>
        <v>9</v>
      </c>
    </row>
    <row r="1680" spans="1:12" x14ac:dyDescent="0.3">
      <c r="A1680" s="6">
        <v>45560</v>
      </c>
      <c r="B1680" s="7">
        <v>45560.3273275463</v>
      </c>
      <c r="C1680" s="8">
        <f t="shared" si="36"/>
        <v>7</v>
      </c>
      <c r="D1680" s="8" t="s">
        <v>4</v>
      </c>
      <c r="E1680" s="8" t="s">
        <v>684</v>
      </c>
      <c r="F1680" s="9">
        <v>32.82</v>
      </c>
      <c r="G1680" s="8" t="s">
        <v>49</v>
      </c>
      <c r="H1680" s="8" t="str">
        <f t="shared" si="37"/>
        <v>Morning</v>
      </c>
      <c r="I1680" s="8" t="str">
        <f t="shared" si="38"/>
        <v>Wed</v>
      </c>
      <c r="J1680" s="8" t="str">
        <f t="shared" si="39"/>
        <v>Sep</v>
      </c>
      <c r="K1680" s="8">
        <f t="shared" si="40"/>
        <v>3</v>
      </c>
      <c r="L1680" s="8">
        <f t="shared" si="41"/>
        <v>9</v>
      </c>
    </row>
    <row r="1681" spans="1:12" x14ac:dyDescent="0.3">
      <c r="A1681" s="10">
        <v>45560</v>
      </c>
      <c r="B1681" s="11">
        <v>45560.483015428239</v>
      </c>
      <c r="C1681" s="12">
        <f t="shared" si="36"/>
        <v>11</v>
      </c>
      <c r="D1681" s="12" t="s">
        <v>4</v>
      </c>
      <c r="E1681" s="12" t="s">
        <v>161</v>
      </c>
      <c r="F1681" s="13">
        <v>23.02</v>
      </c>
      <c r="G1681" s="12" t="s">
        <v>34</v>
      </c>
      <c r="H1681" s="12" t="str">
        <f t="shared" si="37"/>
        <v>Morning</v>
      </c>
      <c r="I1681" s="12" t="str">
        <f t="shared" si="38"/>
        <v>Wed</v>
      </c>
      <c r="J1681" s="12" t="str">
        <f t="shared" si="39"/>
        <v>Sep</v>
      </c>
      <c r="K1681" s="12">
        <f t="shared" si="40"/>
        <v>3</v>
      </c>
      <c r="L1681" s="12">
        <f t="shared" si="41"/>
        <v>9</v>
      </c>
    </row>
    <row r="1682" spans="1:12" x14ac:dyDescent="0.3">
      <c r="A1682" s="6">
        <v>45560</v>
      </c>
      <c r="B1682" s="7">
        <v>45560.493926064817</v>
      </c>
      <c r="C1682" s="8">
        <f t="shared" si="36"/>
        <v>11</v>
      </c>
      <c r="D1682" s="8" t="s">
        <v>4</v>
      </c>
      <c r="E1682" s="8" t="s">
        <v>685</v>
      </c>
      <c r="F1682" s="9">
        <v>27.92</v>
      </c>
      <c r="G1682" s="8" t="s">
        <v>20</v>
      </c>
      <c r="H1682" s="8" t="str">
        <f t="shared" si="37"/>
        <v>Morning</v>
      </c>
      <c r="I1682" s="8" t="str">
        <f t="shared" si="38"/>
        <v>Wed</v>
      </c>
      <c r="J1682" s="8" t="str">
        <f t="shared" si="39"/>
        <v>Sep</v>
      </c>
      <c r="K1682" s="8">
        <f t="shared" si="40"/>
        <v>3</v>
      </c>
      <c r="L1682" s="8">
        <f t="shared" si="41"/>
        <v>9</v>
      </c>
    </row>
    <row r="1683" spans="1:12" x14ac:dyDescent="0.3">
      <c r="A1683" s="10">
        <v>45560</v>
      </c>
      <c r="B1683" s="11">
        <v>45560.495062164351</v>
      </c>
      <c r="C1683" s="12">
        <f t="shared" si="36"/>
        <v>11</v>
      </c>
      <c r="D1683" s="12" t="s">
        <v>4</v>
      </c>
      <c r="E1683" s="12" t="s">
        <v>685</v>
      </c>
      <c r="F1683" s="13">
        <v>32.82</v>
      </c>
      <c r="G1683" s="12" t="s">
        <v>13</v>
      </c>
      <c r="H1683" s="12" t="str">
        <f t="shared" si="37"/>
        <v>Morning</v>
      </c>
      <c r="I1683" s="12" t="str">
        <f t="shared" si="38"/>
        <v>Wed</v>
      </c>
      <c r="J1683" s="12" t="str">
        <f t="shared" si="39"/>
        <v>Sep</v>
      </c>
      <c r="K1683" s="12">
        <f t="shared" si="40"/>
        <v>3</v>
      </c>
      <c r="L1683" s="12">
        <f t="shared" si="41"/>
        <v>9</v>
      </c>
    </row>
    <row r="1684" spans="1:12" x14ac:dyDescent="0.3">
      <c r="A1684" s="6">
        <v>45560</v>
      </c>
      <c r="B1684" s="7">
        <v>45560.579762199071</v>
      </c>
      <c r="C1684" s="8">
        <f t="shared" si="36"/>
        <v>13</v>
      </c>
      <c r="D1684" s="8" t="s">
        <v>4</v>
      </c>
      <c r="E1684" s="8" t="s">
        <v>686</v>
      </c>
      <c r="F1684" s="9">
        <v>27.92</v>
      </c>
      <c r="G1684" s="8" t="s">
        <v>20</v>
      </c>
      <c r="H1684" s="8" t="str">
        <f t="shared" si="37"/>
        <v>Afternoon</v>
      </c>
      <c r="I1684" s="8" t="str">
        <f t="shared" si="38"/>
        <v>Wed</v>
      </c>
      <c r="J1684" s="8" t="str">
        <f t="shared" si="39"/>
        <v>Sep</v>
      </c>
      <c r="K1684" s="8">
        <f t="shared" si="40"/>
        <v>3</v>
      </c>
      <c r="L1684" s="8">
        <f t="shared" si="41"/>
        <v>9</v>
      </c>
    </row>
    <row r="1685" spans="1:12" x14ac:dyDescent="0.3">
      <c r="A1685" s="10">
        <v>45560</v>
      </c>
      <c r="B1685" s="11">
        <v>45560.580546967591</v>
      </c>
      <c r="C1685" s="12">
        <f t="shared" si="36"/>
        <v>13</v>
      </c>
      <c r="D1685" s="12" t="s">
        <v>4</v>
      </c>
      <c r="E1685" s="12" t="s">
        <v>686</v>
      </c>
      <c r="F1685" s="13">
        <v>27.92</v>
      </c>
      <c r="G1685" s="12" t="s">
        <v>20</v>
      </c>
      <c r="H1685" s="12" t="str">
        <f t="shared" si="37"/>
        <v>Afternoon</v>
      </c>
      <c r="I1685" s="12" t="str">
        <f t="shared" si="38"/>
        <v>Wed</v>
      </c>
      <c r="J1685" s="12" t="str">
        <f t="shared" si="39"/>
        <v>Sep</v>
      </c>
      <c r="K1685" s="12">
        <f t="shared" si="40"/>
        <v>3</v>
      </c>
      <c r="L1685" s="12">
        <f t="shared" si="41"/>
        <v>9</v>
      </c>
    </row>
    <row r="1686" spans="1:12" x14ac:dyDescent="0.3">
      <c r="A1686" s="6">
        <v>45560</v>
      </c>
      <c r="B1686" s="7">
        <v>45560.733763680553</v>
      </c>
      <c r="C1686" s="8">
        <f t="shared" si="36"/>
        <v>17</v>
      </c>
      <c r="D1686" s="8" t="s">
        <v>4</v>
      </c>
      <c r="E1686" s="8" t="s">
        <v>687</v>
      </c>
      <c r="F1686" s="9">
        <v>27.92</v>
      </c>
      <c r="G1686" s="8" t="s">
        <v>20</v>
      </c>
      <c r="H1686" s="8" t="str">
        <f t="shared" si="37"/>
        <v>Night</v>
      </c>
      <c r="I1686" s="8" t="str">
        <f t="shared" si="38"/>
        <v>Wed</v>
      </c>
      <c r="J1686" s="8" t="str">
        <f t="shared" si="39"/>
        <v>Sep</v>
      </c>
      <c r="K1686" s="8">
        <f t="shared" si="40"/>
        <v>3</v>
      </c>
      <c r="L1686" s="8">
        <f t="shared" si="41"/>
        <v>9</v>
      </c>
    </row>
    <row r="1687" spans="1:12" x14ac:dyDescent="0.3">
      <c r="A1687" s="10">
        <v>45560</v>
      </c>
      <c r="B1687" s="11">
        <v>45560.734396296299</v>
      </c>
      <c r="C1687" s="12">
        <f t="shared" si="36"/>
        <v>17</v>
      </c>
      <c r="D1687" s="12" t="s">
        <v>4</v>
      </c>
      <c r="E1687" s="12" t="s">
        <v>687</v>
      </c>
      <c r="F1687" s="13">
        <v>27.92</v>
      </c>
      <c r="G1687" s="12" t="s">
        <v>20</v>
      </c>
      <c r="H1687" s="12" t="str">
        <f t="shared" si="37"/>
        <v>Night</v>
      </c>
      <c r="I1687" s="12" t="str">
        <f t="shared" si="38"/>
        <v>Wed</v>
      </c>
      <c r="J1687" s="12" t="str">
        <f t="shared" si="39"/>
        <v>Sep</v>
      </c>
      <c r="K1687" s="12">
        <f t="shared" si="40"/>
        <v>3</v>
      </c>
      <c r="L1687" s="12">
        <f t="shared" si="41"/>
        <v>9</v>
      </c>
    </row>
    <row r="1688" spans="1:12" x14ac:dyDescent="0.3">
      <c r="A1688" s="6">
        <v>45560</v>
      </c>
      <c r="B1688" s="7">
        <v>45560.899088993057</v>
      </c>
      <c r="C1688" s="8">
        <f t="shared" si="36"/>
        <v>21</v>
      </c>
      <c r="D1688" s="8" t="s">
        <v>4</v>
      </c>
      <c r="E1688" s="8" t="s">
        <v>688</v>
      </c>
      <c r="F1688" s="9">
        <v>23.02</v>
      </c>
      <c r="G1688" s="8" t="s">
        <v>17</v>
      </c>
      <c r="H1688" s="8" t="str">
        <f t="shared" si="37"/>
        <v>Night</v>
      </c>
      <c r="I1688" s="8" t="str">
        <f t="shared" si="38"/>
        <v>Wed</v>
      </c>
      <c r="J1688" s="8" t="str">
        <f t="shared" si="39"/>
        <v>Sep</v>
      </c>
      <c r="K1688" s="8">
        <f t="shared" si="40"/>
        <v>3</v>
      </c>
      <c r="L1688" s="8">
        <f t="shared" si="41"/>
        <v>9</v>
      </c>
    </row>
    <row r="1689" spans="1:12" x14ac:dyDescent="0.3">
      <c r="A1689" s="10">
        <v>45560</v>
      </c>
      <c r="B1689" s="11">
        <v>45560.929765671295</v>
      </c>
      <c r="C1689" s="12">
        <f t="shared" si="36"/>
        <v>22</v>
      </c>
      <c r="D1689" s="12" t="s">
        <v>4</v>
      </c>
      <c r="E1689" s="12" t="s">
        <v>495</v>
      </c>
      <c r="F1689" s="13">
        <v>27.92</v>
      </c>
      <c r="G1689" s="12" t="s">
        <v>20</v>
      </c>
      <c r="H1689" s="12" t="str">
        <f t="shared" si="37"/>
        <v>Night</v>
      </c>
      <c r="I1689" s="12" t="str">
        <f t="shared" si="38"/>
        <v>Wed</v>
      </c>
      <c r="J1689" s="12" t="str">
        <f t="shared" si="39"/>
        <v>Sep</v>
      </c>
      <c r="K1689" s="12">
        <f t="shared" si="40"/>
        <v>3</v>
      </c>
      <c r="L1689" s="12">
        <f t="shared" si="41"/>
        <v>9</v>
      </c>
    </row>
    <row r="1690" spans="1:12" x14ac:dyDescent="0.3">
      <c r="A1690" s="6">
        <v>45561</v>
      </c>
      <c r="B1690" s="7">
        <v>45561.363600104167</v>
      </c>
      <c r="C1690" s="8">
        <f t="shared" si="36"/>
        <v>8</v>
      </c>
      <c r="D1690" s="8" t="s">
        <v>4</v>
      </c>
      <c r="E1690" s="8" t="s">
        <v>590</v>
      </c>
      <c r="F1690" s="9">
        <v>32.82</v>
      </c>
      <c r="G1690" s="8" t="s">
        <v>13</v>
      </c>
      <c r="H1690" s="8" t="str">
        <f t="shared" si="37"/>
        <v>Morning</v>
      </c>
      <c r="I1690" s="8" t="str">
        <f t="shared" si="38"/>
        <v>Thu</v>
      </c>
      <c r="J1690" s="8" t="str">
        <f t="shared" si="39"/>
        <v>Sep</v>
      </c>
      <c r="K1690" s="8">
        <f t="shared" si="40"/>
        <v>4</v>
      </c>
      <c r="L1690" s="8">
        <f t="shared" si="41"/>
        <v>9</v>
      </c>
    </row>
    <row r="1691" spans="1:12" x14ac:dyDescent="0.3">
      <c r="A1691" s="10">
        <v>45561</v>
      </c>
      <c r="B1691" s="11">
        <v>45561.442436168982</v>
      </c>
      <c r="C1691" s="12">
        <f t="shared" si="36"/>
        <v>10</v>
      </c>
      <c r="D1691" s="12" t="s">
        <v>4</v>
      </c>
      <c r="E1691" s="12" t="s">
        <v>353</v>
      </c>
      <c r="F1691" s="13">
        <v>27.92</v>
      </c>
      <c r="G1691" s="12" t="s">
        <v>20</v>
      </c>
      <c r="H1691" s="12" t="str">
        <f t="shared" si="37"/>
        <v>Morning</v>
      </c>
      <c r="I1691" s="12" t="str">
        <f t="shared" si="38"/>
        <v>Thu</v>
      </c>
      <c r="J1691" s="12" t="str">
        <f t="shared" si="39"/>
        <v>Sep</v>
      </c>
      <c r="K1691" s="12">
        <f t="shared" si="40"/>
        <v>4</v>
      </c>
      <c r="L1691" s="12">
        <f t="shared" si="41"/>
        <v>9</v>
      </c>
    </row>
    <row r="1692" spans="1:12" x14ac:dyDescent="0.3">
      <c r="A1692" s="6">
        <v>45561</v>
      </c>
      <c r="B1692" s="7">
        <v>45561.455467673608</v>
      </c>
      <c r="C1692" s="8">
        <f t="shared" si="36"/>
        <v>10</v>
      </c>
      <c r="D1692" s="8" t="s">
        <v>4</v>
      </c>
      <c r="E1692" s="8" t="s">
        <v>689</v>
      </c>
      <c r="F1692" s="9">
        <v>18.12</v>
      </c>
      <c r="G1692" s="8" t="s">
        <v>41</v>
      </c>
      <c r="H1692" s="8" t="str">
        <f t="shared" si="37"/>
        <v>Morning</v>
      </c>
      <c r="I1692" s="8" t="str">
        <f t="shared" si="38"/>
        <v>Thu</v>
      </c>
      <c r="J1692" s="8" t="str">
        <f t="shared" si="39"/>
        <v>Sep</v>
      </c>
      <c r="K1692" s="8">
        <f t="shared" si="40"/>
        <v>4</v>
      </c>
      <c r="L1692" s="8">
        <f t="shared" si="41"/>
        <v>9</v>
      </c>
    </row>
    <row r="1693" spans="1:12" x14ac:dyDescent="0.3">
      <c r="A1693" s="10">
        <v>45561</v>
      </c>
      <c r="B1693" s="11">
        <v>45561.482506608794</v>
      </c>
      <c r="C1693" s="12">
        <f t="shared" si="36"/>
        <v>11</v>
      </c>
      <c r="D1693" s="12" t="s">
        <v>4</v>
      </c>
      <c r="E1693" s="12" t="s">
        <v>690</v>
      </c>
      <c r="F1693" s="13">
        <v>32.82</v>
      </c>
      <c r="G1693" s="12" t="s">
        <v>49</v>
      </c>
      <c r="H1693" s="12" t="str">
        <f t="shared" si="37"/>
        <v>Morning</v>
      </c>
      <c r="I1693" s="12" t="str">
        <f t="shared" si="38"/>
        <v>Thu</v>
      </c>
      <c r="J1693" s="12" t="str">
        <f t="shared" si="39"/>
        <v>Sep</v>
      </c>
      <c r="K1693" s="12">
        <f t="shared" si="40"/>
        <v>4</v>
      </c>
      <c r="L1693" s="12">
        <f t="shared" si="41"/>
        <v>9</v>
      </c>
    </row>
    <row r="1694" spans="1:12" x14ac:dyDescent="0.3">
      <c r="A1694" s="6">
        <v>45561</v>
      </c>
      <c r="B1694" s="7">
        <v>45561.533349166668</v>
      </c>
      <c r="C1694" s="8">
        <f t="shared" si="36"/>
        <v>12</v>
      </c>
      <c r="D1694" s="8" t="s">
        <v>4</v>
      </c>
      <c r="E1694" s="8" t="s">
        <v>691</v>
      </c>
      <c r="F1694" s="9">
        <v>32.82</v>
      </c>
      <c r="G1694" s="8" t="s">
        <v>13</v>
      </c>
      <c r="H1694" s="8" t="str">
        <f t="shared" si="37"/>
        <v>Afternoon</v>
      </c>
      <c r="I1694" s="8" t="str">
        <f t="shared" si="38"/>
        <v>Thu</v>
      </c>
      <c r="J1694" s="8" t="str">
        <f t="shared" si="39"/>
        <v>Sep</v>
      </c>
      <c r="K1694" s="8">
        <f t="shared" si="40"/>
        <v>4</v>
      </c>
      <c r="L1694" s="8">
        <f t="shared" si="41"/>
        <v>9</v>
      </c>
    </row>
    <row r="1695" spans="1:12" x14ac:dyDescent="0.3">
      <c r="A1695" s="10">
        <v>45561</v>
      </c>
      <c r="B1695" s="11">
        <v>45561.765228391203</v>
      </c>
      <c r="C1695" s="12">
        <f t="shared" si="36"/>
        <v>18</v>
      </c>
      <c r="D1695" s="12" t="s">
        <v>4</v>
      </c>
      <c r="E1695" s="12" t="s">
        <v>692</v>
      </c>
      <c r="F1695" s="13">
        <v>32.82</v>
      </c>
      <c r="G1695" s="12" t="s">
        <v>13</v>
      </c>
      <c r="H1695" s="12" t="str">
        <f t="shared" si="37"/>
        <v>Night</v>
      </c>
      <c r="I1695" s="12" t="str">
        <f t="shared" si="38"/>
        <v>Thu</v>
      </c>
      <c r="J1695" s="12" t="str">
        <f t="shared" si="39"/>
        <v>Sep</v>
      </c>
      <c r="K1695" s="12">
        <f t="shared" si="40"/>
        <v>4</v>
      </c>
      <c r="L1695" s="12">
        <f t="shared" si="41"/>
        <v>9</v>
      </c>
    </row>
    <row r="1696" spans="1:12" x14ac:dyDescent="0.3">
      <c r="A1696" s="6">
        <v>45561</v>
      </c>
      <c r="B1696" s="7">
        <v>45561.948091215279</v>
      </c>
      <c r="C1696" s="8">
        <f t="shared" si="36"/>
        <v>22</v>
      </c>
      <c r="D1696" s="8" t="s">
        <v>4</v>
      </c>
      <c r="E1696" s="8" t="s">
        <v>693</v>
      </c>
      <c r="F1696" s="9">
        <v>32.82</v>
      </c>
      <c r="G1696" s="8" t="s">
        <v>13</v>
      </c>
      <c r="H1696" s="8" t="str">
        <f t="shared" si="37"/>
        <v>Night</v>
      </c>
      <c r="I1696" s="8" t="str">
        <f t="shared" si="38"/>
        <v>Thu</v>
      </c>
      <c r="J1696" s="8" t="str">
        <f t="shared" si="39"/>
        <v>Sep</v>
      </c>
      <c r="K1696" s="8">
        <f t="shared" si="40"/>
        <v>4</v>
      </c>
      <c r="L1696" s="8">
        <f t="shared" si="41"/>
        <v>9</v>
      </c>
    </row>
    <row r="1697" spans="1:12" x14ac:dyDescent="0.3">
      <c r="A1697" s="10">
        <v>45561</v>
      </c>
      <c r="B1697" s="11">
        <v>45561.948815243057</v>
      </c>
      <c r="C1697" s="12">
        <f t="shared" si="36"/>
        <v>22</v>
      </c>
      <c r="D1697" s="12" t="s">
        <v>4</v>
      </c>
      <c r="E1697" s="12" t="s">
        <v>693</v>
      </c>
      <c r="F1697" s="13">
        <v>23.02</v>
      </c>
      <c r="G1697" s="12" t="s">
        <v>34</v>
      </c>
      <c r="H1697" s="12" t="str">
        <f t="shared" si="37"/>
        <v>Night</v>
      </c>
      <c r="I1697" s="12" t="str">
        <f t="shared" si="38"/>
        <v>Thu</v>
      </c>
      <c r="J1697" s="12" t="str">
        <f t="shared" si="39"/>
        <v>Sep</v>
      </c>
      <c r="K1697" s="12">
        <f t="shared" si="40"/>
        <v>4</v>
      </c>
      <c r="L1697" s="12">
        <f t="shared" si="41"/>
        <v>9</v>
      </c>
    </row>
    <row r="1698" spans="1:12" x14ac:dyDescent="0.3">
      <c r="A1698" s="6">
        <v>45561</v>
      </c>
      <c r="B1698" s="7">
        <v>45561.949593368059</v>
      </c>
      <c r="C1698" s="8">
        <f t="shared" si="36"/>
        <v>22</v>
      </c>
      <c r="D1698" s="8" t="s">
        <v>4</v>
      </c>
      <c r="E1698" s="8" t="s">
        <v>492</v>
      </c>
      <c r="F1698" s="9">
        <v>27.92</v>
      </c>
      <c r="G1698" s="8" t="s">
        <v>20</v>
      </c>
      <c r="H1698" s="8" t="str">
        <f t="shared" si="37"/>
        <v>Night</v>
      </c>
      <c r="I1698" s="8" t="str">
        <f t="shared" si="38"/>
        <v>Thu</v>
      </c>
      <c r="J1698" s="8" t="str">
        <f t="shared" si="39"/>
        <v>Sep</v>
      </c>
      <c r="K1698" s="8">
        <f t="shared" si="40"/>
        <v>4</v>
      </c>
      <c r="L1698" s="8">
        <f t="shared" si="41"/>
        <v>9</v>
      </c>
    </row>
    <row r="1699" spans="1:12" x14ac:dyDescent="0.3">
      <c r="A1699" s="10">
        <v>45562</v>
      </c>
      <c r="B1699" s="11">
        <v>45562.395667199075</v>
      </c>
      <c r="C1699" s="12">
        <f t="shared" si="36"/>
        <v>9</v>
      </c>
      <c r="D1699" s="12" t="s">
        <v>4</v>
      </c>
      <c r="E1699" s="12" t="s">
        <v>296</v>
      </c>
      <c r="F1699" s="13">
        <v>27.92</v>
      </c>
      <c r="G1699" s="12" t="s">
        <v>20</v>
      </c>
      <c r="H1699" s="12" t="str">
        <f t="shared" si="37"/>
        <v>Morning</v>
      </c>
      <c r="I1699" s="12" t="str">
        <f t="shared" si="38"/>
        <v>Fri</v>
      </c>
      <c r="J1699" s="12" t="str">
        <f t="shared" si="39"/>
        <v>Sep</v>
      </c>
      <c r="K1699" s="12">
        <f t="shared" si="40"/>
        <v>5</v>
      </c>
      <c r="L1699" s="12">
        <f t="shared" si="41"/>
        <v>9</v>
      </c>
    </row>
    <row r="1700" spans="1:12" x14ac:dyDescent="0.3">
      <c r="A1700" s="6">
        <v>45562</v>
      </c>
      <c r="B1700" s="7">
        <v>45562.398425659725</v>
      </c>
      <c r="C1700" s="8">
        <f t="shared" si="36"/>
        <v>9</v>
      </c>
      <c r="D1700" s="8" t="s">
        <v>4</v>
      </c>
      <c r="E1700" s="8" t="s">
        <v>161</v>
      </c>
      <c r="F1700" s="9">
        <v>23.02</v>
      </c>
      <c r="G1700" s="8" t="s">
        <v>34</v>
      </c>
      <c r="H1700" s="8" t="str">
        <f t="shared" si="37"/>
        <v>Morning</v>
      </c>
      <c r="I1700" s="8" t="str">
        <f t="shared" si="38"/>
        <v>Fri</v>
      </c>
      <c r="J1700" s="8" t="str">
        <f t="shared" si="39"/>
        <v>Sep</v>
      </c>
      <c r="K1700" s="8">
        <f t="shared" si="40"/>
        <v>5</v>
      </c>
      <c r="L1700" s="8">
        <f t="shared" si="41"/>
        <v>9</v>
      </c>
    </row>
    <row r="1701" spans="1:12" x14ac:dyDescent="0.3">
      <c r="A1701" s="10">
        <v>45562</v>
      </c>
      <c r="B1701" s="11">
        <v>45562.40352699074</v>
      </c>
      <c r="C1701" s="12">
        <f t="shared" si="36"/>
        <v>9</v>
      </c>
      <c r="D1701" s="12" t="s">
        <v>4</v>
      </c>
      <c r="E1701" s="12" t="s">
        <v>694</v>
      </c>
      <c r="F1701" s="13">
        <v>32.82</v>
      </c>
      <c r="G1701" s="12" t="s">
        <v>49</v>
      </c>
      <c r="H1701" s="12" t="str">
        <f t="shared" si="37"/>
        <v>Morning</v>
      </c>
      <c r="I1701" s="12" t="str">
        <f t="shared" si="38"/>
        <v>Fri</v>
      </c>
      <c r="J1701" s="12" t="str">
        <f t="shared" si="39"/>
        <v>Sep</v>
      </c>
      <c r="K1701" s="12">
        <f t="shared" si="40"/>
        <v>5</v>
      </c>
      <c r="L1701" s="12">
        <f t="shared" si="41"/>
        <v>9</v>
      </c>
    </row>
    <row r="1702" spans="1:12" x14ac:dyDescent="0.3">
      <c r="A1702" s="6">
        <v>45562</v>
      </c>
      <c r="B1702" s="7">
        <v>45562.449266435186</v>
      </c>
      <c r="C1702" s="8">
        <f t="shared" si="36"/>
        <v>10</v>
      </c>
      <c r="D1702" s="8" t="s">
        <v>4</v>
      </c>
      <c r="E1702" s="8" t="s">
        <v>353</v>
      </c>
      <c r="F1702" s="9">
        <v>27.92</v>
      </c>
      <c r="G1702" s="8" t="s">
        <v>20</v>
      </c>
      <c r="H1702" s="8" t="str">
        <f t="shared" si="37"/>
        <v>Morning</v>
      </c>
      <c r="I1702" s="8" t="str">
        <f t="shared" si="38"/>
        <v>Fri</v>
      </c>
      <c r="J1702" s="8" t="str">
        <f t="shared" si="39"/>
        <v>Sep</v>
      </c>
      <c r="K1702" s="8">
        <f t="shared" si="40"/>
        <v>5</v>
      </c>
      <c r="L1702" s="8">
        <f t="shared" si="41"/>
        <v>9</v>
      </c>
    </row>
    <row r="1703" spans="1:12" x14ac:dyDescent="0.3">
      <c r="A1703" s="10">
        <v>45562</v>
      </c>
      <c r="B1703" s="11">
        <v>45562.482642152776</v>
      </c>
      <c r="C1703" s="12">
        <f t="shared" si="36"/>
        <v>11</v>
      </c>
      <c r="D1703" s="12" t="s">
        <v>4</v>
      </c>
      <c r="E1703" s="12" t="s">
        <v>353</v>
      </c>
      <c r="F1703" s="13">
        <v>27.92</v>
      </c>
      <c r="G1703" s="12" t="s">
        <v>20</v>
      </c>
      <c r="H1703" s="12" t="str">
        <f t="shared" si="37"/>
        <v>Morning</v>
      </c>
      <c r="I1703" s="12" t="str">
        <f t="shared" si="38"/>
        <v>Fri</v>
      </c>
      <c r="J1703" s="12" t="str">
        <f t="shared" si="39"/>
        <v>Sep</v>
      </c>
      <c r="K1703" s="12">
        <f t="shared" si="40"/>
        <v>5</v>
      </c>
      <c r="L1703" s="12">
        <f t="shared" si="41"/>
        <v>9</v>
      </c>
    </row>
    <row r="1704" spans="1:12" x14ac:dyDescent="0.3">
      <c r="A1704" s="6">
        <v>45562</v>
      </c>
      <c r="B1704" s="7">
        <v>45562.555914988428</v>
      </c>
      <c r="C1704" s="8">
        <f t="shared" si="36"/>
        <v>13</v>
      </c>
      <c r="D1704" s="8" t="s">
        <v>4</v>
      </c>
      <c r="E1704" s="8" t="s">
        <v>695</v>
      </c>
      <c r="F1704" s="9">
        <v>32.82</v>
      </c>
      <c r="G1704" s="8" t="s">
        <v>49</v>
      </c>
      <c r="H1704" s="8" t="str">
        <f t="shared" si="37"/>
        <v>Afternoon</v>
      </c>
      <c r="I1704" s="8" t="str">
        <f t="shared" si="38"/>
        <v>Fri</v>
      </c>
      <c r="J1704" s="8" t="str">
        <f t="shared" si="39"/>
        <v>Sep</v>
      </c>
      <c r="K1704" s="8">
        <f t="shared" si="40"/>
        <v>5</v>
      </c>
      <c r="L1704" s="8">
        <f t="shared" si="41"/>
        <v>9</v>
      </c>
    </row>
    <row r="1705" spans="1:12" x14ac:dyDescent="0.3">
      <c r="A1705" s="10">
        <v>45562</v>
      </c>
      <c r="B1705" s="11">
        <v>45562.559088796297</v>
      </c>
      <c r="C1705" s="12">
        <f t="shared" si="36"/>
        <v>13</v>
      </c>
      <c r="D1705" s="12" t="s">
        <v>4</v>
      </c>
      <c r="E1705" s="12" t="s">
        <v>696</v>
      </c>
      <c r="F1705" s="13">
        <v>32.82</v>
      </c>
      <c r="G1705" s="12" t="s">
        <v>49</v>
      </c>
      <c r="H1705" s="12" t="str">
        <f t="shared" si="37"/>
        <v>Afternoon</v>
      </c>
      <c r="I1705" s="12" t="str">
        <f t="shared" si="38"/>
        <v>Fri</v>
      </c>
      <c r="J1705" s="12" t="str">
        <f t="shared" si="39"/>
        <v>Sep</v>
      </c>
      <c r="K1705" s="12">
        <f t="shared" si="40"/>
        <v>5</v>
      </c>
      <c r="L1705" s="12">
        <f t="shared" si="41"/>
        <v>9</v>
      </c>
    </row>
    <row r="1706" spans="1:12" x14ac:dyDescent="0.3">
      <c r="A1706" s="6">
        <v>45562</v>
      </c>
      <c r="B1706" s="7">
        <v>45562.561494293979</v>
      </c>
      <c r="C1706" s="8">
        <f t="shared" si="36"/>
        <v>13</v>
      </c>
      <c r="D1706" s="8" t="s">
        <v>4</v>
      </c>
      <c r="E1706" s="8" t="s">
        <v>696</v>
      </c>
      <c r="F1706" s="9">
        <v>23.02</v>
      </c>
      <c r="G1706" s="8" t="s">
        <v>17</v>
      </c>
      <c r="H1706" s="8" t="str">
        <f t="shared" si="37"/>
        <v>Afternoon</v>
      </c>
      <c r="I1706" s="8" t="str">
        <f t="shared" si="38"/>
        <v>Fri</v>
      </c>
      <c r="J1706" s="8" t="str">
        <f t="shared" si="39"/>
        <v>Sep</v>
      </c>
      <c r="K1706" s="8">
        <f t="shared" si="40"/>
        <v>5</v>
      </c>
      <c r="L1706" s="8">
        <f t="shared" si="41"/>
        <v>9</v>
      </c>
    </row>
    <row r="1707" spans="1:12" x14ac:dyDescent="0.3">
      <c r="A1707" s="10">
        <v>45562</v>
      </c>
      <c r="B1707" s="11">
        <v>45562.565190451387</v>
      </c>
      <c r="C1707" s="12">
        <f t="shared" si="36"/>
        <v>13</v>
      </c>
      <c r="D1707" s="12" t="s">
        <v>4</v>
      </c>
      <c r="E1707" s="12" t="s">
        <v>697</v>
      </c>
      <c r="F1707" s="13">
        <v>27.92</v>
      </c>
      <c r="G1707" s="12" t="s">
        <v>20</v>
      </c>
      <c r="H1707" s="12" t="str">
        <f t="shared" si="37"/>
        <v>Afternoon</v>
      </c>
      <c r="I1707" s="12" t="str">
        <f t="shared" si="38"/>
        <v>Fri</v>
      </c>
      <c r="J1707" s="12" t="str">
        <f t="shared" si="39"/>
        <v>Sep</v>
      </c>
      <c r="K1707" s="12">
        <f t="shared" si="40"/>
        <v>5</v>
      </c>
      <c r="L1707" s="12">
        <f t="shared" si="41"/>
        <v>9</v>
      </c>
    </row>
    <row r="1708" spans="1:12" x14ac:dyDescent="0.3">
      <c r="A1708" s="6">
        <v>45562</v>
      </c>
      <c r="B1708" s="7">
        <v>45562.755366956022</v>
      </c>
      <c r="C1708" s="8">
        <f t="shared" si="36"/>
        <v>18</v>
      </c>
      <c r="D1708" s="8" t="s">
        <v>4</v>
      </c>
      <c r="E1708" s="8" t="s">
        <v>698</v>
      </c>
      <c r="F1708" s="9">
        <v>32.82</v>
      </c>
      <c r="G1708" s="8" t="s">
        <v>13</v>
      </c>
      <c r="H1708" s="8" t="str">
        <f t="shared" si="37"/>
        <v>Night</v>
      </c>
      <c r="I1708" s="8" t="str">
        <f t="shared" si="38"/>
        <v>Fri</v>
      </c>
      <c r="J1708" s="8" t="str">
        <f t="shared" si="39"/>
        <v>Sep</v>
      </c>
      <c r="K1708" s="8">
        <f t="shared" si="40"/>
        <v>5</v>
      </c>
      <c r="L1708" s="8">
        <f t="shared" si="41"/>
        <v>9</v>
      </c>
    </row>
    <row r="1709" spans="1:12" x14ac:dyDescent="0.3">
      <c r="A1709" s="10">
        <v>45562</v>
      </c>
      <c r="B1709" s="11">
        <v>45562.756229618055</v>
      </c>
      <c r="C1709" s="12">
        <f t="shared" si="36"/>
        <v>18</v>
      </c>
      <c r="D1709" s="12" t="s">
        <v>4</v>
      </c>
      <c r="E1709" s="12" t="s">
        <v>698</v>
      </c>
      <c r="F1709" s="13">
        <v>32.82</v>
      </c>
      <c r="G1709" s="12" t="s">
        <v>13</v>
      </c>
      <c r="H1709" s="12" t="str">
        <f t="shared" si="37"/>
        <v>Night</v>
      </c>
      <c r="I1709" s="12" t="str">
        <f t="shared" si="38"/>
        <v>Fri</v>
      </c>
      <c r="J1709" s="12" t="str">
        <f t="shared" si="39"/>
        <v>Sep</v>
      </c>
      <c r="K1709" s="12">
        <f t="shared" si="40"/>
        <v>5</v>
      </c>
      <c r="L1709" s="12">
        <f t="shared" si="41"/>
        <v>9</v>
      </c>
    </row>
    <row r="1710" spans="1:12" x14ac:dyDescent="0.3">
      <c r="A1710" s="6">
        <v>45562</v>
      </c>
      <c r="B1710" s="7">
        <v>45562.776225590278</v>
      </c>
      <c r="C1710" s="8">
        <f t="shared" si="36"/>
        <v>18</v>
      </c>
      <c r="D1710" s="8" t="s">
        <v>4</v>
      </c>
      <c r="E1710" s="8" t="s">
        <v>699</v>
      </c>
      <c r="F1710" s="9">
        <v>32.82</v>
      </c>
      <c r="G1710" s="8" t="s">
        <v>49</v>
      </c>
      <c r="H1710" s="8" t="str">
        <f t="shared" si="37"/>
        <v>Night</v>
      </c>
      <c r="I1710" s="8" t="str">
        <f t="shared" si="38"/>
        <v>Fri</v>
      </c>
      <c r="J1710" s="8" t="str">
        <f t="shared" si="39"/>
        <v>Sep</v>
      </c>
      <c r="K1710" s="8">
        <f t="shared" si="40"/>
        <v>5</v>
      </c>
      <c r="L1710" s="8">
        <f t="shared" si="41"/>
        <v>9</v>
      </c>
    </row>
    <row r="1711" spans="1:12" x14ac:dyDescent="0.3">
      <c r="A1711" s="10">
        <v>45562</v>
      </c>
      <c r="B1711" s="11">
        <v>45562.778399965275</v>
      </c>
      <c r="C1711" s="12">
        <f t="shared" si="36"/>
        <v>18</v>
      </c>
      <c r="D1711" s="12" t="s">
        <v>4</v>
      </c>
      <c r="E1711" s="12" t="s">
        <v>700</v>
      </c>
      <c r="F1711" s="13">
        <v>32.82</v>
      </c>
      <c r="G1711" s="12" t="s">
        <v>49</v>
      </c>
      <c r="H1711" s="12" t="str">
        <f t="shared" si="37"/>
        <v>Night</v>
      </c>
      <c r="I1711" s="12" t="str">
        <f t="shared" si="38"/>
        <v>Fri</v>
      </c>
      <c r="J1711" s="12" t="str">
        <f t="shared" si="39"/>
        <v>Sep</v>
      </c>
      <c r="K1711" s="12">
        <f t="shared" si="40"/>
        <v>5</v>
      </c>
      <c r="L1711" s="12">
        <f t="shared" si="41"/>
        <v>9</v>
      </c>
    </row>
    <row r="1712" spans="1:12" x14ac:dyDescent="0.3">
      <c r="A1712" s="6">
        <v>45562</v>
      </c>
      <c r="B1712" s="7">
        <v>45562.845987118053</v>
      </c>
      <c r="C1712" s="8">
        <f t="shared" si="36"/>
        <v>20</v>
      </c>
      <c r="D1712" s="8" t="s">
        <v>4</v>
      </c>
      <c r="E1712" s="8" t="s">
        <v>428</v>
      </c>
      <c r="F1712" s="9">
        <v>32.82</v>
      </c>
      <c r="G1712" s="8" t="s">
        <v>49</v>
      </c>
      <c r="H1712" s="8" t="str">
        <f t="shared" si="37"/>
        <v>Night</v>
      </c>
      <c r="I1712" s="8" t="str">
        <f t="shared" si="38"/>
        <v>Fri</v>
      </c>
      <c r="J1712" s="8" t="str">
        <f t="shared" si="39"/>
        <v>Sep</v>
      </c>
      <c r="K1712" s="8">
        <f t="shared" si="40"/>
        <v>5</v>
      </c>
      <c r="L1712" s="8">
        <f t="shared" si="41"/>
        <v>9</v>
      </c>
    </row>
    <row r="1713" spans="1:12" x14ac:dyDescent="0.3">
      <c r="A1713" s="10">
        <v>45562</v>
      </c>
      <c r="B1713" s="11">
        <v>45562.846693506945</v>
      </c>
      <c r="C1713" s="12">
        <f t="shared" si="36"/>
        <v>20</v>
      </c>
      <c r="D1713" s="12" t="s">
        <v>4</v>
      </c>
      <c r="E1713" s="12" t="s">
        <v>428</v>
      </c>
      <c r="F1713" s="13">
        <v>32.82</v>
      </c>
      <c r="G1713" s="12" t="s">
        <v>49</v>
      </c>
      <c r="H1713" s="12" t="str">
        <f t="shared" si="37"/>
        <v>Night</v>
      </c>
      <c r="I1713" s="12" t="str">
        <f t="shared" si="38"/>
        <v>Fri</v>
      </c>
      <c r="J1713" s="12" t="str">
        <f t="shared" si="39"/>
        <v>Sep</v>
      </c>
      <c r="K1713" s="12">
        <f t="shared" si="40"/>
        <v>5</v>
      </c>
      <c r="L1713" s="12">
        <f t="shared" si="41"/>
        <v>9</v>
      </c>
    </row>
    <row r="1714" spans="1:12" x14ac:dyDescent="0.3">
      <c r="A1714" s="6">
        <v>45562</v>
      </c>
      <c r="B1714" s="7">
        <v>45562.873784340278</v>
      </c>
      <c r="C1714" s="8">
        <f t="shared" si="36"/>
        <v>20</v>
      </c>
      <c r="D1714" s="8" t="s">
        <v>4</v>
      </c>
      <c r="E1714" s="8" t="s">
        <v>701</v>
      </c>
      <c r="F1714" s="9">
        <v>27.92</v>
      </c>
      <c r="G1714" s="8" t="s">
        <v>20</v>
      </c>
      <c r="H1714" s="8" t="str">
        <f t="shared" si="37"/>
        <v>Night</v>
      </c>
      <c r="I1714" s="8" t="str">
        <f t="shared" si="38"/>
        <v>Fri</v>
      </c>
      <c r="J1714" s="8" t="str">
        <f t="shared" si="39"/>
        <v>Sep</v>
      </c>
      <c r="K1714" s="8">
        <f t="shared" si="40"/>
        <v>5</v>
      </c>
      <c r="L1714" s="8">
        <f t="shared" si="41"/>
        <v>9</v>
      </c>
    </row>
    <row r="1715" spans="1:12" x14ac:dyDescent="0.3">
      <c r="A1715" s="10">
        <v>45563</v>
      </c>
      <c r="B1715" s="11">
        <v>45563.338026261576</v>
      </c>
      <c r="C1715" s="12">
        <f t="shared" si="36"/>
        <v>8</v>
      </c>
      <c r="D1715" s="12" t="s">
        <v>4</v>
      </c>
      <c r="E1715" s="12" t="s">
        <v>686</v>
      </c>
      <c r="F1715" s="13">
        <v>27.92</v>
      </c>
      <c r="G1715" s="12" t="s">
        <v>20</v>
      </c>
      <c r="H1715" s="12" t="str">
        <f t="shared" si="37"/>
        <v>Morning</v>
      </c>
      <c r="I1715" s="12" t="str">
        <f t="shared" si="38"/>
        <v>Sat</v>
      </c>
      <c r="J1715" s="12" t="str">
        <f t="shared" si="39"/>
        <v>Sep</v>
      </c>
      <c r="K1715" s="12">
        <f t="shared" si="40"/>
        <v>6</v>
      </c>
      <c r="L1715" s="12">
        <f t="shared" si="41"/>
        <v>9</v>
      </c>
    </row>
    <row r="1716" spans="1:12" x14ac:dyDescent="0.3">
      <c r="A1716" s="6">
        <v>45563</v>
      </c>
      <c r="B1716" s="7">
        <v>45563.396698599536</v>
      </c>
      <c r="C1716" s="8">
        <f t="shared" si="36"/>
        <v>9</v>
      </c>
      <c r="D1716" s="8" t="s">
        <v>4</v>
      </c>
      <c r="E1716" s="8" t="s">
        <v>702</v>
      </c>
      <c r="F1716" s="9">
        <v>27.92</v>
      </c>
      <c r="G1716" s="8" t="s">
        <v>20</v>
      </c>
      <c r="H1716" s="8" t="str">
        <f t="shared" si="37"/>
        <v>Morning</v>
      </c>
      <c r="I1716" s="8" t="str">
        <f t="shared" si="38"/>
        <v>Sat</v>
      </c>
      <c r="J1716" s="8" t="str">
        <f t="shared" si="39"/>
        <v>Sep</v>
      </c>
      <c r="K1716" s="8">
        <f t="shared" si="40"/>
        <v>6</v>
      </c>
      <c r="L1716" s="8">
        <f t="shared" si="41"/>
        <v>9</v>
      </c>
    </row>
    <row r="1717" spans="1:12" x14ac:dyDescent="0.3">
      <c r="A1717" s="10">
        <v>45563</v>
      </c>
      <c r="B1717" s="11">
        <v>45563.601242326389</v>
      </c>
      <c r="C1717" s="12">
        <f t="shared" si="36"/>
        <v>14</v>
      </c>
      <c r="D1717" s="12" t="s">
        <v>4</v>
      </c>
      <c r="E1717" s="12" t="s">
        <v>527</v>
      </c>
      <c r="F1717" s="13">
        <v>35.76</v>
      </c>
      <c r="G1717" s="12" t="s">
        <v>13</v>
      </c>
      <c r="H1717" s="12" t="str">
        <f t="shared" si="37"/>
        <v>Afternoon</v>
      </c>
      <c r="I1717" s="12" t="str">
        <f t="shared" si="38"/>
        <v>Sat</v>
      </c>
      <c r="J1717" s="12" t="str">
        <f t="shared" si="39"/>
        <v>Sep</v>
      </c>
      <c r="K1717" s="12">
        <f t="shared" si="40"/>
        <v>6</v>
      </c>
      <c r="L1717" s="12">
        <f t="shared" si="41"/>
        <v>9</v>
      </c>
    </row>
    <row r="1718" spans="1:12" x14ac:dyDescent="0.3">
      <c r="A1718" s="6">
        <v>45563</v>
      </c>
      <c r="B1718" s="7">
        <v>45563.706482847221</v>
      </c>
      <c r="C1718" s="8">
        <f t="shared" si="36"/>
        <v>16</v>
      </c>
      <c r="D1718" s="8" t="s">
        <v>4</v>
      </c>
      <c r="E1718" s="8" t="s">
        <v>703</v>
      </c>
      <c r="F1718" s="9">
        <v>35.76</v>
      </c>
      <c r="G1718" s="8" t="s">
        <v>13</v>
      </c>
      <c r="H1718" s="8" t="str">
        <f t="shared" si="37"/>
        <v>Afternoon</v>
      </c>
      <c r="I1718" s="8" t="str">
        <f t="shared" si="38"/>
        <v>Sat</v>
      </c>
      <c r="J1718" s="8" t="str">
        <f t="shared" si="39"/>
        <v>Sep</v>
      </c>
      <c r="K1718" s="8">
        <f t="shared" si="40"/>
        <v>6</v>
      </c>
      <c r="L1718" s="8">
        <f t="shared" si="41"/>
        <v>9</v>
      </c>
    </row>
    <row r="1719" spans="1:12" x14ac:dyDescent="0.3">
      <c r="A1719" s="10">
        <v>45563</v>
      </c>
      <c r="B1719" s="11">
        <v>45563.726582222225</v>
      </c>
      <c r="C1719" s="12">
        <f t="shared" si="36"/>
        <v>17</v>
      </c>
      <c r="D1719" s="12" t="s">
        <v>4</v>
      </c>
      <c r="E1719" s="12" t="s">
        <v>704</v>
      </c>
      <c r="F1719" s="13">
        <v>30.86</v>
      </c>
      <c r="G1719" s="12" t="s">
        <v>20</v>
      </c>
      <c r="H1719" s="12" t="str">
        <f t="shared" si="37"/>
        <v>Night</v>
      </c>
      <c r="I1719" s="12" t="str">
        <f t="shared" si="38"/>
        <v>Sat</v>
      </c>
      <c r="J1719" s="12" t="str">
        <f t="shared" si="39"/>
        <v>Sep</v>
      </c>
      <c r="K1719" s="12">
        <f t="shared" si="40"/>
        <v>6</v>
      </c>
      <c r="L1719" s="12">
        <f t="shared" si="41"/>
        <v>9</v>
      </c>
    </row>
    <row r="1720" spans="1:12" x14ac:dyDescent="0.3">
      <c r="A1720" s="6">
        <v>45563</v>
      </c>
      <c r="B1720" s="7">
        <v>45563.857304513891</v>
      </c>
      <c r="C1720" s="8">
        <f t="shared" si="36"/>
        <v>20</v>
      </c>
      <c r="D1720" s="8" t="s">
        <v>4</v>
      </c>
      <c r="E1720" s="8" t="s">
        <v>465</v>
      </c>
      <c r="F1720" s="9">
        <v>35.76</v>
      </c>
      <c r="G1720" s="8" t="s">
        <v>13</v>
      </c>
      <c r="H1720" s="8" t="str">
        <f t="shared" si="37"/>
        <v>Night</v>
      </c>
      <c r="I1720" s="8" t="str">
        <f t="shared" si="38"/>
        <v>Sat</v>
      </c>
      <c r="J1720" s="8" t="str">
        <f t="shared" si="39"/>
        <v>Sep</v>
      </c>
      <c r="K1720" s="8">
        <f t="shared" si="40"/>
        <v>6</v>
      </c>
      <c r="L1720" s="8">
        <f t="shared" si="41"/>
        <v>9</v>
      </c>
    </row>
    <row r="1721" spans="1:12" x14ac:dyDescent="0.3">
      <c r="A1721" s="10">
        <v>45563</v>
      </c>
      <c r="B1721" s="11">
        <v>45563.860144699072</v>
      </c>
      <c r="C1721" s="12">
        <f t="shared" si="36"/>
        <v>20</v>
      </c>
      <c r="D1721" s="12" t="s">
        <v>4</v>
      </c>
      <c r="E1721" s="12" t="s">
        <v>705</v>
      </c>
      <c r="F1721" s="13">
        <v>35.76</v>
      </c>
      <c r="G1721" s="12" t="s">
        <v>13</v>
      </c>
      <c r="H1721" s="12" t="str">
        <f t="shared" si="37"/>
        <v>Night</v>
      </c>
      <c r="I1721" s="12" t="str">
        <f t="shared" si="38"/>
        <v>Sat</v>
      </c>
      <c r="J1721" s="12" t="str">
        <f t="shared" si="39"/>
        <v>Sep</v>
      </c>
      <c r="K1721" s="12">
        <f t="shared" si="40"/>
        <v>6</v>
      </c>
      <c r="L1721" s="12">
        <f t="shared" si="41"/>
        <v>9</v>
      </c>
    </row>
    <row r="1722" spans="1:12" x14ac:dyDescent="0.3">
      <c r="A1722" s="6">
        <v>45563</v>
      </c>
      <c r="B1722" s="7">
        <v>45563.928203437499</v>
      </c>
      <c r="C1722" s="8">
        <f t="shared" si="36"/>
        <v>22</v>
      </c>
      <c r="D1722" s="8" t="s">
        <v>4</v>
      </c>
      <c r="E1722" s="8" t="s">
        <v>706</v>
      </c>
      <c r="F1722" s="9">
        <v>35.76</v>
      </c>
      <c r="G1722" s="8" t="s">
        <v>49</v>
      </c>
      <c r="H1722" s="8" t="str">
        <f t="shared" si="37"/>
        <v>Night</v>
      </c>
      <c r="I1722" s="8" t="str">
        <f t="shared" si="38"/>
        <v>Sat</v>
      </c>
      <c r="J1722" s="8" t="str">
        <f t="shared" si="39"/>
        <v>Sep</v>
      </c>
      <c r="K1722" s="8">
        <f t="shared" si="40"/>
        <v>6</v>
      </c>
      <c r="L1722" s="8">
        <f t="shared" si="41"/>
        <v>9</v>
      </c>
    </row>
    <row r="1723" spans="1:12" x14ac:dyDescent="0.3">
      <c r="A1723" s="10">
        <v>45563</v>
      </c>
      <c r="B1723" s="11">
        <v>45563.928814664352</v>
      </c>
      <c r="C1723" s="12">
        <f t="shared" si="36"/>
        <v>22</v>
      </c>
      <c r="D1723" s="12" t="s">
        <v>4</v>
      </c>
      <c r="E1723" s="12" t="s">
        <v>706</v>
      </c>
      <c r="F1723" s="13">
        <v>35.76</v>
      </c>
      <c r="G1723" s="12" t="s">
        <v>24</v>
      </c>
      <c r="H1723" s="12" t="str">
        <f t="shared" si="37"/>
        <v>Night</v>
      </c>
      <c r="I1723" s="12" t="str">
        <f t="shared" si="38"/>
        <v>Sat</v>
      </c>
      <c r="J1723" s="12" t="str">
        <f t="shared" si="39"/>
        <v>Sep</v>
      </c>
      <c r="K1723" s="12">
        <f t="shared" si="40"/>
        <v>6</v>
      </c>
      <c r="L1723" s="12">
        <f t="shared" si="41"/>
        <v>9</v>
      </c>
    </row>
    <row r="1724" spans="1:12" x14ac:dyDescent="0.3">
      <c r="A1724" s="6">
        <v>45563</v>
      </c>
      <c r="B1724" s="7">
        <v>45563.929352685183</v>
      </c>
      <c r="C1724" s="8">
        <f t="shared" si="36"/>
        <v>22</v>
      </c>
      <c r="D1724" s="8" t="s">
        <v>4</v>
      </c>
      <c r="E1724" s="8" t="s">
        <v>707</v>
      </c>
      <c r="F1724" s="9">
        <v>25.96</v>
      </c>
      <c r="G1724" s="8" t="s">
        <v>34</v>
      </c>
      <c r="H1724" s="8" t="str">
        <f t="shared" si="37"/>
        <v>Night</v>
      </c>
      <c r="I1724" s="8" t="str">
        <f t="shared" si="38"/>
        <v>Sat</v>
      </c>
      <c r="J1724" s="8" t="str">
        <f t="shared" si="39"/>
        <v>Sep</v>
      </c>
      <c r="K1724" s="8">
        <f t="shared" si="40"/>
        <v>6</v>
      </c>
      <c r="L1724" s="8">
        <f t="shared" si="41"/>
        <v>9</v>
      </c>
    </row>
    <row r="1725" spans="1:12" x14ac:dyDescent="0.3">
      <c r="A1725" s="10">
        <v>45563</v>
      </c>
      <c r="B1725" s="11">
        <v>45563.930011909724</v>
      </c>
      <c r="C1725" s="12">
        <f t="shared" si="36"/>
        <v>22</v>
      </c>
      <c r="D1725" s="12" t="s">
        <v>4</v>
      </c>
      <c r="E1725" s="12" t="s">
        <v>707</v>
      </c>
      <c r="F1725" s="13">
        <v>35.76</v>
      </c>
      <c r="G1725" s="12" t="s">
        <v>15</v>
      </c>
      <c r="H1725" s="12" t="str">
        <f t="shared" si="37"/>
        <v>Night</v>
      </c>
      <c r="I1725" s="12" t="str">
        <f t="shared" si="38"/>
        <v>Sat</v>
      </c>
      <c r="J1725" s="12" t="str">
        <f t="shared" si="39"/>
        <v>Sep</v>
      </c>
      <c r="K1725" s="12">
        <f t="shared" si="40"/>
        <v>6</v>
      </c>
      <c r="L1725" s="12">
        <f t="shared" si="41"/>
        <v>9</v>
      </c>
    </row>
    <row r="1726" spans="1:12" x14ac:dyDescent="0.3">
      <c r="A1726" s="6">
        <v>45564</v>
      </c>
      <c r="B1726" s="7">
        <v>45564.450521412036</v>
      </c>
      <c r="C1726" s="8">
        <f t="shared" si="36"/>
        <v>10</v>
      </c>
      <c r="D1726" s="8" t="s">
        <v>4</v>
      </c>
      <c r="E1726" s="8" t="s">
        <v>487</v>
      </c>
      <c r="F1726" s="9">
        <v>25.96</v>
      </c>
      <c r="G1726" s="8" t="s">
        <v>17</v>
      </c>
      <c r="H1726" s="8" t="str">
        <f t="shared" si="37"/>
        <v>Morning</v>
      </c>
      <c r="I1726" s="8" t="str">
        <f t="shared" si="38"/>
        <v>Sun</v>
      </c>
      <c r="J1726" s="8" t="str">
        <f t="shared" si="39"/>
        <v>Sep</v>
      </c>
      <c r="K1726" s="8">
        <f t="shared" si="40"/>
        <v>7</v>
      </c>
      <c r="L1726" s="8">
        <f t="shared" si="41"/>
        <v>9</v>
      </c>
    </row>
    <row r="1727" spans="1:12" x14ac:dyDescent="0.3">
      <c r="A1727" s="10">
        <v>45564</v>
      </c>
      <c r="B1727" s="11">
        <v>45564.451449745371</v>
      </c>
      <c r="C1727" s="12">
        <f t="shared" si="36"/>
        <v>10</v>
      </c>
      <c r="D1727" s="12" t="s">
        <v>4</v>
      </c>
      <c r="E1727" s="12" t="s">
        <v>192</v>
      </c>
      <c r="F1727" s="13">
        <v>35.76</v>
      </c>
      <c r="G1727" s="12" t="s">
        <v>49</v>
      </c>
      <c r="H1727" s="12" t="str">
        <f t="shared" si="37"/>
        <v>Morning</v>
      </c>
      <c r="I1727" s="12" t="str">
        <f t="shared" si="38"/>
        <v>Sun</v>
      </c>
      <c r="J1727" s="12" t="str">
        <f t="shared" si="39"/>
        <v>Sep</v>
      </c>
      <c r="K1727" s="12">
        <f t="shared" si="40"/>
        <v>7</v>
      </c>
      <c r="L1727" s="12">
        <f t="shared" si="41"/>
        <v>9</v>
      </c>
    </row>
    <row r="1728" spans="1:12" x14ac:dyDescent="0.3">
      <c r="A1728" s="6">
        <v>45564</v>
      </c>
      <c r="B1728" s="7">
        <v>45564.452120983799</v>
      </c>
      <c r="C1728" s="8">
        <f t="shared" si="36"/>
        <v>10</v>
      </c>
      <c r="D1728" s="8" t="s">
        <v>4</v>
      </c>
      <c r="E1728" s="8" t="s">
        <v>192</v>
      </c>
      <c r="F1728" s="9">
        <v>35.76</v>
      </c>
      <c r="G1728" s="8" t="s">
        <v>49</v>
      </c>
      <c r="H1728" s="8" t="str">
        <f t="shared" si="37"/>
        <v>Morning</v>
      </c>
      <c r="I1728" s="8" t="str">
        <f t="shared" si="38"/>
        <v>Sun</v>
      </c>
      <c r="J1728" s="8" t="str">
        <f t="shared" si="39"/>
        <v>Sep</v>
      </c>
      <c r="K1728" s="8">
        <f t="shared" si="40"/>
        <v>7</v>
      </c>
      <c r="L1728" s="8">
        <f t="shared" si="41"/>
        <v>9</v>
      </c>
    </row>
    <row r="1729" spans="1:12" x14ac:dyDescent="0.3">
      <c r="A1729" s="10">
        <v>45564</v>
      </c>
      <c r="B1729" s="11">
        <v>45564.453044224538</v>
      </c>
      <c r="C1729" s="12">
        <f t="shared" si="36"/>
        <v>10</v>
      </c>
      <c r="D1729" s="12" t="s">
        <v>4</v>
      </c>
      <c r="E1729" s="12" t="s">
        <v>192</v>
      </c>
      <c r="F1729" s="13">
        <v>35.76</v>
      </c>
      <c r="G1729" s="12" t="s">
        <v>49</v>
      </c>
      <c r="H1729" s="12" t="str">
        <f t="shared" si="37"/>
        <v>Morning</v>
      </c>
      <c r="I1729" s="12" t="str">
        <f t="shared" si="38"/>
        <v>Sun</v>
      </c>
      <c r="J1729" s="12" t="str">
        <f t="shared" si="39"/>
        <v>Sep</v>
      </c>
      <c r="K1729" s="12">
        <f t="shared" si="40"/>
        <v>7</v>
      </c>
      <c r="L1729" s="12">
        <f t="shared" si="41"/>
        <v>9</v>
      </c>
    </row>
    <row r="1730" spans="1:12" x14ac:dyDescent="0.3">
      <c r="A1730" s="6">
        <v>45564</v>
      </c>
      <c r="B1730" s="7">
        <v>45564.453962164349</v>
      </c>
      <c r="C1730" s="8">
        <f t="shared" si="36"/>
        <v>10</v>
      </c>
      <c r="D1730" s="8" t="s">
        <v>4</v>
      </c>
      <c r="E1730" s="8" t="s">
        <v>353</v>
      </c>
      <c r="F1730" s="9">
        <v>30.86</v>
      </c>
      <c r="G1730" s="8" t="s">
        <v>20</v>
      </c>
      <c r="H1730" s="8" t="str">
        <f t="shared" si="37"/>
        <v>Morning</v>
      </c>
      <c r="I1730" s="8" t="str">
        <f t="shared" si="38"/>
        <v>Sun</v>
      </c>
      <c r="J1730" s="8" t="str">
        <f t="shared" si="39"/>
        <v>Sep</v>
      </c>
      <c r="K1730" s="8">
        <f t="shared" si="40"/>
        <v>7</v>
      </c>
      <c r="L1730" s="8">
        <f t="shared" si="41"/>
        <v>9</v>
      </c>
    </row>
    <row r="1731" spans="1:12" x14ac:dyDescent="0.3">
      <c r="A1731" s="10">
        <v>45564</v>
      </c>
      <c r="B1731" s="11">
        <v>45564.52480835648</v>
      </c>
      <c r="C1731" s="12">
        <f t="shared" si="36"/>
        <v>12</v>
      </c>
      <c r="D1731" s="12" t="s">
        <v>4</v>
      </c>
      <c r="E1731" s="12" t="s">
        <v>703</v>
      </c>
      <c r="F1731" s="13">
        <v>35.76</v>
      </c>
      <c r="G1731" s="12" t="s">
        <v>13</v>
      </c>
      <c r="H1731" s="12" t="str">
        <f t="shared" si="37"/>
        <v>Afternoon</v>
      </c>
      <c r="I1731" s="12" t="str">
        <f t="shared" si="38"/>
        <v>Sun</v>
      </c>
      <c r="J1731" s="12" t="str">
        <f t="shared" si="39"/>
        <v>Sep</v>
      </c>
      <c r="K1731" s="12">
        <f t="shared" si="40"/>
        <v>7</v>
      </c>
      <c r="L1731" s="12">
        <f t="shared" si="41"/>
        <v>9</v>
      </c>
    </row>
    <row r="1732" spans="1:12" x14ac:dyDescent="0.3">
      <c r="A1732" s="6">
        <v>45564</v>
      </c>
      <c r="B1732" s="7">
        <v>45564.535398657405</v>
      </c>
      <c r="C1732" s="8">
        <f t="shared" si="36"/>
        <v>12</v>
      </c>
      <c r="D1732" s="8" t="s">
        <v>4</v>
      </c>
      <c r="E1732" s="8" t="s">
        <v>161</v>
      </c>
      <c r="F1732" s="9">
        <v>25.96</v>
      </c>
      <c r="G1732" s="8" t="s">
        <v>34</v>
      </c>
      <c r="H1732" s="8" t="str">
        <f t="shared" si="37"/>
        <v>Afternoon</v>
      </c>
      <c r="I1732" s="8" t="str">
        <f t="shared" si="38"/>
        <v>Sun</v>
      </c>
      <c r="J1732" s="8" t="str">
        <f t="shared" si="39"/>
        <v>Sep</v>
      </c>
      <c r="K1732" s="8">
        <f t="shared" si="40"/>
        <v>7</v>
      </c>
      <c r="L1732" s="8">
        <f t="shared" si="41"/>
        <v>9</v>
      </c>
    </row>
    <row r="1733" spans="1:12" x14ac:dyDescent="0.3">
      <c r="A1733" s="10">
        <v>45564</v>
      </c>
      <c r="B1733" s="11">
        <v>45564.537678067129</v>
      </c>
      <c r="C1733" s="12">
        <f t="shared" si="36"/>
        <v>12</v>
      </c>
      <c r="D1733" s="12" t="s">
        <v>4</v>
      </c>
      <c r="E1733" s="12" t="s">
        <v>622</v>
      </c>
      <c r="F1733" s="13">
        <v>35.76</v>
      </c>
      <c r="G1733" s="12" t="s">
        <v>13</v>
      </c>
      <c r="H1733" s="12" t="str">
        <f t="shared" si="37"/>
        <v>Afternoon</v>
      </c>
      <c r="I1733" s="12" t="str">
        <f t="shared" si="38"/>
        <v>Sun</v>
      </c>
      <c r="J1733" s="12" t="str">
        <f t="shared" si="39"/>
        <v>Sep</v>
      </c>
      <c r="K1733" s="12">
        <f t="shared" si="40"/>
        <v>7</v>
      </c>
      <c r="L1733" s="12">
        <f t="shared" si="41"/>
        <v>9</v>
      </c>
    </row>
    <row r="1734" spans="1:12" x14ac:dyDescent="0.3">
      <c r="A1734" s="6">
        <v>45564</v>
      </c>
      <c r="B1734" s="7">
        <v>45564.538444872684</v>
      </c>
      <c r="C1734" s="8">
        <f t="shared" si="36"/>
        <v>12</v>
      </c>
      <c r="D1734" s="8" t="s">
        <v>4</v>
      </c>
      <c r="E1734" s="8" t="s">
        <v>708</v>
      </c>
      <c r="F1734" s="9">
        <v>35.76</v>
      </c>
      <c r="G1734" s="8" t="s">
        <v>13</v>
      </c>
      <c r="H1734" s="8" t="str">
        <f t="shared" si="37"/>
        <v>Afternoon</v>
      </c>
      <c r="I1734" s="8" t="str">
        <f t="shared" si="38"/>
        <v>Sun</v>
      </c>
      <c r="J1734" s="8" t="str">
        <f t="shared" si="39"/>
        <v>Sep</v>
      </c>
      <c r="K1734" s="8">
        <f t="shared" si="40"/>
        <v>7</v>
      </c>
      <c r="L1734" s="8">
        <f t="shared" si="41"/>
        <v>9</v>
      </c>
    </row>
    <row r="1735" spans="1:12" x14ac:dyDescent="0.3">
      <c r="A1735" s="10">
        <v>45564</v>
      </c>
      <c r="B1735" s="11">
        <v>45564.751704814815</v>
      </c>
      <c r="C1735" s="12">
        <f t="shared" si="36"/>
        <v>18</v>
      </c>
      <c r="D1735" s="12" t="s">
        <v>4</v>
      </c>
      <c r="E1735" s="12" t="s">
        <v>709</v>
      </c>
      <c r="F1735" s="13">
        <v>35.76</v>
      </c>
      <c r="G1735" s="12" t="s">
        <v>49</v>
      </c>
      <c r="H1735" s="12" t="str">
        <f t="shared" si="37"/>
        <v>Night</v>
      </c>
      <c r="I1735" s="12" t="str">
        <f t="shared" si="38"/>
        <v>Sun</v>
      </c>
      <c r="J1735" s="12" t="str">
        <f t="shared" si="39"/>
        <v>Sep</v>
      </c>
      <c r="K1735" s="12">
        <f t="shared" si="40"/>
        <v>7</v>
      </c>
      <c r="L1735" s="12">
        <f t="shared" si="41"/>
        <v>9</v>
      </c>
    </row>
    <row r="1736" spans="1:12" x14ac:dyDescent="0.3">
      <c r="A1736" s="6">
        <v>45564</v>
      </c>
      <c r="B1736" s="7">
        <v>45564.938227025465</v>
      </c>
      <c r="C1736" s="8">
        <f t="shared" si="36"/>
        <v>22</v>
      </c>
      <c r="D1736" s="8" t="s">
        <v>4</v>
      </c>
      <c r="E1736" s="8" t="s">
        <v>710</v>
      </c>
      <c r="F1736" s="9">
        <v>35.76</v>
      </c>
      <c r="G1736" s="8" t="s">
        <v>13</v>
      </c>
      <c r="H1736" s="8" t="str">
        <f t="shared" si="37"/>
        <v>Night</v>
      </c>
      <c r="I1736" s="8" t="str">
        <f t="shared" si="38"/>
        <v>Sun</v>
      </c>
      <c r="J1736" s="8" t="str">
        <f t="shared" si="39"/>
        <v>Sep</v>
      </c>
      <c r="K1736" s="8">
        <f t="shared" si="40"/>
        <v>7</v>
      </c>
      <c r="L1736" s="8">
        <f t="shared" si="41"/>
        <v>9</v>
      </c>
    </row>
    <row r="1737" spans="1:12" x14ac:dyDescent="0.3">
      <c r="A1737" s="10">
        <v>45565</v>
      </c>
      <c r="B1737" s="11">
        <v>45565.339438842595</v>
      </c>
      <c r="C1737" s="12">
        <f t="shared" si="36"/>
        <v>8</v>
      </c>
      <c r="D1737" s="12" t="s">
        <v>4</v>
      </c>
      <c r="E1737" s="12" t="s">
        <v>161</v>
      </c>
      <c r="F1737" s="13">
        <v>25.96</v>
      </c>
      <c r="G1737" s="12" t="s">
        <v>34</v>
      </c>
      <c r="H1737" s="12" t="str">
        <f t="shared" si="37"/>
        <v>Morning</v>
      </c>
      <c r="I1737" s="12" t="str">
        <f t="shared" si="38"/>
        <v>Mon</v>
      </c>
      <c r="J1737" s="12" t="str">
        <f t="shared" si="39"/>
        <v>Sep</v>
      </c>
      <c r="K1737" s="12">
        <f t="shared" si="40"/>
        <v>1</v>
      </c>
      <c r="L1737" s="12">
        <f t="shared" si="41"/>
        <v>9</v>
      </c>
    </row>
    <row r="1738" spans="1:12" x14ac:dyDescent="0.3">
      <c r="A1738" s="6">
        <v>45565</v>
      </c>
      <c r="B1738" s="7">
        <v>45565.374243854167</v>
      </c>
      <c r="C1738" s="8">
        <f t="shared" si="36"/>
        <v>8</v>
      </c>
      <c r="D1738" s="8" t="s">
        <v>4</v>
      </c>
      <c r="E1738" s="8" t="s">
        <v>711</v>
      </c>
      <c r="F1738" s="9">
        <v>25.96</v>
      </c>
      <c r="G1738" s="8" t="s">
        <v>34</v>
      </c>
      <c r="H1738" s="8" t="str">
        <f t="shared" si="37"/>
        <v>Morning</v>
      </c>
      <c r="I1738" s="8" t="str">
        <f t="shared" si="38"/>
        <v>Mon</v>
      </c>
      <c r="J1738" s="8" t="str">
        <f t="shared" si="39"/>
        <v>Sep</v>
      </c>
      <c r="K1738" s="8">
        <f t="shared" si="40"/>
        <v>1</v>
      </c>
      <c r="L1738" s="8">
        <f t="shared" si="41"/>
        <v>9</v>
      </c>
    </row>
    <row r="1739" spans="1:12" x14ac:dyDescent="0.3">
      <c r="A1739" s="10">
        <v>45565</v>
      </c>
      <c r="B1739" s="11">
        <v>45565.375056909725</v>
      </c>
      <c r="C1739" s="12">
        <f t="shared" si="36"/>
        <v>9</v>
      </c>
      <c r="D1739" s="12" t="s">
        <v>4</v>
      </c>
      <c r="E1739" s="12" t="s">
        <v>712</v>
      </c>
      <c r="F1739" s="13">
        <v>35.76</v>
      </c>
      <c r="G1739" s="12" t="s">
        <v>15</v>
      </c>
      <c r="H1739" s="12" t="str">
        <f t="shared" si="37"/>
        <v>Morning</v>
      </c>
      <c r="I1739" s="12" t="str">
        <f t="shared" si="38"/>
        <v>Mon</v>
      </c>
      <c r="J1739" s="12" t="str">
        <f t="shared" si="39"/>
        <v>Sep</v>
      </c>
      <c r="K1739" s="12">
        <f t="shared" si="40"/>
        <v>1</v>
      </c>
      <c r="L1739" s="12">
        <f t="shared" si="41"/>
        <v>9</v>
      </c>
    </row>
    <row r="1740" spans="1:12" x14ac:dyDescent="0.3">
      <c r="A1740" s="6">
        <v>45565</v>
      </c>
      <c r="B1740" s="7">
        <v>45565.417467222222</v>
      </c>
      <c r="C1740" s="8">
        <f t="shared" si="36"/>
        <v>10</v>
      </c>
      <c r="D1740" s="8" t="s">
        <v>4</v>
      </c>
      <c r="E1740" s="8" t="s">
        <v>296</v>
      </c>
      <c r="F1740" s="9">
        <v>30.86</v>
      </c>
      <c r="G1740" s="8" t="s">
        <v>20</v>
      </c>
      <c r="H1740" s="8" t="str">
        <f t="shared" si="37"/>
        <v>Morning</v>
      </c>
      <c r="I1740" s="8" t="str">
        <f t="shared" si="38"/>
        <v>Mon</v>
      </c>
      <c r="J1740" s="8" t="str">
        <f t="shared" si="39"/>
        <v>Sep</v>
      </c>
      <c r="K1740" s="8">
        <f t="shared" si="40"/>
        <v>1</v>
      </c>
      <c r="L1740" s="8">
        <f t="shared" si="41"/>
        <v>9</v>
      </c>
    </row>
    <row r="1741" spans="1:12" x14ac:dyDescent="0.3">
      <c r="A1741" s="10">
        <v>45565</v>
      </c>
      <c r="B1741" s="11">
        <v>45565.420351284723</v>
      </c>
      <c r="C1741" s="12">
        <f t="shared" si="36"/>
        <v>10</v>
      </c>
      <c r="D1741" s="12" t="s">
        <v>4</v>
      </c>
      <c r="E1741" s="12" t="s">
        <v>161</v>
      </c>
      <c r="F1741" s="13">
        <v>25.96</v>
      </c>
      <c r="G1741" s="12" t="s">
        <v>34</v>
      </c>
      <c r="H1741" s="12" t="str">
        <f t="shared" si="37"/>
        <v>Morning</v>
      </c>
      <c r="I1741" s="12" t="str">
        <f t="shared" si="38"/>
        <v>Mon</v>
      </c>
      <c r="J1741" s="12" t="str">
        <f t="shared" si="39"/>
        <v>Sep</v>
      </c>
      <c r="K1741" s="12">
        <f t="shared" si="40"/>
        <v>1</v>
      </c>
      <c r="L1741" s="12">
        <f t="shared" si="41"/>
        <v>9</v>
      </c>
    </row>
    <row r="1742" spans="1:12" x14ac:dyDescent="0.3">
      <c r="A1742" s="6">
        <v>45565</v>
      </c>
      <c r="B1742" s="7">
        <v>45565.481187013887</v>
      </c>
      <c r="C1742" s="8">
        <f t="shared" si="36"/>
        <v>11</v>
      </c>
      <c r="D1742" s="8" t="s">
        <v>4</v>
      </c>
      <c r="E1742" s="8" t="s">
        <v>713</v>
      </c>
      <c r="F1742" s="9">
        <v>30.86</v>
      </c>
      <c r="G1742" s="8" t="s">
        <v>20</v>
      </c>
      <c r="H1742" s="8" t="str">
        <f t="shared" si="37"/>
        <v>Morning</v>
      </c>
      <c r="I1742" s="8" t="str">
        <f t="shared" si="38"/>
        <v>Mon</v>
      </c>
      <c r="J1742" s="8" t="str">
        <f t="shared" si="39"/>
        <v>Sep</v>
      </c>
      <c r="K1742" s="8">
        <f t="shared" si="40"/>
        <v>1</v>
      </c>
      <c r="L1742" s="8">
        <f t="shared" si="41"/>
        <v>9</v>
      </c>
    </row>
    <row r="1743" spans="1:12" x14ac:dyDescent="0.3">
      <c r="A1743" s="10">
        <v>45565</v>
      </c>
      <c r="B1743" s="11">
        <v>45565.698431249999</v>
      </c>
      <c r="C1743" s="12">
        <f t="shared" si="36"/>
        <v>16</v>
      </c>
      <c r="D1743" s="12" t="s">
        <v>4</v>
      </c>
      <c r="E1743" s="12" t="s">
        <v>353</v>
      </c>
      <c r="F1743" s="13">
        <v>30.86</v>
      </c>
      <c r="G1743" s="12" t="s">
        <v>20</v>
      </c>
      <c r="H1743" s="12" t="str">
        <f t="shared" si="37"/>
        <v>Afternoon</v>
      </c>
      <c r="I1743" s="12" t="str">
        <f t="shared" si="38"/>
        <v>Mon</v>
      </c>
      <c r="J1743" s="12" t="str">
        <f t="shared" si="39"/>
        <v>Sep</v>
      </c>
      <c r="K1743" s="12">
        <f t="shared" si="40"/>
        <v>1</v>
      </c>
      <c r="L1743" s="12">
        <f t="shared" si="41"/>
        <v>9</v>
      </c>
    </row>
    <row r="1744" spans="1:12" x14ac:dyDescent="0.3">
      <c r="A1744" s="6">
        <v>45565</v>
      </c>
      <c r="B1744" s="7">
        <v>45565.814099537034</v>
      </c>
      <c r="C1744" s="8">
        <f t="shared" si="36"/>
        <v>19</v>
      </c>
      <c r="D1744" s="8" t="s">
        <v>4</v>
      </c>
      <c r="E1744" s="8" t="s">
        <v>527</v>
      </c>
      <c r="F1744" s="9">
        <v>35.76</v>
      </c>
      <c r="G1744" s="8" t="s">
        <v>13</v>
      </c>
      <c r="H1744" s="8" t="str">
        <f t="shared" si="37"/>
        <v>Night</v>
      </c>
      <c r="I1744" s="8" t="str">
        <f t="shared" si="38"/>
        <v>Mon</v>
      </c>
      <c r="J1744" s="8" t="str">
        <f t="shared" si="39"/>
        <v>Sep</v>
      </c>
      <c r="K1744" s="8">
        <f t="shared" si="40"/>
        <v>1</v>
      </c>
      <c r="L1744" s="8">
        <f t="shared" si="41"/>
        <v>9</v>
      </c>
    </row>
    <row r="1745" spans="1:12" x14ac:dyDescent="0.3">
      <c r="A1745" s="10">
        <v>45565</v>
      </c>
      <c r="B1745" s="11">
        <v>45565.828635324076</v>
      </c>
      <c r="C1745" s="12">
        <f t="shared" si="36"/>
        <v>19</v>
      </c>
      <c r="D1745" s="12" t="s">
        <v>4</v>
      </c>
      <c r="E1745" s="12" t="s">
        <v>714</v>
      </c>
      <c r="F1745" s="13">
        <v>30.86</v>
      </c>
      <c r="G1745" s="12" t="s">
        <v>20</v>
      </c>
      <c r="H1745" s="12" t="str">
        <f t="shared" si="37"/>
        <v>Night</v>
      </c>
      <c r="I1745" s="12" t="str">
        <f t="shared" si="38"/>
        <v>Mon</v>
      </c>
      <c r="J1745" s="12" t="str">
        <f t="shared" si="39"/>
        <v>Sep</v>
      </c>
      <c r="K1745" s="12">
        <f t="shared" si="40"/>
        <v>1</v>
      </c>
      <c r="L1745" s="12">
        <f t="shared" si="41"/>
        <v>9</v>
      </c>
    </row>
    <row r="1746" spans="1:12" x14ac:dyDescent="0.3">
      <c r="A1746" s="6">
        <v>45565</v>
      </c>
      <c r="B1746" s="7">
        <v>45565.829370601852</v>
      </c>
      <c r="C1746" s="8">
        <f t="shared" si="36"/>
        <v>19</v>
      </c>
      <c r="D1746" s="8" t="s">
        <v>4</v>
      </c>
      <c r="E1746" s="8" t="s">
        <v>714</v>
      </c>
      <c r="F1746" s="9">
        <v>25.96</v>
      </c>
      <c r="G1746" s="8" t="s">
        <v>34</v>
      </c>
      <c r="H1746" s="8" t="str">
        <f t="shared" si="37"/>
        <v>Night</v>
      </c>
      <c r="I1746" s="8" t="str">
        <f t="shared" si="38"/>
        <v>Mon</v>
      </c>
      <c r="J1746" s="8" t="str">
        <f t="shared" si="39"/>
        <v>Sep</v>
      </c>
      <c r="K1746" s="8">
        <f t="shared" si="40"/>
        <v>1</v>
      </c>
      <c r="L1746" s="8">
        <f t="shared" si="41"/>
        <v>9</v>
      </c>
    </row>
    <row r="1747" spans="1:12" x14ac:dyDescent="0.3">
      <c r="A1747" s="10">
        <v>45565</v>
      </c>
      <c r="B1747" s="11">
        <v>45565.832858715279</v>
      </c>
      <c r="C1747" s="12">
        <f t="shared" si="36"/>
        <v>19</v>
      </c>
      <c r="D1747" s="12" t="s">
        <v>4</v>
      </c>
      <c r="E1747" s="12" t="s">
        <v>651</v>
      </c>
      <c r="F1747" s="13">
        <v>35.76</v>
      </c>
      <c r="G1747" s="12" t="s">
        <v>13</v>
      </c>
      <c r="H1747" s="12" t="str">
        <f t="shared" si="37"/>
        <v>Night</v>
      </c>
      <c r="I1747" s="12" t="str">
        <f t="shared" si="38"/>
        <v>Mon</v>
      </c>
      <c r="J1747" s="12" t="str">
        <f t="shared" si="39"/>
        <v>Sep</v>
      </c>
      <c r="K1747" s="12">
        <f t="shared" si="40"/>
        <v>1</v>
      </c>
      <c r="L1747" s="12">
        <f t="shared" si="41"/>
        <v>9</v>
      </c>
    </row>
    <row r="1748" spans="1:12" x14ac:dyDescent="0.3">
      <c r="A1748" s="6">
        <v>45565</v>
      </c>
      <c r="B1748" s="7">
        <v>45565.833821006941</v>
      </c>
      <c r="C1748" s="8">
        <f t="shared" si="36"/>
        <v>20</v>
      </c>
      <c r="D1748" s="8" t="s">
        <v>4</v>
      </c>
      <c r="E1748" s="8" t="s">
        <v>551</v>
      </c>
      <c r="F1748" s="9">
        <v>30.86</v>
      </c>
      <c r="G1748" s="8" t="s">
        <v>20</v>
      </c>
      <c r="H1748" s="8" t="str">
        <f t="shared" si="37"/>
        <v>Night</v>
      </c>
      <c r="I1748" s="8" t="str">
        <f t="shared" si="38"/>
        <v>Mon</v>
      </c>
      <c r="J1748" s="8" t="str">
        <f t="shared" si="39"/>
        <v>Sep</v>
      </c>
      <c r="K1748" s="8">
        <f t="shared" si="40"/>
        <v>1</v>
      </c>
      <c r="L1748" s="8">
        <f t="shared" si="41"/>
        <v>9</v>
      </c>
    </row>
    <row r="1749" spans="1:12" x14ac:dyDescent="0.3">
      <c r="A1749" s="10">
        <v>45565</v>
      </c>
      <c r="B1749" s="11">
        <v>45565.834516099538</v>
      </c>
      <c r="C1749" s="12">
        <f t="shared" si="36"/>
        <v>20</v>
      </c>
      <c r="D1749" s="12" t="s">
        <v>4</v>
      </c>
      <c r="E1749" s="12" t="s">
        <v>653</v>
      </c>
      <c r="F1749" s="13">
        <v>30.86</v>
      </c>
      <c r="G1749" s="12" t="s">
        <v>20</v>
      </c>
      <c r="H1749" s="12" t="str">
        <f t="shared" si="37"/>
        <v>Night</v>
      </c>
      <c r="I1749" s="12" t="str">
        <f t="shared" si="38"/>
        <v>Mon</v>
      </c>
      <c r="J1749" s="12" t="str">
        <f t="shared" si="39"/>
        <v>Sep</v>
      </c>
      <c r="K1749" s="12">
        <f t="shared" si="40"/>
        <v>1</v>
      </c>
      <c r="L1749" s="12">
        <f t="shared" si="41"/>
        <v>9</v>
      </c>
    </row>
    <row r="1750" spans="1:12" x14ac:dyDescent="0.3">
      <c r="A1750" s="6">
        <v>45565</v>
      </c>
      <c r="B1750" s="7">
        <v>45565.90355934028</v>
      </c>
      <c r="C1750" s="8">
        <f t="shared" si="36"/>
        <v>21</v>
      </c>
      <c r="D1750" s="8" t="s">
        <v>4</v>
      </c>
      <c r="E1750" s="8" t="s">
        <v>715</v>
      </c>
      <c r="F1750" s="9">
        <v>30.86</v>
      </c>
      <c r="G1750" s="8" t="s">
        <v>20</v>
      </c>
      <c r="H1750" s="8" t="str">
        <f t="shared" si="37"/>
        <v>Night</v>
      </c>
      <c r="I1750" s="8" t="str">
        <f t="shared" si="38"/>
        <v>Mon</v>
      </c>
      <c r="J1750" s="8" t="str">
        <f t="shared" si="39"/>
        <v>Sep</v>
      </c>
      <c r="K1750" s="8">
        <f t="shared" si="40"/>
        <v>1</v>
      </c>
      <c r="L1750" s="8">
        <f t="shared" si="41"/>
        <v>9</v>
      </c>
    </row>
    <row r="1751" spans="1:12" x14ac:dyDescent="0.3">
      <c r="A1751" s="10">
        <v>45566</v>
      </c>
      <c r="B1751" s="11">
        <v>45566.324403344908</v>
      </c>
      <c r="C1751" s="12">
        <f t="shared" si="36"/>
        <v>7</v>
      </c>
      <c r="D1751" s="12" t="s">
        <v>4</v>
      </c>
      <c r="E1751" s="12" t="s">
        <v>716</v>
      </c>
      <c r="F1751" s="13">
        <v>35.76</v>
      </c>
      <c r="G1751" s="12" t="s">
        <v>13</v>
      </c>
      <c r="H1751" s="12" t="str">
        <f t="shared" si="37"/>
        <v>Morning</v>
      </c>
      <c r="I1751" s="12" t="str">
        <f t="shared" si="38"/>
        <v>Tue</v>
      </c>
      <c r="J1751" s="12" t="str">
        <f t="shared" si="39"/>
        <v>Oct</v>
      </c>
      <c r="K1751" s="12">
        <f t="shared" si="40"/>
        <v>2</v>
      </c>
      <c r="L1751" s="12">
        <f t="shared" si="41"/>
        <v>10</v>
      </c>
    </row>
    <row r="1752" spans="1:12" x14ac:dyDescent="0.3">
      <c r="A1752" s="6">
        <v>45566</v>
      </c>
      <c r="B1752" s="7">
        <v>45566.408689548611</v>
      </c>
      <c r="C1752" s="8">
        <f t="shared" si="36"/>
        <v>9</v>
      </c>
      <c r="D1752" s="8" t="s">
        <v>4</v>
      </c>
      <c r="E1752" s="8" t="s">
        <v>296</v>
      </c>
      <c r="F1752" s="9">
        <v>30.86</v>
      </c>
      <c r="G1752" s="8" t="s">
        <v>20</v>
      </c>
      <c r="H1752" s="8" t="str">
        <f t="shared" si="37"/>
        <v>Morning</v>
      </c>
      <c r="I1752" s="8" t="str">
        <f t="shared" si="38"/>
        <v>Tue</v>
      </c>
      <c r="J1752" s="8" t="str">
        <f t="shared" si="39"/>
        <v>Oct</v>
      </c>
      <c r="K1752" s="8">
        <f t="shared" si="40"/>
        <v>2</v>
      </c>
      <c r="L1752" s="8">
        <f t="shared" si="41"/>
        <v>10</v>
      </c>
    </row>
    <row r="1753" spans="1:12" x14ac:dyDescent="0.3">
      <c r="A1753" s="10">
        <v>45566</v>
      </c>
      <c r="B1753" s="11">
        <v>45566.418365486112</v>
      </c>
      <c r="C1753" s="12">
        <f t="shared" si="36"/>
        <v>10</v>
      </c>
      <c r="D1753" s="12" t="s">
        <v>4</v>
      </c>
      <c r="E1753" s="12" t="s">
        <v>353</v>
      </c>
      <c r="F1753" s="13">
        <v>30.86</v>
      </c>
      <c r="G1753" s="12" t="s">
        <v>20</v>
      </c>
      <c r="H1753" s="12" t="str">
        <f t="shared" si="37"/>
        <v>Morning</v>
      </c>
      <c r="I1753" s="12" t="str">
        <f t="shared" si="38"/>
        <v>Tue</v>
      </c>
      <c r="J1753" s="12" t="str">
        <f t="shared" si="39"/>
        <v>Oct</v>
      </c>
      <c r="K1753" s="12">
        <f t="shared" si="40"/>
        <v>2</v>
      </c>
      <c r="L1753" s="12">
        <f t="shared" si="41"/>
        <v>10</v>
      </c>
    </row>
    <row r="1754" spans="1:12" x14ac:dyDescent="0.3">
      <c r="A1754" s="6">
        <v>45566</v>
      </c>
      <c r="B1754" s="7">
        <v>45566.419295312502</v>
      </c>
      <c r="C1754" s="8">
        <f t="shared" si="36"/>
        <v>10</v>
      </c>
      <c r="D1754" s="8" t="s">
        <v>4</v>
      </c>
      <c r="E1754" s="8" t="s">
        <v>353</v>
      </c>
      <c r="F1754" s="9">
        <v>30.86</v>
      </c>
      <c r="G1754" s="8" t="s">
        <v>20</v>
      </c>
      <c r="H1754" s="8" t="str">
        <f t="shared" si="37"/>
        <v>Morning</v>
      </c>
      <c r="I1754" s="8" t="str">
        <f t="shared" si="38"/>
        <v>Tue</v>
      </c>
      <c r="J1754" s="8" t="str">
        <f t="shared" si="39"/>
        <v>Oct</v>
      </c>
      <c r="K1754" s="8">
        <f t="shared" si="40"/>
        <v>2</v>
      </c>
      <c r="L1754" s="8">
        <f t="shared" si="41"/>
        <v>10</v>
      </c>
    </row>
    <row r="1755" spans="1:12" x14ac:dyDescent="0.3">
      <c r="A1755" s="10">
        <v>45566</v>
      </c>
      <c r="B1755" s="11">
        <v>45566.496896446763</v>
      </c>
      <c r="C1755" s="12">
        <f t="shared" si="36"/>
        <v>11</v>
      </c>
      <c r="D1755" s="12" t="s">
        <v>4</v>
      </c>
      <c r="E1755" s="12" t="s">
        <v>717</v>
      </c>
      <c r="F1755" s="13">
        <v>30.86</v>
      </c>
      <c r="G1755" s="12" t="s">
        <v>20</v>
      </c>
      <c r="H1755" s="12" t="str">
        <f t="shared" si="37"/>
        <v>Morning</v>
      </c>
      <c r="I1755" s="12" t="str">
        <f t="shared" si="38"/>
        <v>Tue</v>
      </c>
      <c r="J1755" s="12" t="str">
        <f t="shared" si="39"/>
        <v>Oct</v>
      </c>
      <c r="K1755" s="12">
        <f t="shared" si="40"/>
        <v>2</v>
      </c>
      <c r="L1755" s="12">
        <f t="shared" si="41"/>
        <v>10</v>
      </c>
    </row>
    <row r="1756" spans="1:12" x14ac:dyDescent="0.3">
      <c r="A1756" s="6">
        <v>45566</v>
      </c>
      <c r="B1756" s="7">
        <v>45566.508894050923</v>
      </c>
      <c r="C1756" s="8">
        <f t="shared" si="36"/>
        <v>12</v>
      </c>
      <c r="D1756" s="8" t="s">
        <v>4</v>
      </c>
      <c r="E1756" s="8" t="s">
        <v>718</v>
      </c>
      <c r="F1756" s="9">
        <v>30.86</v>
      </c>
      <c r="G1756" s="8" t="s">
        <v>20</v>
      </c>
      <c r="H1756" s="8" t="str">
        <f t="shared" si="37"/>
        <v>Afternoon</v>
      </c>
      <c r="I1756" s="8" t="str">
        <f t="shared" si="38"/>
        <v>Tue</v>
      </c>
      <c r="J1756" s="8" t="str">
        <f t="shared" si="39"/>
        <v>Oct</v>
      </c>
      <c r="K1756" s="8">
        <f t="shared" si="40"/>
        <v>2</v>
      </c>
      <c r="L1756" s="8">
        <f t="shared" si="41"/>
        <v>10</v>
      </c>
    </row>
    <row r="1757" spans="1:12" x14ac:dyDescent="0.3">
      <c r="A1757" s="10">
        <v>45566</v>
      </c>
      <c r="B1757" s="11">
        <v>45566.509992847219</v>
      </c>
      <c r="C1757" s="12">
        <f t="shared" si="36"/>
        <v>12</v>
      </c>
      <c r="D1757" s="12" t="s">
        <v>4</v>
      </c>
      <c r="E1757" s="12" t="s">
        <v>718</v>
      </c>
      <c r="F1757" s="13">
        <v>30.86</v>
      </c>
      <c r="G1757" s="12" t="s">
        <v>20</v>
      </c>
      <c r="H1757" s="12" t="str">
        <f t="shared" si="37"/>
        <v>Afternoon</v>
      </c>
      <c r="I1757" s="12" t="str">
        <f t="shared" si="38"/>
        <v>Tue</v>
      </c>
      <c r="J1757" s="12" t="str">
        <f t="shared" si="39"/>
        <v>Oct</v>
      </c>
      <c r="K1757" s="12">
        <f t="shared" si="40"/>
        <v>2</v>
      </c>
      <c r="L1757" s="12">
        <f t="shared" si="41"/>
        <v>10</v>
      </c>
    </row>
    <row r="1758" spans="1:12" x14ac:dyDescent="0.3">
      <c r="A1758" s="6">
        <v>45566</v>
      </c>
      <c r="B1758" s="7">
        <v>45566.595543483796</v>
      </c>
      <c r="C1758" s="8">
        <f t="shared" si="36"/>
        <v>14</v>
      </c>
      <c r="D1758" s="8" t="s">
        <v>4</v>
      </c>
      <c r="E1758" s="8" t="s">
        <v>719</v>
      </c>
      <c r="F1758" s="9">
        <v>25.96</v>
      </c>
      <c r="G1758" s="8" t="s">
        <v>17</v>
      </c>
      <c r="H1758" s="8" t="str">
        <f t="shared" si="37"/>
        <v>Afternoon</v>
      </c>
      <c r="I1758" s="8" t="str">
        <f t="shared" si="38"/>
        <v>Tue</v>
      </c>
      <c r="J1758" s="8" t="str">
        <f t="shared" si="39"/>
        <v>Oct</v>
      </c>
      <c r="K1758" s="8">
        <f t="shared" si="40"/>
        <v>2</v>
      </c>
      <c r="L1758" s="8">
        <f t="shared" si="41"/>
        <v>10</v>
      </c>
    </row>
    <row r="1759" spans="1:12" x14ac:dyDescent="0.3">
      <c r="A1759" s="10">
        <v>45566</v>
      </c>
      <c r="B1759" s="11">
        <v>45566.596441643516</v>
      </c>
      <c r="C1759" s="12">
        <f t="shared" si="36"/>
        <v>14</v>
      </c>
      <c r="D1759" s="12" t="s">
        <v>4</v>
      </c>
      <c r="E1759" s="12" t="s">
        <v>719</v>
      </c>
      <c r="F1759" s="13">
        <v>30.86</v>
      </c>
      <c r="G1759" s="12" t="s">
        <v>20</v>
      </c>
      <c r="H1759" s="12" t="str">
        <f t="shared" si="37"/>
        <v>Afternoon</v>
      </c>
      <c r="I1759" s="12" t="str">
        <f t="shared" si="38"/>
        <v>Tue</v>
      </c>
      <c r="J1759" s="12" t="str">
        <f t="shared" si="39"/>
        <v>Oct</v>
      </c>
      <c r="K1759" s="12">
        <f t="shared" si="40"/>
        <v>2</v>
      </c>
      <c r="L1759" s="12">
        <f t="shared" si="41"/>
        <v>10</v>
      </c>
    </row>
    <row r="1760" spans="1:12" x14ac:dyDescent="0.3">
      <c r="A1760" s="6">
        <v>45566</v>
      </c>
      <c r="B1760" s="7">
        <v>45566.67267359954</v>
      </c>
      <c r="C1760" s="8">
        <f t="shared" si="36"/>
        <v>16</v>
      </c>
      <c r="D1760" s="8" t="s">
        <v>4</v>
      </c>
      <c r="E1760" s="8" t="s">
        <v>657</v>
      </c>
      <c r="F1760" s="9">
        <v>35.76</v>
      </c>
      <c r="G1760" s="8" t="s">
        <v>15</v>
      </c>
      <c r="H1760" s="8" t="str">
        <f t="shared" si="37"/>
        <v>Afternoon</v>
      </c>
      <c r="I1760" s="8" t="str">
        <f t="shared" si="38"/>
        <v>Tue</v>
      </c>
      <c r="J1760" s="8" t="str">
        <f t="shared" si="39"/>
        <v>Oct</v>
      </c>
      <c r="K1760" s="8">
        <f t="shared" si="40"/>
        <v>2</v>
      </c>
      <c r="L1760" s="8">
        <f t="shared" si="41"/>
        <v>10</v>
      </c>
    </row>
    <row r="1761" spans="1:12" x14ac:dyDescent="0.3">
      <c r="A1761" s="10">
        <v>45566</v>
      </c>
      <c r="B1761" s="11">
        <v>45566.695769456019</v>
      </c>
      <c r="C1761" s="12">
        <f t="shared" si="36"/>
        <v>16</v>
      </c>
      <c r="D1761" s="12" t="s">
        <v>4</v>
      </c>
      <c r="E1761" s="12" t="s">
        <v>720</v>
      </c>
      <c r="F1761" s="13">
        <v>25.96</v>
      </c>
      <c r="G1761" s="12" t="s">
        <v>17</v>
      </c>
      <c r="H1761" s="12" t="str">
        <f t="shared" si="37"/>
        <v>Afternoon</v>
      </c>
      <c r="I1761" s="12" t="str">
        <f t="shared" si="38"/>
        <v>Tue</v>
      </c>
      <c r="J1761" s="12" t="str">
        <f t="shared" si="39"/>
        <v>Oct</v>
      </c>
      <c r="K1761" s="12">
        <f t="shared" si="40"/>
        <v>2</v>
      </c>
      <c r="L1761" s="12">
        <f t="shared" si="41"/>
        <v>10</v>
      </c>
    </row>
    <row r="1762" spans="1:12" x14ac:dyDescent="0.3">
      <c r="A1762" s="6">
        <v>45566</v>
      </c>
      <c r="B1762" s="7">
        <v>45566.755862789352</v>
      </c>
      <c r="C1762" s="8">
        <f t="shared" si="36"/>
        <v>18</v>
      </c>
      <c r="D1762" s="8" t="s">
        <v>4</v>
      </c>
      <c r="E1762" s="8" t="s">
        <v>721</v>
      </c>
      <c r="F1762" s="9">
        <v>35.76</v>
      </c>
      <c r="G1762" s="8" t="s">
        <v>13</v>
      </c>
      <c r="H1762" s="8" t="str">
        <f t="shared" si="37"/>
        <v>Night</v>
      </c>
      <c r="I1762" s="8" t="str">
        <f t="shared" si="38"/>
        <v>Tue</v>
      </c>
      <c r="J1762" s="8" t="str">
        <f t="shared" si="39"/>
        <v>Oct</v>
      </c>
      <c r="K1762" s="8">
        <f t="shared" si="40"/>
        <v>2</v>
      </c>
      <c r="L1762" s="8">
        <f t="shared" si="41"/>
        <v>10</v>
      </c>
    </row>
    <row r="1763" spans="1:12" x14ac:dyDescent="0.3">
      <c r="A1763" s="10">
        <v>45566</v>
      </c>
      <c r="B1763" s="11">
        <v>45566.766104861112</v>
      </c>
      <c r="C1763" s="12">
        <f t="shared" si="36"/>
        <v>18</v>
      </c>
      <c r="D1763" s="12" t="s">
        <v>4</v>
      </c>
      <c r="E1763" s="12" t="s">
        <v>722</v>
      </c>
      <c r="F1763" s="13">
        <v>35.76</v>
      </c>
      <c r="G1763" s="12" t="s">
        <v>13</v>
      </c>
      <c r="H1763" s="12" t="str">
        <f t="shared" si="37"/>
        <v>Night</v>
      </c>
      <c r="I1763" s="12" t="str">
        <f t="shared" si="38"/>
        <v>Tue</v>
      </c>
      <c r="J1763" s="12" t="str">
        <f t="shared" si="39"/>
        <v>Oct</v>
      </c>
      <c r="K1763" s="12">
        <f t="shared" si="40"/>
        <v>2</v>
      </c>
      <c r="L1763" s="12">
        <f t="shared" si="41"/>
        <v>10</v>
      </c>
    </row>
    <row r="1764" spans="1:12" x14ac:dyDescent="0.3">
      <c r="A1764" s="6">
        <v>45566</v>
      </c>
      <c r="B1764" s="7">
        <v>45566.766831620371</v>
      </c>
      <c r="C1764" s="8">
        <f t="shared" si="36"/>
        <v>18</v>
      </c>
      <c r="D1764" s="8" t="s">
        <v>4</v>
      </c>
      <c r="E1764" s="8" t="s">
        <v>722</v>
      </c>
      <c r="F1764" s="9">
        <v>35.76</v>
      </c>
      <c r="G1764" s="8" t="s">
        <v>15</v>
      </c>
      <c r="H1764" s="8" t="str">
        <f t="shared" si="37"/>
        <v>Night</v>
      </c>
      <c r="I1764" s="8" t="str">
        <f t="shared" si="38"/>
        <v>Tue</v>
      </c>
      <c r="J1764" s="8" t="str">
        <f t="shared" si="39"/>
        <v>Oct</v>
      </c>
      <c r="K1764" s="8">
        <f t="shared" si="40"/>
        <v>2</v>
      </c>
      <c r="L1764" s="8">
        <f t="shared" si="41"/>
        <v>10</v>
      </c>
    </row>
    <row r="1765" spans="1:12" x14ac:dyDescent="0.3">
      <c r="A1765" s="10">
        <v>45566</v>
      </c>
      <c r="B1765" s="11">
        <v>45566.835672951391</v>
      </c>
      <c r="C1765" s="12">
        <f t="shared" si="36"/>
        <v>20</v>
      </c>
      <c r="D1765" s="12" t="s">
        <v>4</v>
      </c>
      <c r="E1765" s="12" t="s">
        <v>605</v>
      </c>
      <c r="F1765" s="13">
        <v>35.76</v>
      </c>
      <c r="G1765" s="12" t="s">
        <v>15</v>
      </c>
      <c r="H1765" s="12" t="str">
        <f t="shared" si="37"/>
        <v>Night</v>
      </c>
      <c r="I1765" s="12" t="str">
        <f t="shared" si="38"/>
        <v>Tue</v>
      </c>
      <c r="J1765" s="12" t="str">
        <f t="shared" si="39"/>
        <v>Oct</v>
      </c>
      <c r="K1765" s="12">
        <f t="shared" si="40"/>
        <v>2</v>
      </c>
      <c r="L1765" s="12">
        <f t="shared" si="41"/>
        <v>10</v>
      </c>
    </row>
    <row r="1766" spans="1:12" x14ac:dyDescent="0.3">
      <c r="A1766" s="6">
        <v>45567</v>
      </c>
      <c r="B1766" s="7">
        <v>45567.331467511576</v>
      </c>
      <c r="C1766" s="8">
        <f t="shared" si="36"/>
        <v>7</v>
      </c>
      <c r="D1766" s="8" t="s">
        <v>4</v>
      </c>
      <c r="E1766" s="8" t="s">
        <v>723</v>
      </c>
      <c r="F1766" s="9">
        <v>35.76</v>
      </c>
      <c r="G1766" s="8" t="s">
        <v>13</v>
      </c>
      <c r="H1766" s="8" t="str">
        <f t="shared" si="37"/>
        <v>Morning</v>
      </c>
      <c r="I1766" s="8" t="str">
        <f t="shared" si="38"/>
        <v>Wed</v>
      </c>
      <c r="J1766" s="8" t="str">
        <f t="shared" si="39"/>
        <v>Oct</v>
      </c>
      <c r="K1766" s="8">
        <f t="shared" si="40"/>
        <v>3</v>
      </c>
      <c r="L1766" s="8">
        <f t="shared" si="41"/>
        <v>10</v>
      </c>
    </row>
    <row r="1767" spans="1:12" x14ac:dyDescent="0.3">
      <c r="A1767" s="10">
        <v>45567</v>
      </c>
      <c r="B1767" s="11">
        <v>45567.363016689815</v>
      </c>
      <c r="C1767" s="12">
        <f t="shared" si="36"/>
        <v>8</v>
      </c>
      <c r="D1767" s="12" t="s">
        <v>4</v>
      </c>
      <c r="E1767" s="12" t="s">
        <v>161</v>
      </c>
      <c r="F1767" s="13">
        <v>25.96</v>
      </c>
      <c r="G1767" s="12" t="s">
        <v>34</v>
      </c>
      <c r="H1767" s="12" t="str">
        <f t="shared" si="37"/>
        <v>Morning</v>
      </c>
      <c r="I1767" s="12" t="str">
        <f t="shared" si="38"/>
        <v>Wed</v>
      </c>
      <c r="J1767" s="12" t="str">
        <f t="shared" si="39"/>
        <v>Oct</v>
      </c>
      <c r="K1767" s="12">
        <f t="shared" si="40"/>
        <v>3</v>
      </c>
      <c r="L1767" s="12">
        <f t="shared" si="41"/>
        <v>10</v>
      </c>
    </row>
    <row r="1768" spans="1:12" x14ac:dyDescent="0.3">
      <c r="A1768" s="6">
        <v>45567</v>
      </c>
      <c r="B1768" s="7">
        <v>45567.388391817127</v>
      </c>
      <c r="C1768" s="8">
        <f t="shared" si="36"/>
        <v>9</v>
      </c>
      <c r="D1768" s="8" t="s">
        <v>4</v>
      </c>
      <c r="E1768" s="8" t="s">
        <v>296</v>
      </c>
      <c r="F1768" s="9">
        <v>30.86</v>
      </c>
      <c r="G1768" s="8" t="s">
        <v>20</v>
      </c>
      <c r="H1768" s="8" t="str">
        <f t="shared" si="37"/>
        <v>Morning</v>
      </c>
      <c r="I1768" s="8" t="str">
        <f t="shared" si="38"/>
        <v>Wed</v>
      </c>
      <c r="J1768" s="8" t="str">
        <f t="shared" si="39"/>
        <v>Oct</v>
      </c>
      <c r="K1768" s="8">
        <f t="shared" si="40"/>
        <v>3</v>
      </c>
      <c r="L1768" s="8">
        <f t="shared" si="41"/>
        <v>10</v>
      </c>
    </row>
    <row r="1769" spans="1:12" x14ac:dyDescent="0.3">
      <c r="A1769" s="10">
        <v>45567</v>
      </c>
      <c r="B1769" s="11">
        <v>45567.431962071758</v>
      </c>
      <c r="C1769" s="12">
        <f t="shared" si="36"/>
        <v>10</v>
      </c>
      <c r="D1769" s="12" t="s">
        <v>4</v>
      </c>
      <c r="E1769" s="12" t="s">
        <v>395</v>
      </c>
      <c r="F1769" s="13">
        <v>35.76</v>
      </c>
      <c r="G1769" s="12" t="s">
        <v>13</v>
      </c>
      <c r="H1769" s="12" t="str">
        <f t="shared" si="37"/>
        <v>Morning</v>
      </c>
      <c r="I1769" s="12" t="str">
        <f t="shared" si="38"/>
        <v>Wed</v>
      </c>
      <c r="J1769" s="12" t="str">
        <f t="shared" si="39"/>
        <v>Oct</v>
      </c>
      <c r="K1769" s="12">
        <f t="shared" si="40"/>
        <v>3</v>
      </c>
      <c r="L1769" s="12">
        <f t="shared" si="41"/>
        <v>10</v>
      </c>
    </row>
    <row r="1770" spans="1:12" x14ac:dyDescent="0.3">
      <c r="A1770" s="6">
        <v>45567</v>
      </c>
      <c r="B1770" s="7">
        <v>45567.433278611112</v>
      </c>
      <c r="C1770" s="8">
        <f t="shared" si="36"/>
        <v>10</v>
      </c>
      <c r="D1770" s="8" t="s">
        <v>4</v>
      </c>
      <c r="E1770" s="8" t="s">
        <v>724</v>
      </c>
      <c r="F1770" s="9">
        <v>30.86</v>
      </c>
      <c r="G1770" s="8" t="s">
        <v>20</v>
      </c>
      <c r="H1770" s="8" t="str">
        <f t="shared" si="37"/>
        <v>Morning</v>
      </c>
      <c r="I1770" s="8" t="str">
        <f t="shared" si="38"/>
        <v>Wed</v>
      </c>
      <c r="J1770" s="8" t="str">
        <f t="shared" si="39"/>
        <v>Oct</v>
      </c>
      <c r="K1770" s="8">
        <f t="shared" si="40"/>
        <v>3</v>
      </c>
      <c r="L1770" s="8">
        <f t="shared" si="41"/>
        <v>10</v>
      </c>
    </row>
    <row r="1771" spans="1:12" x14ac:dyDescent="0.3">
      <c r="A1771" s="10">
        <v>45567</v>
      </c>
      <c r="B1771" s="11">
        <v>45567.478401539352</v>
      </c>
      <c r="C1771" s="12">
        <f t="shared" si="36"/>
        <v>11</v>
      </c>
      <c r="D1771" s="12" t="s">
        <v>4</v>
      </c>
      <c r="E1771" s="12" t="s">
        <v>725</v>
      </c>
      <c r="F1771" s="13">
        <v>35.76</v>
      </c>
      <c r="G1771" s="12" t="s">
        <v>49</v>
      </c>
      <c r="H1771" s="12" t="str">
        <f t="shared" si="37"/>
        <v>Morning</v>
      </c>
      <c r="I1771" s="12" t="str">
        <f t="shared" si="38"/>
        <v>Wed</v>
      </c>
      <c r="J1771" s="12" t="str">
        <f t="shared" si="39"/>
        <v>Oct</v>
      </c>
      <c r="K1771" s="12">
        <f t="shared" si="40"/>
        <v>3</v>
      </c>
      <c r="L1771" s="12">
        <f t="shared" si="41"/>
        <v>10</v>
      </c>
    </row>
    <row r="1772" spans="1:12" x14ac:dyDescent="0.3">
      <c r="A1772" s="6">
        <v>45567</v>
      </c>
      <c r="B1772" s="7">
        <v>45567.634515532409</v>
      </c>
      <c r="C1772" s="8">
        <f t="shared" si="36"/>
        <v>15</v>
      </c>
      <c r="D1772" s="8" t="s">
        <v>4</v>
      </c>
      <c r="E1772" s="8" t="s">
        <v>726</v>
      </c>
      <c r="F1772" s="9">
        <v>35.76</v>
      </c>
      <c r="G1772" s="8" t="s">
        <v>49</v>
      </c>
      <c r="H1772" s="8" t="str">
        <f t="shared" si="37"/>
        <v>Afternoon</v>
      </c>
      <c r="I1772" s="8" t="str">
        <f t="shared" si="38"/>
        <v>Wed</v>
      </c>
      <c r="J1772" s="8" t="str">
        <f t="shared" si="39"/>
        <v>Oct</v>
      </c>
      <c r="K1772" s="8">
        <f t="shared" si="40"/>
        <v>3</v>
      </c>
      <c r="L1772" s="8">
        <f t="shared" si="41"/>
        <v>10</v>
      </c>
    </row>
    <row r="1773" spans="1:12" x14ac:dyDescent="0.3">
      <c r="A1773" s="10">
        <v>45567</v>
      </c>
      <c r="B1773" s="11">
        <v>45567.771610567128</v>
      </c>
      <c r="C1773" s="12">
        <f t="shared" si="36"/>
        <v>18</v>
      </c>
      <c r="D1773" s="12" t="s">
        <v>4</v>
      </c>
      <c r="E1773" s="12" t="s">
        <v>275</v>
      </c>
      <c r="F1773" s="13">
        <v>35.76</v>
      </c>
      <c r="G1773" s="12" t="s">
        <v>15</v>
      </c>
      <c r="H1773" s="12" t="str">
        <f t="shared" si="37"/>
        <v>Night</v>
      </c>
      <c r="I1773" s="12" t="str">
        <f t="shared" si="38"/>
        <v>Wed</v>
      </c>
      <c r="J1773" s="12" t="str">
        <f t="shared" si="39"/>
        <v>Oct</v>
      </c>
      <c r="K1773" s="12">
        <f t="shared" si="40"/>
        <v>3</v>
      </c>
      <c r="L1773" s="12">
        <f t="shared" si="41"/>
        <v>10</v>
      </c>
    </row>
    <row r="1774" spans="1:12" x14ac:dyDescent="0.3">
      <c r="A1774" s="6">
        <v>45567</v>
      </c>
      <c r="B1774" s="7">
        <v>45567.929807627312</v>
      </c>
      <c r="C1774" s="8">
        <f t="shared" si="36"/>
        <v>22</v>
      </c>
      <c r="D1774" s="8" t="s">
        <v>4</v>
      </c>
      <c r="E1774" s="8" t="s">
        <v>657</v>
      </c>
      <c r="F1774" s="9">
        <v>35.76</v>
      </c>
      <c r="G1774" s="8" t="s">
        <v>15</v>
      </c>
      <c r="H1774" s="8" t="str">
        <f t="shared" si="37"/>
        <v>Night</v>
      </c>
      <c r="I1774" s="8" t="str">
        <f t="shared" si="38"/>
        <v>Wed</v>
      </c>
      <c r="J1774" s="8" t="str">
        <f t="shared" si="39"/>
        <v>Oct</v>
      </c>
      <c r="K1774" s="8">
        <f t="shared" si="40"/>
        <v>3</v>
      </c>
      <c r="L1774" s="8">
        <f t="shared" si="41"/>
        <v>10</v>
      </c>
    </row>
    <row r="1775" spans="1:12" x14ac:dyDescent="0.3">
      <c r="A1775" s="10">
        <v>45567</v>
      </c>
      <c r="B1775" s="11">
        <v>45567.93033210648</v>
      </c>
      <c r="C1775" s="12">
        <f t="shared" si="36"/>
        <v>22</v>
      </c>
      <c r="D1775" s="12" t="s">
        <v>4</v>
      </c>
      <c r="E1775" s="12" t="s">
        <v>657</v>
      </c>
      <c r="F1775" s="13">
        <v>35.76</v>
      </c>
      <c r="G1775" s="12" t="s">
        <v>15</v>
      </c>
      <c r="H1775" s="12" t="str">
        <f t="shared" si="37"/>
        <v>Night</v>
      </c>
      <c r="I1775" s="12" t="str">
        <f t="shared" si="38"/>
        <v>Wed</v>
      </c>
      <c r="J1775" s="12" t="str">
        <f t="shared" si="39"/>
        <v>Oct</v>
      </c>
      <c r="K1775" s="12">
        <f t="shared" si="40"/>
        <v>3</v>
      </c>
      <c r="L1775" s="12">
        <f t="shared" si="41"/>
        <v>10</v>
      </c>
    </row>
    <row r="1776" spans="1:12" x14ac:dyDescent="0.3">
      <c r="A1776" s="6">
        <v>45567</v>
      </c>
      <c r="B1776" s="7">
        <v>45567.930829293982</v>
      </c>
      <c r="C1776" s="8">
        <f t="shared" si="36"/>
        <v>22</v>
      </c>
      <c r="D1776" s="8" t="s">
        <v>4</v>
      </c>
      <c r="E1776" s="8" t="s">
        <v>727</v>
      </c>
      <c r="F1776" s="9">
        <v>35.76</v>
      </c>
      <c r="G1776" s="8" t="s">
        <v>15</v>
      </c>
      <c r="H1776" s="8" t="str">
        <f t="shared" si="37"/>
        <v>Night</v>
      </c>
      <c r="I1776" s="8" t="str">
        <f t="shared" si="38"/>
        <v>Wed</v>
      </c>
      <c r="J1776" s="8" t="str">
        <f t="shared" si="39"/>
        <v>Oct</v>
      </c>
      <c r="K1776" s="8">
        <f t="shared" si="40"/>
        <v>3</v>
      </c>
      <c r="L1776" s="8">
        <f t="shared" si="41"/>
        <v>10</v>
      </c>
    </row>
    <row r="1777" spans="1:12" x14ac:dyDescent="0.3">
      <c r="A1777" s="10">
        <v>45568</v>
      </c>
      <c r="B1777" s="11">
        <v>45568.574721319441</v>
      </c>
      <c r="C1777" s="12">
        <f t="shared" si="36"/>
        <v>13</v>
      </c>
      <c r="D1777" s="12" t="s">
        <v>4</v>
      </c>
      <c r="E1777" s="12" t="s">
        <v>728</v>
      </c>
      <c r="F1777" s="13">
        <v>35.76</v>
      </c>
      <c r="G1777" s="12" t="s">
        <v>24</v>
      </c>
      <c r="H1777" s="12" t="str">
        <f t="shared" si="37"/>
        <v>Afternoon</v>
      </c>
      <c r="I1777" s="12" t="str">
        <f t="shared" si="38"/>
        <v>Thu</v>
      </c>
      <c r="J1777" s="12" t="str">
        <f t="shared" si="39"/>
        <v>Oct</v>
      </c>
      <c r="K1777" s="12">
        <f t="shared" si="40"/>
        <v>4</v>
      </c>
      <c r="L1777" s="12">
        <f t="shared" si="41"/>
        <v>10</v>
      </c>
    </row>
    <row r="1778" spans="1:12" x14ac:dyDescent="0.3">
      <c r="A1778" s="6">
        <v>45568</v>
      </c>
      <c r="B1778" s="7">
        <v>45568.633393055556</v>
      </c>
      <c r="C1778" s="8">
        <f t="shared" si="36"/>
        <v>15</v>
      </c>
      <c r="D1778" s="8" t="s">
        <v>4</v>
      </c>
      <c r="E1778" s="8" t="s">
        <v>729</v>
      </c>
      <c r="F1778" s="9">
        <v>30.86</v>
      </c>
      <c r="G1778" s="8" t="s">
        <v>20</v>
      </c>
      <c r="H1778" s="8" t="str">
        <f t="shared" si="37"/>
        <v>Afternoon</v>
      </c>
      <c r="I1778" s="8" t="str">
        <f t="shared" si="38"/>
        <v>Thu</v>
      </c>
      <c r="J1778" s="8" t="str">
        <f t="shared" si="39"/>
        <v>Oct</v>
      </c>
      <c r="K1778" s="8">
        <f t="shared" si="40"/>
        <v>4</v>
      </c>
      <c r="L1778" s="8">
        <f t="shared" si="41"/>
        <v>10</v>
      </c>
    </row>
    <row r="1779" spans="1:12" x14ac:dyDescent="0.3">
      <c r="A1779" s="10">
        <v>45568</v>
      </c>
      <c r="B1779" s="11">
        <v>45568.842335196758</v>
      </c>
      <c r="C1779" s="12">
        <f t="shared" si="36"/>
        <v>20</v>
      </c>
      <c r="D1779" s="12" t="s">
        <v>4</v>
      </c>
      <c r="E1779" s="12" t="s">
        <v>730</v>
      </c>
      <c r="F1779" s="13">
        <v>25.96</v>
      </c>
      <c r="G1779" s="12" t="s">
        <v>34</v>
      </c>
      <c r="H1779" s="12" t="str">
        <f t="shared" si="37"/>
        <v>Night</v>
      </c>
      <c r="I1779" s="12" t="str">
        <f t="shared" si="38"/>
        <v>Thu</v>
      </c>
      <c r="J1779" s="12" t="str">
        <f t="shared" si="39"/>
        <v>Oct</v>
      </c>
      <c r="K1779" s="12">
        <f t="shared" si="40"/>
        <v>4</v>
      </c>
      <c r="L1779" s="12">
        <f t="shared" si="41"/>
        <v>10</v>
      </c>
    </row>
    <row r="1780" spans="1:12" x14ac:dyDescent="0.3">
      <c r="A1780" s="6">
        <v>45568</v>
      </c>
      <c r="B1780" s="7">
        <v>45568.843110891205</v>
      </c>
      <c r="C1780" s="8">
        <f t="shared" si="36"/>
        <v>20</v>
      </c>
      <c r="D1780" s="8" t="s">
        <v>4</v>
      </c>
      <c r="E1780" s="8" t="s">
        <v>730</v>
      </c>
      <c r="F1780" s="9">
        <v>35.76</v>
      </c>
      <c r="G1780" s="8" t="s">
        <v>15</v>
      </c>
      <c r="H1780" s="8" t="str">
        <f t="shared" si="37"/>
        <v>Night</v>
      </c>
      <c r="I1780" s="8" t="str">
        <f t="shared" si="38"/>
        <v>Thu</v>
      </c>
      <c r="J1780" s="8" t="str">
        <f t="shared" si="39"/>
        <v>Oct</v>
      </c>
      <c r="K1780" s="8">
        <f t="shared" si="40"/>
        <v>4</v>
      </c>
      <c r="L1780" s="8">
        <f t="shared" si="41"/>
        <v>10</v>
      </c>
    </row>
    <row r="1781" spans="1:12" x14ac:dyDescent="0.3">
      <c r="A1781" s="10">
        <v>45568</v>
      </c>
      <c r="B1781" s="11">
        <v>45568.889656203704</v>
      </c>
      <c r="C1781" s="12">
        <f t="shared" si="36"/>
        <v>21</v>
      </c>
      <c r="D1781" s="12" t="s">
        <v>4</v>
      </c>
      <c r="E1781" s="12" t="s">
        <v>657</v>
      </c>
      <c r="F1781" s="13">
        <v>35.76</v>
      </c>
      <c r="G1781" s="12" t="s">
        <v>15</v>
      </c>
      <c r="H1781" s="12" t="str">
        <f t="shared" si="37"/>
        <v>Night</v>
      </c>
      <c r="I1781" s="12" t="str">
        <f t="shared" si="38"/>
        <v>Thu</v>
      </c>
      <c r="J1781" s="12" t="str">
        <f t="shared" si="39"/>
        <v>Oct</v>
      </c>
      <c r="K1781" s="12">
        <f t="shared" si="40"/>
        <v>4</v>
      </c>
      <c r="L1781" s="12">
        <f t="shared" si="41"/>
        <v>10</v>
      </c>
    </row>
    <row r="1782" spans="1:12" x14ac:dyDescent="0.3">
      <c r="A1782" s="6">
        <v>45568</v>
      </c>
      <c r="B1782" s="7">
        <v>45568.890124745369</v>
      </c>
      <c r="C1782" s="8">
        <f t="shared" si="36"/>
        <v>21</v>
      </c>
      <c r="D1782" s="8" t="s">
        <v>4</v>
      </c>
      <c r="E1782" s="8" t="s">
        <v>657</v>
      </c>
      <c r="F1782" s="9">
        <v>35.76</v>
      </c>
      <c r="G1782" s="8" t="s">
        <v>15</v>
      </c>
      <c r="H1782" s="8" t="str">
        <f t="shared" si="37"/>
        <v>Night</v>
      </c>
      <c r="I1782" s="8" t="str">
        <f t="shared" si="38"/>
        <v>Thu</v>
      </c>
      <c r="J1782" s="8" t="str">
        <f t="shared" si="39"/>
        <v>Oct</v>
      </c>
      <c r="K1782" s="8">
        <f t="shared" si="40"/>
        <v>4</v>
      </c>
      <c r="L1782" s="8">
        <f t="shared" si="41"/>
        <v>10</v>
      </c>
    </row>
    <row r="1783" spans="1:12" x14ac:dyDescent="0.3">
      <c r="A1783" s="10">
        <v>45568</v>
      </c>
      <c r="B1783" s="11">
        <v>45568.895178125</v>
      </c>
      <c r="C1783" s="12">
        <f t="shared" si="36"/>
        <v>21</v>
      </c>
      <c r="D1783" s="12" t="s">
        <v>4</v>
      </c>
      <c r="E1783" s="12" t="s">
        <v>731</v>
      </c>
      <c r="F1783" s="13">
        <v>35.76</v>
      </c>
      <c r="G1783" s="12" t="s">
        <v>49</v>
      </c>
      <c r="H1783" s="12" t="str">
        <f t="shared" si="37"/>
        <v>Night</v>
      </c>
      <c r="I1783" s="12" t="str">
        <f t="shared" si="38"/>
        <v>Thu</v>
      </c>
      <c r="J1783" s="12" t="str">
        <f t="shared" si="39"/>
        <v>Oct</v>
      </c>
      <c r="K1783" s="12">
        <f t="shared" si="40"/>
        <v>4</v>
      </c>
      <c r="L1783" s="12">
        <f t="shared" si="41"/>
        <v>10</v>
      </c>
    </row>
    <row r="1784" spans="1:12" x14ac:dyDescent="0.3">
      <c r="A1784" s="6">
        <v>45568</v>
      </c>
      <c r="B1784" s="7">
        <v>45568.896532997685</v>
      </c>
      <c r="C1784" s="8">
        <f t="shared" si="36"/>
        <v>21</v>
      </c>
      <c r="D1784" s="8" t="s">
        <v>4</v>
      </c>
      <c r="E1784" s="8" t="s">
        <v>732</v>
      </c>
      <c r="F1784" s="9">
        <v>35.76</v>
      </c>
      <c r="G1784" s="8" t="s">
        <v>15</v>
      </c>
      <c r="H1784" s="8" t="str">
        <f t="shared" si="37"/>
        <v>Night</v>
      </c>
      <c r="I1784" s="8" t="str">
        <f t="shared" si="38"/>
        <v>Thu</v>
      </c>
      <c r="J1784" s="8" t="str">
        <f t="shared" si="39"/>
        <v>Oct</v>
      </c>
      <c r="K1784" s="8">
        <f t="shared" si="40"/>
        <v>4</v>
      </c>
      <c r="L1784" s="8">
        <f t="shared" si="41"/>
        <v>10</v>
      </c>
    </row>
    <row r="1785" spans="1:12" x14ac:dyDescent="0.3">
      <c r="A1785" s="10">
        <v>45569</v>
      </c>
      <c r="B1785" s="11">
        <v>45569.363898993055</v>
      </c>
      <c r="C1785" s="12">
        <f t="shared" si="36"/>
        <v>8</v>
      </c>
      <c r="D1785" s="12" t="s">
        <v>4</v>
      </c>
      <c r="E1785" s="12" t="s">
        <v>460</v>
      </c>
      <c r="F1785" s="13">
        <v>25.96</v>
      </c>
      <c r="G1785" s="12" t="s">
        <v>17</v>
      </c>
      <c r="H1785" s="12" t="str">
        <f t="shared" si="37"/>
        <v>Morning</v>
      </c>
      <c r="I1785" s="12" t="str">
        <f t="shared" si="38"/>
        <v>Fri</v>
      </c>
      <c r="J1785" s="12" t="str">
        <f t="shared" si="39"/>
        <v>Oct</v>
      </c>
      <c r="K1785" s="12">
        <f t="shared" si="40"/>
        <v>5</v>
      </c>
      <c r="L1785" s="12">
        <f t="shared" si="41"/>
        <v>10</v>
      </c>
    </row>
    <row r="1786" spans="1:12" x14ac:dyDescent="0.3">
      <c r="A1786" s="6">
        <v>45569</v>
      </c>
      <c r="B1786" s="7">
        <v>45569.365034166665</v>
      </c>
      <c r="C1786" s="8">
        <f t="shared" si="36"/>
        <v>8</v>
      </c>
      <c r="D1786" s="8" t="s">
        <v>4</v>
      </c>
      <c r="E1786" s="8" t="s">
        <v>460</v>
      </c>
      <c r="F1786" s="9">
        <v>25.96</v>
      </c>
      <c r="G1786" s="8" t="s">
        <v>17</v>
      </c>
      <c r="H1786" s="8" t="str">
        <f t="shared" si="37"/>
        <v>Morning</v>
      </c>
      <c r="I1786" s="8" t="str">
        <f t="shared" si="38"/>
        <v>Fri</v>
      </c>
      <c r="J1786" s="8" t="str">
        <f t="shared" si="39"/>
        <v>Oct</v>
      </c>
      <c r="K1786" s="8">
        <f t="shared" si="40"/>
        <v>5</v>
      </c>
      <c r="L1786" s="8">
        <f t="shared" si="41"/>
        <v>10</v>
      </c>
    </row>
    <row r="1787" spans="1:12" x14ac:dyDescent="0.3">
      <c r="A1787" s="10">
        <v>45569</v>
      </c>
      <c r="B1787" s="11">
        <v>45569.396088402777</v>
      </c>
      <c r="C1787" s="12">
        <f t="shared" ref="C1787:C2001" si="42">HOUR(B1787)</f>
        <v>9</v>
      </c>
      <c r="D1787" s="12" t="s">
        <v>4</v>
      </c>
      <c r="E1787" s="12" t="s">
        <v>18</v>
      </c>
      <c r="F1787" s="13">
        <v>30.86</v>
      </c>
      <c r="G1787" s="12" t="s">
        <v>20</v>
      </c>
      <c r="H1787" s="12" t="str">
        <f t="shared" ref="H1787:H2001" si="43">IF(AND(C1787&gt;=5,C1787&lt;12),"Morning",
 IF(AND(C1787&gt;=12,C1787&lt;17),"Afternoon","Night"))</f>
        <v>Morning</v>
      </c>
      <c r="I1787" s="12" t="str">
        <f t="shared" ref="I1787:I2001" si="44">TEXT(A1787, "ddd")</f>
        <v>Fri</v>
      </c>
      <c r="J1787" s="12" t="str">
        <f t="shared" ref="J1787:J2001" si="45">TEXT(A1787, "mmm")</f>
        <v>Oct</v>
      </c>
      <c r="K1787" s="12">
        <f t="shared" ref="K1787:K2001" si="46">WEEKDAY(A1787, 2)</f>
        <v>5</v>
      </c>
      <c r="L1787" s="12">
        <f t="shared" ref="L1787:L2001" si="47">MONTH(A1787)</f>
        <v>10</v>
      </c>
    </row>
    <row r="1788" spans="1:12" x14ac:dyDescent="0.3">
      <c r="A1788" s="6">
        <v>45569</v>
      </c>
      <c r="B1788" s="7">
        <v>45569.396841099537</v>
      </c>
      <c r="C1788" s="8">
        <f t="shared" si="42"/>
        <v>9</v>
      </c>
      <c r="D1788" s="8" t="s">
        <v>4</v>
      </c>
      <c r="E1788" s="8" t="s">
        <v>16</v>
      </c>
      <c r="F1788" s="9">
        <v>25.96</v>
      </c>
      <c r="G1788" s="8" t="s">
        <v>17</v>
      </c>
      <c r="H1788" s="8" t="str">
        <f t="shared" si="43"/>
        <v>Morning</v>
      </c>
      <c r="I1788" s="8" t="str">
        <f t="shared" si="44"/>
        <v>Fri</v>
      </c>
      <c r="J1788" s="8" t="str">
        <f t="shared" si="45"/>
        <v>Oct</v>
      </c>
      <c r="K1788" s="8">
        <f t="shared" si="46"/>
        <v>5</v>
      </c>
      <c r="L1788" s="8">
        <f t="shared" si="47"/>
        <v>10</v>
      </c>
    </row>
    <row r="1789" spans="1:12" x14ac:dyDescent="0.3">
      <c r="A1789" s="10">
        <v>45569</v>
      </c>
      <c r="B1789" s="11">
        <v>45569.41248353009</v>
      </c>
      <c r="C1789" s="12">
        <f t="shared" si="42"/>
        <v>9</v>
      </c>
      <c r="D1789" s="12" t="s">
        <v>4</v>
      </c>
      <c r="E1789" s="12" t="s">
        <v>670</v>
      </c>
      <c r="F1789" s="13">
        <v>25.96</v>
      </c>
      <c r="G1789" s="12" t="s">
        <v>34</v>
      </c>
      <c r="H1789" s="12" t="str">
        <f t="shared" si="43"/>
        <v>Morning</v>
      </c>
      <c r="I1789" s="12" t="str">
        <f t="shared" si="44"/>
        <v>Fri</v>
      </c>
      <c r="J1789" s="12" t="str">
        <f t="shared" si="45"/>
        <v>Oct</v>
      </c>
      <c r="K1789" s="12">
        <f t="shared" si="46"/>
        <v>5</v>
      </c>
      <c r="L1789" s="12">
        <f t="shared" si="47"/>
        <v>10</v>
      </c>
    </row>
    <row r="1790" spans="1:12" x14ac:dyDescent="0.3">
      <c r="A1790" s="6">
        <v>45569</v>
      </c>
      <c r="B1790" s="7">
        <v>45569.413247187498</v>
      </c>
      <c r="C1790" s="8">
        <f t="shared" si="42"/>
        <v>9</v>
      </c>
      <c r="D1790" s="8" t="s">
        <v>4</v>
      </c>
      <c r="E1790" s="8" t="s">
        <v>670</v>
      </c>
      <c r="F1790" s="9">
        <v>25.96</v>
      </c>
      <c r="G1790" s="8" t="s">
        <v>34</v>
      </c>
      <c r="H1790" s="8" t="str">
        <f t="shared" si="43"/>
        <v>Morning</v>
      </c>
      <c r="I1790" s="8" t="str">
        <f t="shared" si="44"/>
        <v>Fri</v>
      </c>
      <c r="J1790" s="8" t="str">
        <f t="shared" si="45"/>
        <v>Oct</v>
      </c>
      <c r="K1790" s="8">
        <f t="shared" si="46"/>
        <v>5</v>
      </c>
      <c r="L1790" s="8">
        <f t="shared" si="47"/>
        <v>10</v>
      </c>
    </row>
    <row r="1791" spans="1:12" x14ac:dyDescent="0.3">
      <c r="A1791" s="10">
        <v>45569</v>
      </c>
      <c r="B1791" s="11">
        <v>45569.732810289352</v>
      </c>
      <c r="C1791" s="12">
        <f t="shared" si="42"/>
        <v>17</v>
      </c>
      <c r="D1791" s="12" t="s">
        <v>4</v>
      </c>
      <c r="E1791" s="12" t="s">
        <v>733</v>
      </c>
      <c r="F1791" s="13">
        <v>35.76</v>
      </c>
      <c r="G1791" s="12" t="s">
        <v>13</v>
      </c>
      <c r="H1791" s="12" t="str">
        <f t="shared" si="43"/>
        <v>Night</v>
      </c>
      <c r="I1791" s="12" t="str">
        <f t="shared" si="44"/>
        <v>Fri</v>
      </c>
      <c r="J1791" s="12" t="str">
        <f t="shared" si="45"/>
        <v>Oct</v>
      </c>
      <c r="K1791" s="12">
        <f t="shared" si="46"/>
        <v>5</v>
      </c>
      <c r="L1791" s="12">
        <f t="shared" si="47"/>
        <v>10</v>
      </c>
    </row>
    <row r="1792" spans="1:12" x14ac:dyDescent="0.3">
      <c r="A1792" s="6">
        <v>45569</v>
      </c>
      <c r="B1792" s="7">
        <v>45569.737756724535</v>
      </c>
      <c r="C1792" s="8">
        <f t="shared" si="42"/>
        <v>17</v>
      </c>
      <c r="D1792" s="8" t="s">
        <v>4</v>
      </c>
      <c r="E1792" s="8" t="s">
        <v>734</v>
      </c>
      <c r="F1792" s="9">
        <v>35.76</v>
      </c>
      <c r="G1792" s="8" t="s">
        <v>15</v>
      </c>
      <c r="H1792" s="8" t="str">
        <f t="shared" si="43"/>
        <v>Night</v>
      </c>
      <c r="I1792" s="8" t="str">
        <f t="shared" si="44"/>
        <v>Fri</v>
      </c>
      <c r="J1792" s="8" t="str">
        <f t="shared" si="45"/>
        <v>Oct</v>
      </c>
      <c r="K1792" s="8">
        <f t="shared" si="46"/>
        <v>5</v>
      </c>
      <c r="L1792" s="8">
        <f t="shared" si="47"/>
        <v>10</v>
      </c>
    </row>
    <row r="1793" spans="1:12" x14ac:dyDescent="0.3">
      <c r="A1793" s="10">
        <v>45569</v>
      </c>
      <c r="B1793" s="11">
        <v>45569.739309837962</v>
      </c>
      <c r="C1793" s="12">
        <f t="shared" si="42"/>
        <v>17</v>
      </c>
      <c r="D1793" s="12" t="s">
        <v>4</v>
      </c>
      <c r="E1793" s="12" t="s">
        <v>734</v>
      </c>
      <c r="F1793" s="13">
        <v>35.76</v>
      </c>
      <c r="G1793" s="12" t="s">
        <v>24</v>
      </c>
      <c r="H1793" s="12" t="str">
        <f t="shared" si="43"/>
        <v>Night</v>
      </c>
      <c r="I1793" s="12" t="str">
        <f t="shared" si="44"/>
        <v>Fri</v>
      </c>
      <c r="J1793" s="12" t="str">
        <f t="shared" si="45"/>
        <v>Oct</v>
      </c>
      <c r="K1793" s="12">
        <f t="shared" si="46"/>
        <v>5</v>
      </c>
      <c r="L1793" s="12">
        <f t="shared" si="47"/>
        <v>10</v>
      </c>
    </row>
    <row r="1794" spans="1:12" x14ac:dyDescent="0.3">
      <c r="A1794" s="6">
        <v>45570</v>
      </c>
      <c r="B1794" s="7">
        <v>45570.375542372683</v>
      </c>
      <c r="C1794" s="8">
        <f t="shared" si="42"/>
        <v>9</v>
      </c>
      <c r="D1794" s="8" t="s">
        <v>4</v>
      </c>
      <c r="E1794" s="8" t="s">
        <v>161</v>
      </c>
      <c r="F1794" s="9">
        <v>25.96</v>
      </c>
      <c r="G1794" s="8" t="s">
        <v>34</v>
      </c>
      <c r="H1794" s="8" t="str">
        <f t="shared" si="43"/>
        <v>Morning</v>
      </c>
      <c r="I1794" s="8" t="str">
        <f t="shared" si="44"/>
        <v>Sat</v>
      </c>
      <c r="J1794" s="8" t="str">
        <f t="shared" si="45"/>
        <v>Oct</v>
      </c>
      <c r="K1794" s="8">
        <f t="shared" si="46"/>
        <v>6</v>
      </c>
      <c r="L1794" s="8">
        <f t="shared" si="47"/>
        <v>10</v>
      </c>
    </row>
    <row r="1795" spans="1:12" x14ac:dyDescent="0.3">
      <c r="A1795" s="10">
        <v>45570</v>
      </c>
      <c r="B1795" s="11">
        <v>45570.376188298615</v>
      </c>
      <c r="C1795" s="12">
        <f t="shared" si="42"/>
        <v>9</v>
      </c>
      <c r="D1795" s="12" t="s">
        <v>4</v>
      </c>
      <c r="E1795" s="12" t="s">
        <v>161</v>
      </c>
      <c r="F1795" s="13">
        <v>25.96</v>
      </c>
      <c r="G1795" s="12" t="s">
        <v>34</v>
      </c>
      <c r="H1795" s="12" t="str">
        <f t="shared" si="43"/>
        <v>Morning</v>
      </c>
      <c r="I1795" s="12" t="str">
        <f t="shared" si="44"/>
        <v>Sat</v>
      </c>
      <c r="J1795" s="12" t="str">
        <f t="shared" si="45"/>
        <v>Oct</v>
      </c>
      <c r="K1795" s="12">
        <f t="shared" si="46"/>
        <v>6</v>
      </c>
      <c r="L1795" s="12">
        <f t="shared" si="47"/>
        <v>10</v>
      </c>
    </row>
    <row r="1796" spans="1:12" x14ac:dyDescent="0.3">
      <c r="A1796" s="6">
        <v>45570</v>
      </c>
      <c r="B1796" s="7">
        <v>45570.399825266206</v>
      </c>
      <c r="C1796" s="8">
        <f t="shared" si="42"/>
        <v>9</v>
      </c>
      <c r="D1796" s="8" t="s">
        <v>4</v>
      </c>
      <c r="E1796" s="8" t="s">
        <v>735</v>
      </c>
      <c r="F1796" s="9">
        <v>35.76</v>
      </c>
      <c r="G1796" s="8" t="s">
        <v>24</v>
      </c>
      <c r="H1796" s="8" t="str">
        <f t="shared" si="43"/>
        <v>Morning</v>
      </c>
      <c r="I1796" s="8" t="str">
        <f t="shared" si="44"/>
        <v>Sat</v>
      </c>
      <c r="J1796" s="8" t="str">
        <f t="shared" si="45"/>
        <v>Oct</v>
      </c>
      <c r="K1796" s="8">
        <f t="shared" si="46"/>
        <v>6</v>
      </c>
      <c r="L1796" s="8">
        <f t="shared" si="47"/>
        <v>10</v>
      </c>
    </row>
    <row r="1797" spans="1:12" x14ac:dyDescent="0.3">
      <c r="A1797" s="10">
        <v>45570</v>
      </c>
      <c r="B1797" s="11">
        <v>45570.550153761571</v>
      </c>
      <c r="C1797" s="12">
        <f t="shared" si="42"/>
        <v>13</v>
      </c>
      <c r="D1797" s="12" t="s">
        <v>4</v>
      </c>
      <c r="E1797" s="12" t="s">
        <v>226</v>
      </c>
      <c r="F1797" s="13">
        <v>35.76</v>
      </c>
      <c r="G1797" s="12" t="s">
        <v>49</v>
      </c>
      <c r="H1797" s="12" t="str">
        <f t="shared" si="43"/>
        <v>Afternoon</v>
      </c>
      <c r="I1797" s="12" t="str">
        <f t="shared" si="44"/>
        <v>Sat</v>
      </c>
      <c r="J1797" s="12" t="str">
        <f t="shared" si="45"/>
        <v>Oct</v>
      </c>
      <c r="K1797" s="12">
        <f t="shared" si="46"/>
        <v>6</v>
      </c>
      <c r="L1797" s="12">
        <f t="shared" si="47"/>
        <v>10</v>
      </c>
    </row>
    <row r="1798" spans="1:12" x14ac:dyDescent="0.3">
      <c r="A1798" s="6">
        <v>45570</v>
      </c>
      <c r="B1798" s="7">
        <v>45570.839329374998</v>
      </c>
      <c r="C1798" s="8">
        <f t="shared" si="42"/>
        <v>20</v>
      </c>
      <c r="D1798" s="8" t="s">
        <v>4</v>
      </c>
      <c r="E1798" s="8" t="s">
        <v>29</v>
      </c>
      <c r="F1798" s="9">
        <v>25.96</v>
      </c>
      <c r="G1798" s="8" t="s">
        <v>17</v>
      </c>
      <c r="H1798" s="8" t="str">
        <f t="shared" si="43"/>
        <v>Night</v>
      </c>
      <c r="I1798" s="8" t="str">
        <f t="shared" si="44"/>
        <v>Sat</v>
      </c>
      <c r="J1798" s="8" t="str">
        <f t="shared" si="45"/>
        <v>Oct</v>
      </c>
      <c r="K1798" s="8">
        <f t="shared" si="46"/>
        <v>6</v>
      </c>
      <c r="L1798" s="8">
        <f t="shared" si="47"/>
        <v>10</v>
      </c>
    </row>
    <row r="1799" spans="1:12" x14ac:dyDescent="0.3">
      <c r="A1799" s="10">
        <v>45570</v>
      </c>
      <c r="B1799" s="11">
        <v>45570.839972766204</v>
      </c>
      <c r="C1799" s="12">
        <f t="shared" si="42"/>
        <v>20</v>
      </c>
      <c r="D1799" s="12" t="s">
        <v>4</v>
      </c>
      <c r="E1799" s="12" t="s">
        <v>29</v>
      </c>
      <c r="F1799" s="13">
        <v>25.96</v>
      </c>
      <c r="G1799" s="12" t="s">
        <v>17</v>
      </c>
      <c r="H1799" s="12" t="str">
        <f t="shared" si="43"/>
        <v>Night</v>
      </c>
      <c r="I1799" s="12" t="str">
        <f t="shared" si="44"/>
        <v>Sat</v>
      </c>
      <c r="J1799" s="12" t="str">
        <f t="shared" si="45"/>
        <v>Oct</v>
      </c>
      <c r="K1799" s="12">
        <f t="shared" si="46"/>
        <v>6</v>
      </c>
      <c r="L1799" s="12">
        <f t="shared" si="47"/>
        <v>10</v>
      </c>
    </row>
    <row r="1800" spans="1:12" x14ac:dyDescent="0.3">
      <c r="A1800" s="6">
        <v>45571</v>
      </c>
      <c r="B1800" s="7">
        <v>45571.349267604164</v>
      </c>
      <c r="C1800" s="8">
        <f t="shared" si="42"/>
        <v>8</v>
      </c>
      <c r="D1800" s="8" t="s">
        <v>4</v>
      </c>
      <c r="E1800" s="8" t="s">
        <v>161</v>
      </c>
      <c r="F1800" s="9">
        <v>25.96</v>
      </c>
      <c r="G1800" s="8" t="s">
        <v>34</v>
      </c>
      <c r="H1800" s="8" t="str">
        <f t="shared" si="43"/>
        <v>Morning</v>
      </c>
      <c r="I1800" s="8" t="str">
        <f t="shared" si="44"/>
        <v>Sun</v>
      </c>
      <c r="J1800" s="8" t="str">
        <f t="shared" si="45"/>
        <v>Oct</v>
      </c>
      <c r="K1800" s="8">
        <f t="shared" si="46"/>
        <v>7</v>
      </c>
      <c r="L1800" s="8">
        <f t="shared" si="47"/>
        <v>10</v>
      </c>
    </row>
    <row r="1801" spans="1:12" x14ac:dyDescent="0.3">
      <c r="A1801" s="10">
        <v>45571</v>
      </c>
      <c r="B1801" s="11">
        <v>45571.420644004633</v>
      </c>
      <c r="C1801" s="12">
        <f t="shared" si="42"/>
        <v>10</v>
      </c>
      <c r="D1801" s="12" t="s">
        <v>4</v>
      </c>
      <c r="E1801" s="12" t="s">
        <v>215</v>
      </c>
      <c r="F1801" s="13">
        <v>35.76</v>
      </c>
      <c r="G1801" s="12" t="s">
        <v>49</v>
      </c>
      <c r="H1801" s="12" t="str">
        <f t="shared" si="43"/>
        <v>Morning</v>
      </c>
      <c r="I1801" s="12" t="str">
        <f t="shared" si="44"/>
        <v>Sun</v>
      </c>
      <c r="J1801" s="12" t="str">
        <f t="shared" si="45"/>
        <v>Oct</v>
      </c>
      <c r="K1801" s="12">
        <f t="shared" si="46"/>
        <v>7</v>
      </c>
      <c r="L1801" s="12">
        <f t="shared" si="47"/>
        <v>10</v>
      </c>
    </row>
    <row r="1802" spans="1:12" x14ac:dyDescent="0.3">
      <c r="A1802" s="6">
        <v>45571</v>
      </c>
      <c r="B1802" s="7">
        <v>45571.421378888888</v>
      </c>
      <c r="C1802" s="8">
        <f t="shared" si="42"/>
        <v>10</v>
      </c>
      <c r="D1802" s="8" t="s">
        <v>4</v>
      </c>
      <c r="E1802" s="8" t="s">
        <v>215</v>
      </c>
      <c r="F1802" s="9">
        <v>25.96</v>
      </c>
      <c r="G1802" s="8" t="s">
        <v>34</v>
      </c>
      <c r="H1802" s="8" t="str">
        <f t="shared" si="43"/>
        <v>Morning</v>
      </c>
      <c r="I1802" s="8" t="str">
        <f t="shared" si="44"/>
        <v>Sun</v>
      </c>
      <c r="J1802" s="8" t="str">
        <f t="shared" si="45"/>
        <v>Oct</v>
      </c>
      <c r="K1802" s="8">
        <f t="shared" si="46"/>
        <v>7</v>
      </c>
      <c r="L1802" s="8">
        <f t="shared" si="47"/>
        <v>10</v>
      </c>
    </row>
    <row r="1803" spans="1:12" x14ac:dyDescent="0.3">
      <c r="A1803" s="10">
        <v>45571</v>
      </c>
      <c r="B1803" s="11">
        <v>45571.496861643522</v>
      </c>
      <c r="C1803" s="12">
        <f t="shared" si="42"/>
        <v>11</v>
      </c>
      <c r="D1803" s="12" t="s">
        <v>4</v>
      </c>
      <c r="E1803" s="12" t="s">
        <v>736</v>
      </c>
      <c r="F1803" s="13">
        <v>35.76</v>
      </c>
      <c r="G1803" s="12" t="s">
        <v>13</v>
      </c>
      <c r="H1803" s="12" t="str">
        <f t="shared" si="43"/>
        <v>Morning</v>
      </c>
      <c r="I1803" s="12" t="str">
        <f t="shared" si="44"/>
        <v>Sun</v>
      </c>
      <c r="J1803" s="12" t="str">
        <f t="shared" si="45"/>
        <v>Oct</v>
      </c>
      <c r="K1803" s="12">
        <f t="shared" si="46"/>
        <v>7</v>
      </c>
      <c r="L1803" s="12">
        <f t="shared" si="47"/>
        <v>10</v>
      </c>
    </row>
    <row r="1804" spans="1:12" x14ac:dyDescent="0.3">
      <c r="A1804" s="6">
        <v>45571</v>
      </c>
      <c r="B1804" s="7">
        <v>45571.506294583334</v>
      </c>
      <c r="C1804" s="8">
        <f t="shared" si="42"/>
        <v>12</v>
      </c>
      <c r="D1804" s="8" t="s">
        <v>4</v>
      </c>
      <c r="E1804" s="8" t="s">
        <v>685</v>
      </c>
      <c r="F1804" s="9">
        <v>35.76</v>
      </c>
      <c r="G1804" s="8" t="s">
        <v>13</v>
      </c>
      <c r="H1804" s="8" t="str">
        <f t="shared" si="43"/>
        <v>Afternoon</v>
      </c>
      <c r="I1804" s="8" t="str">
        <f t="shared" si="44"/>
        <v>Sun</v>
      </c>
      <c r="J1804" s="8" t="str">
        <f t="shared" si="45"/>
        <v>Oct</v>
      </c>
      <c r="K1804" s="8">
        <f t="shared" si="46"/>
        <v>7</v>
      </c>
      <c r="L1804" s="8">
        <f t="shared" si="47"/>
        <v>10</v>
      </c>
    </row>
    <row r="1805" spans="1:12" x14ac:dyDescent="0.3">
      <c r="A1805" s="10">
        <v>45571</v>
      </c>
      <c r="B1805" s="11">
        <v>45571.507145173608</v>
      </c>
      <c r="C1805" s="12">
        <f t="shared" si="42"/>
        <v>12</v>
      </c>
      <c r="D1805" s="12" t="s">
        <v>4</v>
      </c>
      <c r="E1805" s="12" t="s">
        <v>685</v>
      </c>
      <c r="F1805" s="13">
        <v>35.76</v>
      </c>
      <c r="G1805" s="12" t="s">
        <v>49</v>
      </c>
      <c r="H1805" s="12" t="str">
        <f t="shared" si="43"/>
        <v>Afternoon</v>
      </c>
      <c r="I1805" s="12" t="str">
        <f t="shared" si="44"/>
        <v>Sun</v>
      </c>
      <c r="J1805" s="12" t="str">
        <f t="shared" si="45"/>
        <v>Oct</v>
      </c>
      <c r="K1805" s="12">
        <f t="shared" si="46"/>
        <v>7</v>
      </c>
      <c r="L1805" s="12">
        <f t="shared" si="47"/>
        <v>10</v>
      </c>
    </row>
    <row r="1806" spans="1:12" x14ac:dyDescent="0.3">
      <c r="A1806" s="6">
        <v>45571</v>
      </c>
      <c r="B1806" s="7">
        <v>45571.508140740742</v>
      </c>
      <c r="C1806" s="8">
        <f t="shared" si="42"/>
        <v>12</v>
      </c>
      <c r="D1806" s="8" t="s">
        <v>4</v>
      </c>
      <c r="E1806" s="8" t="s">
        <v>685</v>
      </c>
      <c r="F1806" s="9">
        <v>30.86</v>
      </c>
      <c r="G1806" s="8" t="s">
        <v>20</v>
      </c>
      <c r="H1806" s="8" t="str">
        <f t="shared" si="43"/>
        <v>Afternoon</v>
      </c>
      <c r="I1806" s="8" t="str">
        <f t="shared" si="44"/>
        <v>Sun</v>
      </c>
      <c r="J1806" s="8" t="str">
        <f t="shared" si="45"/>
        <v>Oct</v>
      </c>
      <c r="K1806" s="8">
        <f t="shared" si="46"/>
        <v>7</v>
      </c>
      <c r="L1806" s="8">
        <f t="shared" si="47"/>
        <v>10</v>
      </c>
    </row>
    <row r="1807" spans="1:12" x14ac:dyDescent="0.3">
      <c r="A1807" s="10">
        <v>45571</v>
      </c>
      <c r="B1807" s="11">
        <v>45571.573653645835</v>
      </c>
      <c r="C1807" s="12">
        <f t="shared" si="42"/>
        <v>13</v>
      </c>
      <c r="D1807" s="12" t="s">
        <v>4</v>
      </c>
      <c r="E1807" s="12" t="s">
        <v>737</v>
      </c>
      <c r="F1807" s="13">
        <v>25.96</v>
      </c>
      <c r="G1807" s="12" t="s">
        <v>17</v>
      </c>
      <c r="H1807" s="12" t="str">
        <f t="shared" si="43"/>
        <v>Afternoon</v>
      </c>
      <c r="I1807" s="12" t="str">
        <f t="shared" si="44"/>
        <v>Sun</v>
      </c>
      <c r="J1807" s="12" t="str">
        <f t="shared" si="45"/>
        <v>Oct</v>
      </c>
      <c r="K1807" s="12">
        <f t="shared" si="46"/>
        <v>7</v>
      </c>
      <c r="L1807" s="12">
        <f t="shared" si="47"/>
        <v>10</v>
      </c>
    </row>
    <row r="1808" spans="1:12" x14ac:dyDescent="0.3">
      <c r="A1808" s="6">
        <v>45571</v>
      </c>
      <c r="B1808" s="7">
        <v>45571.574328159724</v>
      </c>
      <c r="C1808" s="8">
        <f t="shared" si="42"/>
        <v>13</v>
      </c>
      <c r="D1808" s="8" t="s">
        <v>4</v>
      </c>
      <c r="E1808" s="8" t="s">
        <v>737</v>
      </c>
      <c r="F1808" s="9">
        <v>35.76</v>
      </c>
      <c r="G1808" s="8" t="s">
        <v>49</v>
      </c>
      <c r="H1808" s="8" t="str">
        <f t="shared" si="43"/>
        <v>Afternoon</v>
      </c>
      <c r="I1808" s="8" t="str">
        <f t="shared" si="44"/>
        <v>Sun</v>
      </c>
      <c r="J1808" s="8" t="str">
        <f t="shared" si="45"/>
        <v>Oct</v>
      </c>
      <c r="K1808" s="8">
        <f t="shared" si="46"/>
        <v>7</v>
      </c>
      <c r="L1808" s="8">
        <f t="shared" si="47"/>
        <v>10</v>
      </c>
    </row>
    <row r="1809" spans="1:12" x14ac:dyDescent="0.3">
      <c r="A1809" s="10">
        <v>45571</v>
      </c>
      <c r="B1809" s="11">
        <v>45571.576390509261</v>
      </c>
      <c r="C1809" s="12">
        <f t="shared" si="42"/>
        <v>13</v>
      </c>
      <c r="D1809" s="12" t="s">
        <v>4</v>
      </c>
      <c r="E1809" s="12" t="s">
        <v>738</v>
      </c>
      <c r="F1809" s="13">
        <v>30.86</v>
      </c>
      <c r="G1809" s="12" t="s">
        <v>20</v>
      </c>
      <c r="H1809" s="12" t="str">
        <f t="shared" si="43"/>
        <v>Afternoon</v>
      </c>
      <c r="I1809" s="12" t="str">
        <f t="shared" si="44"/>
        <v>Sun</v>
      </c>
      <c r="J1809" s="12" t="str">
        <f t="shared" si="45"/>
        <v>Oct</v>
      </c>
      <c r="K1809" s="12">
        <f t="shared" si="46"/>
        <v>7</v>
      </c>
      <c r="L1809" s="12">
        <f t="shared" si="47"/>
        <v>10</v>
      </c>
    </row>
    <row r="1810" spans="1:12" x14ac:dyDescent="0.3">
      <c r="A1810" s="6">
        <v>45571</v>
      </c>
      <c r="B1810" s="7">
        <v>45571.577132523147</v>
      </c>
      <c r="C1810" s="8">
        <f t="shared" si="42"/>
        <v>13</v>
      </c>
      <c r="D1810" s="8" t="s">
        <v>4</v>
      </c>
      <c r="E1810" s="8" t="s">
        <v>738</v>
      </c>
      <c r="F1810" s="9">
        <v>35.76</v>
      </c>
      <c r="G1810" s="8" t="s">
        <v>13</v>
      </c>
      <c r="H1810" s="8" t="str">
        <f t="shared" si="43"/>
        <v>Afternoon</v>
      </c>
      <c r="I1810" s="8" t="str">
        <f t="shared" si="44"/>
        <v>Sun</v>
      </c>
      <c r="J1810" s="8" t="str">
        <f t="shared" si="45"/>
        <v>Oct</v>
      </c>
      <c r="K1810" s="8">
        <f t="shared" si="46"/>
        <v>7</v>
      </c>
      <c r="L1810" s="8">
        <f t="shared" si="47"/>
        <v>10</v>
      </c>
    </row>
    <row r="1811" spans="1:12" x14ac:dyDescent="0.3">
      <c r="A1811" s="10">
        <v>45571</v>
      </c>
      <c r="B1811" s="11">
        <v>45571.577734756946</v>
      </c>
      <c r="C1811" s="12">
        <f t="shared" si="42"/>
        <v>13</v>
      </c>
      <c r="D1811" s="12" t="s">
        <v>4</v>
      </c>
      <c r="E1811" s="12" t="s">
        <v>738</v>
      </c>
      <c r="F1811" s="13">
        <v>35.76</v>
      </c>
      <c r="G1811" s="12" t="s">
        <v>49</v>
      </c>
      <c r="H1811" s="12" t="str">
        <f t="shared" si="43"/>
        <v>Afternoon</v>
      </c>
      <c r="I1811" s="12" t="str">
        <f t="shared" si="44"/>
        <v>Sun</v>
      </c>
      <c r="J1811" s="12" t="str">
        <f t="shared" si="45"/>
        <v>Oct</v>
      </c>
      <c r="K1811" s="12">
        <f t="shared" si="46"/>
        <v>7</v>
      </c>
      <c r="L1811" s="12">
        <f t="shared" si="47"/>
        <v>10</v>
      </c>
    </row>
    <row r="1812" spans="1:12" x14ac:dyDescent="0.3">
      <c r="A1812" s="6">
        <v>45571</v>
      </c>
      <c r="B1812" s="7">
        <v>45571.688583194446</v>
      </c>
      <c r="C1812" s="8">
        <f t="shared" si="42"/>
        <v>16</v>
      </c>
      <c r="D1812" s="8" t="s">
        <v>4</v>
      </c>
      <c r="E1812" s="8" t="s">
        <v>739</v>
      </c>
      <c r="F1812" s="9">
        <v>35.76</v>
      </c>
      <c r="G1812" s="8" t="s">
        <v>49</v>
      </c>
      <c r="H1812" s="8" t="str">
        <f t="shared" si="43"/>
        <v>Afternoon</v>
      </c>
      <c r="I1812" s="8" t="str">
        <f t="shared" si="44"/>
        <v>Sun</v>
      </c>
      <c r="J1812" s="8" t="str">
        <f t="shared" si="45"/>
        <v>Oct</v>
      </c>
      <c r="K1812" s="8">
        <f t="shared" si="46"/>
        <v>7</v>
      </c>
      <c r="L1812" s="8">
        <f t="shared" si="47"/>
        <v>10</v>
      </c>
    </row>
    <row r="1813" spans="1:12" x14ac:dyDescent="0.3">
      <c r="A1813" s="10">
        <v>45571</v>
      </c>
      <c r="B1813" s="11">
        <v>45571.691500289351</v>
      </c>
      <c r="C1813" s="12">
        <f t="shared" si="42"/>
        <v>16</v>
      </c>
      <c r="D1813" s="12" t="s">
        <v>4</v>
      </c>
      <c r="E1813" s="12" t="s">
        <v>740</v>
      </c>
      <c r="F1813" s="13">
        <v>21.06</v>
      </c>
      <c r="G1813" s="12" t="s">
        <v>41</v>
      </c>
      <c r="H1813" s="12" t="str">
        <f t="shared" si="43"/>
        <v>Afternoon</v>
      </c>
      <c r="I1813" s="12" t="str">
        <f t="shared" si="44"/>
        <v>Sun</v>
      </c>
      <c r="J1813" s="12" t="str">
        <f t="shared" si="45"/>
        <v>Oct</v>
      </c>
      <c r="K1813" s="12">
        <f t="shared" si="46"/>
        <v>7</v>
      </c>
      <c r="L1813" s="12">
        <f t="shared" si="47"/>
        <v>10</v>
      </c>
    </row>
    <row r="1814" spans="1:12" x14ac:dyDescent="0.3">
      <c r="A1814" s="6">
        <v>45571</v>
      </c>
      <c r="B1814" s="7">
        <v>45571.762326099539</v>
      </c>
      <c r="C1814" s="8">
        <f t="shared" si="42"/>
        <v>18</v>
      </c>
      <c r="D1814" s="8" t="s">
        <v>4</v>
      </c>
      <c r="E1814" s="8" t="s">
        <v>741</v>
      </c>
      <c r="F1814" s="9">
        <v>30.86</v>
      </c>
      <c r="G1814" s="8" t="s">
        <v>20</v>
      </c>
      <c r="H1814" s="8" t="str">
        <f t="shared" si="43"/>
        <v>Night</v>
      </c>
      <c r="I1814" s="8" t="str">
        <f t="shared" si="44"/>
        <v>Sun</v>
      </c>
      <c r="J1814" s="8" t="str">
        <f t="shared" si="45"/>
        <v>Oct</v>
      </c>
      <c r="K1814" s="8">
        <f t="shared" si="46"/>
        <v>7</v>
      </c>
      <c r="L1814" s="8">
        <f t="shared" si="47"/>
        <v>10</v>
      </c>
    </row>
    <row r="1815" spans="1:12" x14ac:dyDescent="0.3">
      <c r="A1815" s="10">
        <v>45571</v>
      </c>
      <c r="B1815" s="11">
        <v>45571.774496157406</v>
      </c>
      <c r="C1815" s="12">
        <f t="shared" si="42"/>
        <v>18</v>
      </c>
      <c r="D1815" s="12" t="s">
        <v>4</v>
      </c>
      <c r="E1815" s="12" t="s">
        <v>742</v>
      </c>
      <c r="F1815" s="13">
        <v>35.76</v>
      </c>
      <c r="G1815" s="12" t="s">
        <v>15</v>
      </c>
      <c r="H1815" s="12" t="str">
        <f t="shared" si="43"/>
        <v>Night</v>
      </c>
      <c r="I1815" s="12" t="str">
        <f t="shared" si="44"/>
        <v>Sun</v>
      </c>
      <c r="J1815" s="12" t="str">
        <f t="shared" si="45"/>
        <v>Oct</v>
      </c>
      <c r="K1815" s="12">
        <f t="shared" si="46"/>
        <v>7</v>
      </c>
      <c r="L1815" s="12">
        <f t="shared" si="47"/>
        <v>10</v>
      </c>
    </row>
    <row r="1816" spans="1:12" x14ac:dyDescent="0.3">
      <c r="A1816" s="6">
        <v>45571</v>
      </c>
      <c r="B1816" s="7">
        <v>45571.881399178237</v>
      </c>
      <c r="C1816" s="8">
        <f t="shared" si="42"/>
        <v>21</v>
      </c>
      <c r="D1816" s="8" t="s">
        <v>4</v>
      </c>
      <c r="E1816" s="8" t="s">
        <v>743</v>
      </c>
      <c r="F1816" s="9">
        <v>35.76</v>
      </c>
      <c r="G1816" s="8" t="s">
        <v>15</v>
      </c>
      <c r="H1816" s="8" t="str">
        <f t="shared" si="43"/>
        <v>Night</v>
      </c>
      <c r="I1816" s="8" t="str">
        <f t="shared" si="44"/>
        <v>Sun</v>
      </c>
      <c r="J1816" s="8" t="str">
        <f t="shared" si="45"/>
        <v>Oct</v>
      </c>
      <c r="K1816" s="8">
        <f t="shared" si="46"/>
        <v>7</v>
      </c>
      <c r="L1816" s="8">
        <f t="shared" si="47"/>
        <v>10</v>
      </c>
    </row>
    <row r="1817" spans="1:12" x14ac:dyDescent="0.3">
      <c r="A1817" s="10">
        <v>45571</v>
      </c>
      <c r="B1817" s="11">
        <v>45571.881949953706</v>
      </c>
      <c r="C1817" s="12">
        <f t="shared" si="42"/>
        <v>21</v>
      </c>
      <c r="D1817" s="12" t="s">
        <v>4</v>
      </c>
      <c r="E1817" s="12" t="s">
        <v>743</v>
      </c>
      <c r="F1817" s="13">
        <v>35.76</v>
      </c>
      <c r="G1817" s="12" t="s">
        <v>15</v>
      </c>
      <c r="H1817" s="12" t="str">
        <f t="shared" si="43"/>
        <v>Night</v>
      </c>
      <c r="I1817" s="12" t="str">
        <f t="shared" si="44"/>
        <v>Sun</v>
      </c>
      <c r="J1817" s="12" t="str">
        <f t="shared" si="45"/>
        <v>Oct</v>
      </c>
      <c r="K1817" s="12">
        <f t="shared" si="46"/>
        <v>7</v>
      </c>
      <c r="L1817" s="12">
        <f t="shared" si="47"/>
        <v>10</v>
      </c>
    </row>
    <row r="1818" spans="1:12" x14ac:dyDescent="0.3">
      <c r="A1818" s="6">
        <v>45571</v>
      </c>
      <c r="B1818" s="7">
        <v>45571.882468217591</v>
      </c>
      <c r="C1818" s="8">
        <f t="shared" si="42"/>
        <v>21</v>
      </c>
      <c r="D1818" s="8" t="s">
        <v>4</v>
      </c>
      <c r="E1818" s="8" t="s">
        <v>656</v>
      </c>
      <c r="F1818" s="9">
        <v>35.76</v>
      </c>
      <c r="G1818" s="8" t="s">
        <v>15</v>
      </c>
      <c r="H1818" s="8" t="str">
        <f t="shared" si="43"/>
        <v>Night</v>
      </c>
      <c r="I1818" s="8" t="str">
        <f t="shared" si="44"/>
        <v>Sun</v>
      </c>
      <c r="J1818" s="8" t="str">
        <f t="shared" si="45"/>
        <v>Oct</v>
      </c>
      <c r="K1818" s="8">
        <f t="shared" si="46"/>
        <v>7</v>
      </c>
      <c r="L1818" s="8">
        <f t="shared" si="47"/>
        <v>10</v>
      </c>
    </row>
    <row r="1819" spans="1:12" x14ac:dyDescent="0.3">
      <c r="A1819" s="10">
        <v>45571</v>
      </c>
      <c r="B1819" s="11">
        <v>45571.886676805552</v>
      </c>
      <c r="C1819" s="12">
        <f t="shared" si="42"/>
        <v>21</v>
      </c>
      <c r="D1819" s="12" t="s">
        <v>4</v>
      </c>
      <c r="E1819" s="12" t="s">
        <v>657</v>
      </c>
      <c r="F1819" s="13">
        <v>35.76</v>
      </c>
      <c r="G1819" s="12" t="s">
        <v>13</v>
      </c>
      <c r="H1819" s="12" t="str">
        <f t="shared" si="43"/>
        <v>Night</v>
      </c>
      <c r="I1819" s="12" t="str">
        <f t="shared" si="44"/>
        <v>Sun</v>
      </c>
      <c r="J1819" s="12" t="str">
        <f t="shared" si="45"/>
        <v>Oct</v>
      </c>
      <c r="K1819" s="12">
        <f t="shared" si="46"/>
        <v>7</v>
      </c>
      <c r="L1819" s="12">
        <f t="shared" si="47"/>
        <v>10</v>
      </c>
    </row>
    <row r="1820" spans="1:12" x14ac:dyDescent="0.3">
      <c r="A1820" s="6">
        <v>45572</v>
      </c>
      <c r="B1820" s="7">
        <v>45572.356671562498</v>
      </c>
      <c r="C1820" s="8">
        <f t="shared" si="42"/>
        <v>8</v>
      </c>
      <c r="D1820" s="8" t="s">
        <v>4</v>
      </c>
      <c r="E1820" s="8" t="s">
        <v>744</v>
      </c>
      <c r="F1820" s="9">
        <v>35.76</v>
      </c>
      <c r="G1820" s="8" t="s">
        <v>13</v>
      </c>
      <c r="H1820" s="8" t="str">
        <f t="shared" si="43"/>
        <v>Morning</v>
      </c>
      <c r="I1820" s="8" t="str">
        <f t="shared" si="44"/>
        <v>Mon</v>
      </c>
      <c r="J1820" s="8" t="str">
        <f t="shared" si="45"/>
        <v>Oct</v>
      </c>
      <c r="K1820" s="8">
        <f t="shared" si="46"/>
        <v>1</v>
      </c>
      <c r="L1820" s="8">
        <f t="shared" si="47"/>
        <v>10</v>
      </c>
    </row>
    <row r="1821" spans="1:12" x14ac:dyDescent="0.3">
      <c r="A1821" s="10">
        <v>45572</v>
      </c>
      <c r="B1821" s="11">
        <v>45572.367783298614</v>
      </c>
      <c r="C1821" s="12">
        <f t="shared" si="42"/>
        <v>8</v>
      </c>
      <c r="D1821" s="12" t="s">
        <v>4</v>
      </c>
      <c r="E1821" s="12" t="s">
        <v>405</v>
      </c>
      <c r="F1821" s="13">
        <v>35.76</v>
      </c>
      <c r="G1821" s="12" t="s">
        <v>13</v>
      </c>
      <c r="H1821" s="12" t="str">
        <f t="shared" si="43"/>
        <v>Morning</v>
      </c>
      <c r="I1821" s="12" t="str">
        <f t="shared" si="44"/>
        <v>Mon</v>
      </c>
      <c r="J1821" s="12" t="str">
        <f t="shared" si="45"/>
        <v>Oct</v>
      </c>
      <c r="K1821" s="12">
        <f t="shared" si="46"/>
        <v>1</v>
      </c>
      <c r="L1821" s="12">
        <f t="shared" si="47"/>
        <v>10</v>
      </c>
    </row>
    <row r="1822" spans="1:12" x14ac:dyDescent="0.3">
      <c r="A1822" s="6">
        <v>45572</v>
      </c>
      <c r="B1822" s="7">
        <v>45572.368537824077</v>
      </c>
      <c r="C1822" s="8">
        <f t="shared" si="42"/>
        <v>8</v>
      </c>
      <c r="D1822" s="8" t="s">
        <v>4</v>
      </c>
      <c r="E1822" s="8" t="s">
        <v>405</v>
      </c>
      <c r="F1822" s="9">
        <v>30.86</v>
      </c>
      <c r="G1822" s="8" t="s">
        <v>20</v>
      </c>
      <c r="H1822" s="8" t="str">
        <f t="shared" si="43"/>
        <v>Morning</v>
      </c>
      <c r="I1822" s="8" t="str">
        <f t="shared" si="44"/>
        <v>Mon</v>
      </c>
      <c r="J1822" s="8" t="str">
        <f t="shared" si="45"/>
        <v>Oct</v>
      </c>
      <c r="K1822" s="8">
        <f t="shared" si="46"/>
        <v>1</v>
      </c>
      <c r="L1822" s="8">
        <f t="shared" si="47"/>
        <v>10</v>
      </c>
    </row>
    <row r="1823" spans="1:12" x14ac:dyDescent="0.3">
      <c r="A1823" s="10">
        <v>45572</v>
      </c>
      <c r="B1823" s="11">
        <v>45572.378797349535</v>
      </c>
      <c r="C1823" s="12">
        <f t="shared" si="42"/>
        <v>9</v>
      </c>
      <c r="D1823" s="12" t="s">
        <v>4</v>
      </c>
      <c r="E1823" s="12" t="s">
        <v>745</v>
      </c>
      <c r="F1823" s="13">
        <v>35.76</v>
      </c>
      <c r="G1823" s="12" t="s">
        <v>24</v>
      </c>
      <c r="H1823" s="12" t="str">
        <f t="shared" si="43"/>
        <v>Morning</v>
      </c>
      <c r="I1823" s="12" t="str">
        <f t="shared" si="44"/>
        <v>Mon</v>
      </c>
      <c r="J1823" s="12" t="str">
        <f t="shared" si="45"/>
        <v>Oct</v>
      </c>
      <c r="K1823" s="12">
        <f t="shared" si="46"/>
        <v>1</v>
      </c>
      <c r="L1823" s="12">
        <f t="shared" si="47"/>
        <v>10</v>
      </c>
    </row>
    <row r="1824" spans="1:12" x14ac:dyDescent="0.3">
      <c r="A1824" s="6">
        <v>45572</v>
      </c>
      <c r="B1824" s="7">
        <v>45572.381925034722</v>
      </c>
      <c r="C1824" s="8">
        <f t="shared" si="42"/>
        <v>9</v>
      </c>
      <c r="D1824" s="8" t="s">
        <v>4</v>
      </c>
      <c r="E1824" s="8" t="s">
        <v>746</v>
      </c>
      <c r="F1824" s="9">
        <v>35.76</v>
      </c>
      <c r="G1824" s="8" t="s">
        <v>13</v>
      </c>
      <c r="H1824" s="8" t="str">
        <f t="shared" si="43"/>
        <v>Morning</v>
      </c>
      <c r="I1824" s="8" t="str">
        <f t="shared" si="44"/>
        <v>Mon</v>
      </c>
      <c r="J1824" s="8" t="str">
        <f t="shared" si="45"/>
        <v>Oct</v>
      </c>
      <c r="K1824" s="8">
        <f t="shared" si="46"/>
        <v>1</v>
      </c>
      <c r="L1824" s="8">
        <f t="shared" si="47"/>
        <v>10</v>
      </c>
    </row>
    <row r="1825" spans="1:12" x14ac:dyDescent="0.3">
      <c r="A1825" s="10">
        <v>45572</v>
      </c>
      <c r="B1825" s="11">
        <v>45572.512462002313</v>
      </c>
      <c r="C1825" s="12">
        <f t="shared" si="42"/>
        <v>12</v>
      </c>
      <c r="D1825" s="12" t="s">
        <v>4</v>
      </c>
      <c r="E1825" s="12" t="s">
        <v>747</v>
      </c>
      <c r="F1825" s="13">
        <v>30.86</v>
      </c>
      <c r="G1825" s="12" t="s">
        <v>20</v>
      </c>
      <c r="H1825" s="12" t="str">
        <f t="shared" si="43"/>
        <v>Afternoon</v>
      </c>
      <c r="I1825" s="12" t="str">
        <f t="shared" si="44"/>
        <v>Mon</v>
      </c>
      <c r="J1825" s="12" t="str">
        <f t="shared" si="45"/>
        <v>Oct</v>
      </c>
      <c r="K1825" s="12">
        <f t="shared" si="46"/>
        <v>1</v>
      </c>
      <c r="L1825" s="12">
        <f t="shared" si="47"/>
        <v>10</v>
      </c>
    </row>
    <row r="1826" spans="1:12" x14ac:dyDescent="0.3">
      <c r="A1826" s="6">
        <v>45572</v>
      </c>
      <c r="B1826" s="7">
        <v>45572.605384930554</v>
      </c>
      <c r="C1826" s="8">
        <f t="shared" si="42"/>
        <v>14</v>
      </c>
      <c r="D1826" s="8" t="s">
        <v>4</v>
      </c>
      <c r="E1826" s="8" t="s">
        <v>748</v>
      </c>
      <c r="F1826" s="9">
        <v>25.96</v>
      </c>
      <c r="G1826" s="8" t="s">
        <v>17</v>
      </c>
      <c r="H1826" s="8" t="str">
        <f t="shared" si="43"/>
        <v>Afternoon</v>
      </c>
      <c r="I1826" s="8" t="str">
        <f t="shared" si="44"/>
        <v>Mon</v>
      </c>
      <c r="J1826" s="8" t="str">
        <f t="shared" si="45"/>
        <v>Oct</v>
      </c>
      <c r="K1826" s="8">
        <f t="shared" si="46"/>
        <v>1</v>
      </c>
      <c r="L1826" s="8">
        <f t="shared" si="47"/>
        <v>10</v>
      </c>
    </row>
    <row r="1827" spans="1:12" x14ac:dyDescent="0.3">
      <c r="A1827" s="10">
        <v>45572</v>
      </c>
      <c r="B1827" s="11">
        <v>45572.606004224537</v>
      </c>
      <c r="C1827" s="12">
        <f t="shared" si="42"/>
        <v>14</v>
      </c>
      <c r="D1827" s="12" t="s">
        <v>4</v>
      </c>
      <c r="E1827" s="12" t="s">
        <v>748</v>
      </c>
      <c r="F1827" s="13">
        <v>25.96</v>
      </c>
      <c r="G1827" s="12" t="s">
        <v>17</v>
      </c>
      <c r="H1827" s="12" t="str">
        <f t="shared" si="43"/>
        <v>Afternoon</v>
      </c>
      <c r="I1827" s="12" t="str">
        <f t="shared" si="44"/>
        <v>Mon</v>
      </c>
      <c r="J1827" s="12" t="str">
        <f t="shared" si="45"/>
        <v>Oct</v>
      </c>
      <c r="K1827" s="12">
        <f t="shared" si="46"/>
        <v>1</v>
      </c>
      <c r="L1827" s="12">
        <f t="shared" si="47"/>
        <v>10</v>
      </c>
    </row>
    <row r="1828" spans="1:12" x14ac:dyDescent="0.3">
      <c r="A1828" s="6">
        <v>45572</v>
      </c>
      <c r="B1828" s="7">
        <v>45572.742303310188</v>
      </c>
      <c r="C1828" s="8">
        <f t="shared" si="42"/>
        <v>17</v>
      </c>
      <c r="D1828" s="8" t="s">
        <v>4</v>
      </c>
      <c r="E1828" s="8" t="s">
        <v>514</v>
      </c>
      <c r="F1828" s="9">
        <v>35.76</v>
      </c>
      <c r="G1828" s="8" t="s">
        <v>13</v>
      </c>
      <c r="H1828" s="8" t="str">
        <f t="shared" si="43"/>
        <v>Night</v>
      </c>
      <c r="I1828" s="8" t="str">
        <f t="shared" si="44"/>
        <v>Mon</v>
      </c>
      <c r="J1828" s="8" t="str">
        <f t="shared" si="45"/>
        <v>Oct</v>
      </c>
      <c r="K1828" s="8">
        <f t="shared" si="46"/>
        <v>1</v>
      </c>
      <c r="L1828" s="8">
        <f t="shared" si="47"/>
        <v>10</v>
      </c>
    </row>
    <row r="1829" spans="1:12" x14ac:dyDescent="0.3">
      <c r="A1829" s="10">
        <v>45572</v>
      </c>
      <c r="B1829" s="11">
        <v>45572.885209837965</v>
      </c>
      <c r="C1829" s="12">
        <f t="shared" si="42"/>
        <v>21</v>
      </c>
      <c r="D1829" s="12" t="s">
        <v>4</v>
      </c>
      <c r="E1829" s="12" t="s">
        <v>656</v>
      </c>
      <c r="F1829" s="13">
        <v>35.76</v>
      </c>
      <c r="G1829" s="12" t="s">
        <v>15</v>
      </c>
      <c r="H1829" s="12" t="str">
        <f t="shared" si="43"/>
        <v>Night</v>
      </c>
      <c r="I1829" s="12" t="str">
        <f t="shared" si="44"/>
        <v>Mon</v>
      </c>
      <c r="J1829" s="12" t="str">
        <f t="shared" si="45"/>
        <v>Oct</v>
      </c>
      <c r="K1829" s="12">
        <f t="shared" si="46"/>
        <v>1</v>
      </c>
      <c r="L1829" s="12">
        <f t="shared" si="47"/>
        <v>10</v>
      </c>
    </row>
    <row r="1830" spans="1:12" x14ac:dyDescent="0.3">
      <c r="A1830" s="6">
        <v>45572</v>
      </c>
      <c r="B1830" s="7">
        <v>45572.885649560187</v>
      </c>
      <c r="C1830" s="8">
        <f t="shared" si="42"/>
        <v>21</v>
      </c>
      <c r="D1830" s="8" t="s">
        <v>4</v>
      </c>
      <c r="E1830" s="8" t="s">
        <v>656</v>
      </c>
      <c r="F1830" s="9">
        <v>35.76</v>
      </c>
      <c r="G1830" s="8" t="s">
        <v>15</v>
      </c>
      <c r="H1830" s="8" t="str">
        <f t="shared" si="43"/>
        <v>Night</v>
      </c>
      <c r="I1830" s="8" t="str">
        <f t="shared" si="44"/>
        <v>Mon</v>
      </c>
      <c r="J1830" s="8" t="str">
        <f t="shared" si="45"/>
        <v>Oct</v>
      </c>
      <c r="K1830" s="8">
        <f t="shared" si="46"/>
        <v>1</v>
      </c>
      <c r="L1830" s="8">
        <f t="shared" si="47"/>
        <v>10</v>
      </c>
    </row>
    <row r="1831" spans="1:12" x14ac:dyDescent="0.3">
      <c r="A1831" s="10">
        <v>45572</v>
      </c>
      <c r="B1831" s="11">
        <v>45572.903339293982</v>
      </c>
      <c r="C1831" s="12">
        <f t="shared" si="42"/>
        <v>21</v>
      </c>
      <c r="D1831" s="12" t="s">
        <v>4</v>
      </c>
      <c r="E1831" s="12" t="s">
        <v>618</v>
      </c>
      <c r="F1831" s="13">
        <v>35.76</v>
      </c>
      <c r="G1831" s="12" t="s">
        <v>13</v>
      </c>
      <c r="H1831" s="12" t="str">
        <f t="shared" si="43"/>
        <v>Night</v>
      </c>
      <c r="I1831" s="12" t="str">
        <f t="shared" si="44"/>
        <v>Mon</v>
      </c>
      <c r="J1831" s="12" t="str">
        <f t="shared" si="45"/>
        <v>Oct</v>
      </c>
      <c r="K1831" s="12">
        <f t="shared" si="46"/>
        <v>1</v>
      </c>
      <c r="L1831" s="12">
        <f t="shared" si="47"/>
        <v>10</v>
      </c>
    </row>
    <row r="1832" spans="1:12" x14ac:dyDescent="0.3">
      <c r="A1832" s="6">
        <v>45573</v>
      </c>
      <c r="B1832" s="7">
        <v>45573.341561157409</v>
      </c>
      <c r="C1832" s="8">
        <f t="shared" si="42"/>
        <v>8</v>
      </c>
      <c r="D1832" s="8" t="s">
        <v>4</v>
      </c>
      <c r="E1832" s="8" t="s">
        <v>723</v>
      </c>
      <c r="F1832" s="9">
        <v>35.76</v>
      </c>
      <c r="G1832" s="8" t="s">
        <v>13</v>
      </c>
      <c r="H1832" s="8" t="str">
        <f t="shared" si="43"/>
        <v>Morning</v>
      </c>
      <c r="I1832" s="8" t="str">
        <f t="shared" si="44"/>
        <v>Tue</v>
      </c>
      <c r="J1832" s="8" t="str">
        <f t="shared" si="45"/>
        <v>Oct</v>
      </c>
      <c r="K1832" s="8">
        <f t="shared" si="46"/>
        <v>2</v>
      </c>
      <c r="L1832" s="8">
        <f t="shared" si="47"/>
        <v>10</v>
      </c>
    </row>
    <row r="1833" spans="1:12" x14ac:dyDescent="0.3">
      <c r="A1833" s="10">
        <v>45573</v>
      </c>
      <c r="B1833" s="11">
        <v>45573.37863457176</v>
      </c>
      <c r="C1833" s="12">
        <f t="shared" si="42"/>
        <v>9</v>
      </c>
      <c r="D1833" s="12" t="s">
        <v>4</v>
      </c>
      <c r="E1833" s="12" t="s">
        <v>296</v>
      </c>
      <c r="F1833" s="13">
        <v>30.86</v>
      </c>
      <c r="G1833" s="12" t="s">
        <v>20</v>
      </c>
      <c r="H1833" s="12" t="str">
        <f t="shared" si="43"/>
        <v>Morning</v>
      </c>
      <c r="I1833" s="12" t="str">
        <f t="shared" si="44"/>
        <v>Tue</v>
      </c>
      <c r="J1833" s="12" t="str">
        <f t="shared" si="45"/>
        <v>Oct</v>
      </c>
      <c r="K1833" s="12">
        <f t="shared" si="46"/>
        <v>2</v>
      </c>
      <c r="L1833" s="12">
        <f t="shared" si="47"/>
        <v>10</v>
      </c>
    </row>
    <row r="1834" spans="1:12" x14ac:dyDescent="0.3">
      <c r="A1834" s="6">
        <v>45573</v>
      </c>
      <c r="B1834" s="7">
        <v>45573.432307569441</v>
      </c>
      <c r="C1834" s="8">
        <f t="shared" si="42"/>
        <v>10</v>
      </c>
      <c r="D1834" s="8" t="s">
        <v>4</v>
      </c>
      <c r="E1834" s="8" t="s">
        <v>720</v>
      </c>
      <c r="F1834" s="9">
        <v>25.96</v>
      </c>
      <c r="G1834" s="8" t="s">
        <v>17</v>
      </c>
      <c r="H1834" s="8" t="str">
        <f t="shared" si="43"/>
        <v>Morning</v>
      </c>
      <c r="I1834" s="8" t="str">
        <f t="shared" si="44"/>
        <v>Tue</v>
      </c>
      <c r="J1834" s="8" t="str">
        <f t="shared" si="45"/>
        <v>Oct</v>
      </c>
      <c r="K1834" s="8">
        <f t="shared" si="46"/>
        <v>2</v>
      </c>
      <c r="L1834" s="8">
        <f t="shared" si="47"/>
        <v>10</v>
      </c>
    </row>
    <row r="1835" spans="1:12" x14ac:dyDescent="0.3">
      <c r="A1835" s="10">
        <v>45573</v>
      </c>
      <c r="B1835" s="11">
        <v>45573.435518715276</v>
      </c>
      <c r="C1835" s="12">
        <f t="shared" si="42"/>
        <v>10</v>
      </c>
      <c r="D1835" s="12" t="s">
        <v>4</v>
      </c>
      <c r="E1835" s="12" t="s">
        <v>703</v>
      </c>
      <c r="F1835" s="13">
        <v>35.76</v>
      </c>
      <c r="G1835" s="12" t="s">
        <v>13</v>
      </c>
      <c r="H1835" s="12" t="str">
        <f t="shared" si="43"/>
        <v>Morning</v>
      </c>
      <c r="I1835" s="12" t="str">
        <f t="shared" si="44"/>
        <v>Tue</v>
      </c>
      <c r="J1835" s="12" t="str">
        <f t="shared" si="45"/>
        <v>Oct</v>
      </c>
      <c r="K1835" s="12">
        <f t="shared" si="46"/>
        <v>2</v>
      </c>
      <c r="L1835" s="12">
        <f t="shared" si="47"/>
        <v>10</v>
      </c>
    </row>
    <row r="1836" spans="1:12" x14ac:dyDescent="0.3">
      <c r="A1836" s="6">
        <v>45573</v>
      </c>
      <c r="B1836" s="7">
        <v>45573.479285335648</v>
      </c>
      <c r="C1836" s="8">
        <f t="shared" si="42"/>
        <v>11</v>
      </c>
      <c r="D1836" s="8" t="s">
        <v>4</v>
      </c>
      <c r="E1836" s="8" t="s">
        <v>746</v>
      </c>
      <c r="F1836" s="9">
        <v>35.76</v>
      </c>
      <c r="G1836" s="8" t="s">
        <v>13</v>
      </c>
      <c r="H1836" s="8" t="str">
        <f t="shared" si="43"/>
        <v>Morning</v>
      </c>
      <c r="I1836" s="8" t="str">
        <f t="shared" si="44"/>
        <v>Tue</v>
      </c>
      <c r="J1836" s="8" t="str">
        <f t="shared" si="45"/>
        <v>Oct</v>
      </c>
      <c r="K1836" s="8">
        <f t="shared" si="46"/>
        <v>2</v>
      </c>
      <c r="L1836" s="8">
        <f t="shared" si="47"/>
        <v>10</v>
      </c>
    </row>
    <row r="1837" spans="1:12" x14ac:dyDescent="0.3">
      <c r="A1837" s="10">
        <v>45573</v>
      </c>
      <c r="B1837" s="11">
        <v>45573.533385648145</v>
      </c>
      <c r="C1837" s="12">
        <f t="shared" si="42"/>
        <v>12</v>
      </c>
      <c r="D1837" s="12" t="s">
        <v>4</v>
      </c>
      <c r="E1837" s="12" t="s">
        <v>245</v>
      </c>
      <c r="F1837" s="13">
        <v>25.96</v>
      </c>
      <c r="G1837" s="12" t="s">
        <v>17</v>
      </c>
      <c r="H1837" s="12" t="str">
        <f t="shared" si="43"/>
        <v>Afternoon</v>
      </c>
      <c r="I1837" s="12" t="str">
        <f t="shared" si="44"/>
        <v>Tue</v>
      </c>
      <c r="J1837" s="12" t="str">
        <f t="shared" si="45"/>
        <v>Oct</v>
      </c>
      <c r="K1837" s="12">
        <f t="shared" si="46"/>
        <v>2</v>
      </c>
      <c r="L1837" s="12">
        <f t="shared" si="47"/>
        <v>10</v>
      </c>
    </row>
    <row r="1838" spans="1:12" x14ac:dyDescent="0.3">
      <c r="A1838" s="6">
        <v>45573</v>
      </c>
      <c r="B1838" s="7">
        <v>45573.534080798614</v>
      </c>
      <c r="C1838" s="8">
        <f t="shared" si="42"/>
        <v>12</v>
      </c>
      <c r="D1838" s="8" t="s">
        <v>4</v>
      </c>
      <c r="E1838" s="8" t="s">
        <v>245</v>
      </c>
      <c r="F1838" s="9">
        <v>25.96</v>
      </c>
      <c r="G1838" s="8" t="s">
        <v>17</v>
      </c>
      <c r="H1838" s="8" t="str">
        <f t="shared" si="43"/>
        <v>Afternoon</v>
      </c>
      <c r="I1838" s="8" t="str">
        <f t="shared" si="44"/>
        <v>Tue</v>
      </c>
      <c r="J1838" s="8" t="str">
        <f t="shared" si="45"/>
        <v>Oct</v>
      </c>
      <c r="K1838" s="8">
        <f t="shared" si="46"/>
        <v>2</v>
      </c>
      <c r="L1838" s="8">
        <f t="shared" si="47"/>
        <v>10</v>
      </c>
    </row>
    <row r="1839" spans="1:12" x14ac:dyDescent="0.3">
      <c r="A1839" s="10">
        <v>45573</v>
      </c>
      <c r="B1839" s="11">
        <v>45573.544454918978</v>
      </c>
      <c r="C1839" s="12">
        <f t="shared" si="42"/>
        <v>13</v>
      </c>
      <c r="D1839" s="12" t="s">
        <v>4</v>
      </c>
      <c r="E1839" s="12" t="s">
        <v>749</v>
      </c>
      <c r="F1839" s="13">
        <v>35.76</v>
      </c>
      <c r="G1839" s="12" t="s">
        <v>13</v>
      </c>
      <c r="H1839" s="12" t="str">
        <f t="shared" si="43"/>
        <v>Afternoon</v>
      </c>
      <c r="I1839" s="12" t="str">
        <f t="shared" si="44"/>
        <v>Tue</v>
      </c>
      <c r="J1839" s="12" t="str">
        <f t="shared" si="45"/>
        <v>Oct</v>
      </c>
      <c r="K1839" s="12">
        <f t="shared" si="46"/>
        <v>2</v>
      </c>
      <c r="L1839" s="12">
        <f t="shared" si="47"/>
        <v>10</v>
      </c>
    </row>
    <row r="1840" spans="1:12" x14ac:dyDescent="0.3">
      <c r="A1840" s="6">
        <v>45573</v>
      </c>
      <c r="B1840" s="7">
        <v>45573.545132453706</v>
      </c>
      <c r="C1840" s="8">
        <f t="shared" si="42"/>
        <v>13</v>
      </c>
      <c r="D1840" s="8" t="s">
        <v>4</v>
      </c>
      <c r="E1840" s="8" t="s">
        <v>749</v>
      </c>
      <c r="F1840" s="9">
        <v>35.76</v>
      </c>
      <c r="G1840" s="8" t="s">
        <v>13</v>
      </c>
      <c r="H1840" s="8" t="str">
        <f t="shared" si="43"/>
        <v>Afternoon</v>
      </c>
      <c r="I1840" s="8" t="str">
        <f t="shared" si="44"/>
        <v>Tue</v>
      </c>
      <c r="J1840" s="8" t="str">
        <f t="shared" si="45"/>
        <v>Oct</v>
      </c>
      <c r="K1840" s="8">
        <f t="shared" si="46"/>
        <v>2</v>
      </c>
      <c r="L1840" s="8">
        <f t="shared" si="47"/>
        <v>10</v>
      </c>
    </row>
    <row r="1841" spans="1:12" x14ac:dyDescent="0.3">
      <c r="A1841" s="10">
        <v>45573</v>
      </c>
      <c r="B1841" s="11">
        <v>45573.613106770834</v>
      </c>
      <c r="C1841" s="12">
        <f t="shared" si="42"/>
        <v>14</v>
      </c>
      <c r="D1841" s="12" t="s">
        <v>4</v>
      </c>
      <c r="E1841" s="12" t="s">
        <v>527</v>
      </c>
      <c r="F1841" s="13">
        <v>35.76</v>
      </c>
      <c r="G1841" s="12" t="s">
        <v>13</v>
      </c>
      <c r="H1841" s="12" t="str">
        <f t="shared" si="43"/>
        <v>Afternoon</v>
      </c>
      <c r="I1841" s="12" t="str">
        <f t="shared" si="44"/>
        <v>Tue</v>
      </c>
      <c r="J1841" s="12" t="str">
        <f t="shared" si="45"/>
        <v>Oct</v>
      </c>
      <c r="K1841" s="12">
        <f t="shared" si="46"/>
        <v>2</v>
      </c>
      <c r="L1841" s="12">
        <f t="shared" si="47"/>
        <v>10</v>
      </c>
    </row>
    <row r="1842" spans="1:12" x14ac:dyDescent="0.3">
      <c r="A1842" s="6">
        <v>45573</v>
      </c>
      <c r="B1842" s="7">
        <v>45573.634504050926</v>
      </c>
      <c r="C1842" s="8">
        <f t="shared" si="42"/>
        <v>15</v>
      </c>
      <c r="D1842" s="8" t="s">
        <v>4</v>
      </c>
      <c r="E1842" s="8" t="s">
        <v>495</v>
      </c>
      <c r="F1842" s="9">
        <v>35.76</v>
      </c>
      <c r="G1842" s="8" t="s">
        <v>13</v>
      </c>
      <c r="H1842" s="8" t="str">
        <f t="shared" si="43"/>
        <v>Afternoon</v>
      </c>
      <c r="I1842" s="8" t="str">
        <f t="shared" si="44"/>
        <v>Tue</v>
      </c>
      <c r="J1842" s="8" t="str">
        <f t="shared" si="45"/>
        <v>Oct</v>
      </c>
      <c r="K1842" s="8">
        <f t="shared" si="46"/>
        <v>2</v>
      </c>
      <c r="L1842" s="8">
        <f t="shared" si="47"/>
        <v>10</v>
      </c>
    </row>
    <row r="1843" spans="1:12" x14ac:dyDescent="0.3">
      <c r="A1843" s="10">
        <v>45573</v>
      </c>
      <c r="B1843" s="11">
        <v>45573.638797488427</v>
      </c>
      <c r="C1843" s="12">
        <f t="shared" si="42"/>
        <v>15</v>
      </c>
      <c r="D1843" s="12" t="s">
        <v>4</v>
      </c>
      <c r="E1843" s="12" t="s">
        <v>70</v>
      </c>
      <c r="F1843" s="13">
        <v>25.96</v>
      </c>
      <c r="G1843" s="12" t="s">
        <v>17</v>
      </c>
      <c r="H1843" s="12" t="str">
        <f t="shared" si="43"/>
        <v>Afternoon</v>
      </c>
      <c r="I1843" s="12" t="str">
        <f t="shared" si="44"/>
        <v>Tue</v>
      </c>
      <c r="J1843" s="12" t="str">
        <f t="shared" si="45"/>
        <v>Oct</v>
      </c>
      <c r="K1843" s="12">
        <f t="shared" si="46"/>
        <v>2</v>
      </c>
      <c r="L1843" s="12">
        <f t="shared" si="47"/>
        <v>10</v>
      </c>
    </row>
    <row r="1844" spans="1:12" x14ac:dyDescent="0.3">
      <c r="A1844" s="6">
        <v>45573</v>
      </c>
      <c r="B1844" s="7">
        <v>45573.660221319442</v>
      </c>
      <c r="C1844" s="8">
        <f t="shared" si="42"/>
        <v>15</v>
      </c>
      <c r="D1844" s="8" t="s">
        <v>4</v>
      </c>
      <c r="E1844" s="8" t="s">
        <v>750</v>
      </c>
      <c r="F1844" s="9">
        <v>30.86</v>
      </c>
      <c r="G1844" s="8" t="s">
        <v>20</v>
      </c>
      <c r="H1844" s="8" t="str">
        <f t="shared" si="43"/>
        <v>Afternoon</v>
      </c>
      <c r="I1844" s="8" t="str">
        <f t="shared" si="44"/>
        <v>Tue</v>
      </c>
      <c r="J1844" s="8" t="str">
        <f t="shared" si="45"/>
        <v>Oct</v>
      </c>
      <c r="K1844" s="8">
        <f t="shared" si="46"/>
        <v>2</v>
      </c>
      <c r="L1844" s="8">
        <f t="shared" si="47"/>
        <v>10</v>
      </c>
    </row>
    <row r="1845" spans="1:12" x14ac:dyDescent="0.3">
      <c r="A1845" s="10">
        <v>45573</v>
      </c>
      <c r="B1845" s="11">
        <v>45573.861579386576</v>
      </c>
      <c r="C1845" s="12">
        <f t="shared" si="42"/>
        <v>20</v>
      </c>
      <c r="D1845" s="12" t="s">
        <v>4</v>
      </c>
      <c r="E1845" s="12" t="s">
        <v>751</v>
      </c>
      <c r="F1845" s="13">
        <v>35.76</v>
      </c>
      <c r="G1845" s="12" t="s">
        <v>15</v>
      </c>
      <c r="H1845" s="12" t="str">
        <f t="shared" si="43"/>
        <v>Night</v>
      </c>
      <c r="I1845" s="12" t="str">
        <f t="shared" si="44"/>
        <v>Tue</v>
      </c>
      <c r="J1845" s="12" t="str">
        <f t="shared" si="45"/>
        <v>Oct</v>
      </c>
      <c r="K1845" s="12">
        <f t="shared" si="46"/>
        <v>2</v>
      </c>
      <c r="L1845" s="12">
        <f t="shared" si="47"/>
        <v>10</v>
      </c>
    </row>
    <row r="1846" spans="1:12" x14ac:dyDescent="0.3">
      <c r="A1846" s="6">
        <v>45573</v>
      </c>
      <c r="B1846" s="7">
        <v>45573.862192870372</v>
      </c>
      <c r="C1846" s="8">
        <f t="shared" si="42"/>
        <v>20</v>
      </c>
      <c r="D1846" s="8" t="s">
        <v>4</v>
      </c>
      <c r="E1846" s="8" t="s">
        <v>751</v>
      </c>
      <c r="F1846" s="9">
        <v>35.76</v>
      </c>
      <c r="G1846" s="8" t="s">
        <v>49</v>
      </c>
      <c r="H1846" s="8" t="str">
        <f t="shared" si="43"/>
        <v>Night</v>
      </c>
      <c r="I1846" s="8" t="str">
        <f t="shared" si="44"/>
        <v>Tue</v>
      </c>
      <c r="J1846" s="8" t="str">
        <f t="shared" si="45"/>
        <v>Oct</v>
      </c>
      <c r="K1846" s="8">
        <f t="shared" si="46"/>
        <v>2</v>
      </c>
      <c r="L1846" s="8">
        <f t="shared" si="47"/>
        <v>10</v>
      </c>
    </row>
    <row r="1847" spans="1:12" x14ac:dyDescent="0.3">
      <c r="A1847" s="10">
        <v>45573</v>
      </c>
      <c r="B1847" s="11">
        <v>45573.868850949075</v>
      </c>
      <c r="C1847" s="12">
        <f t="shared" si="42"/>
        <v>20</v>
      </c>
      <c r="D1847" s="12" t="s">
        <v>4</v>
      </c>
      <c r="E1847" s="12" t="s">
        <v>752</v>
      </c>
      <c r="F1847" s="13">
        <v>35.76</v>
      </c>
      <c r="G1847" s="12" t="s">
        <v>13</v>
      </c>
      <c r="H1847" s="12" t="str">
        <f t="shared" si="43"/>
        <v>Night</v>
      </c>
      <c r="I1847" s="12" t="str">
        <f t="shared" si="44"/>
        <v>Tue</v>
      </c>
      <c r="J1847" s="12" t="str">
        <f t="shared" si="45"/>
        <v>Oct</v>
      </c>
      <c r="K1847" s="12">
        <f t="shared" si="46"/>
        <v>2</v>
      </c>
      <c r="L1847" s="12">
        <f t="shared" si="47"/>
        <v>10</v>
      </c>
    </row>
    <row r="1848" spans="1:12" x14ac:dyDescent="0.3">
      <c r="A1848" s="6">
        <v>45573</v>
      </c>
      <c r="B1848" s="7">
        <v>45573.892037465281</v>
      </c>
      <c r="C1848" s="8">
        <f t="shared" si="42"/>
        <v>21</v>
      </c>
      <c r="D1848" s="8" t="s">
        <v>4</v>
      </c>
      <c r="E1848" s="8" t="s">
        <v>60</v>
      </c>
      <c r="F1848" s="9">
        <v>30.86</v>
      </c>
      <c r="G1848" s="8" t="s">
        <v>20</v>
      </c>
      <c r="H1848" s="8" t="str">
        <f t="shared" si="43"/>
        <v>Night</v>
      </c>
      <c r="I1848" s="8" t="str">
        <f t="shared" si="44"/>
        <v>Tue</v>
      </c>
      <c r="J1848" s="8" t="str">
        <f t="shared" si="45"/>
        <v>Oct</v>
      </c>
      <c r="K1848" s="8">
        <f t="shared" si="46"/>
        <v>2</v>
      </c>
      <c r="L1848" s="8">
        <f t="shared" si="47"/>
        <v>10</v>
      </c>
    </row>
    <row r="1849" spans="1:12" x14ac:dyDescent="0.3">
      <c r="A1849" s="10">
        <v>45573</v>
      </c>
      <c r="B1849" s="11">
        <v>45573.892731481479</v>
      </c>
      <c r="C1849" s="12">
        <f t="shared" si="42"/>
        <v>21</v>
      </c>
      <c r="D1849" s="12" t="s">
        <v>4</v>
      </c>
      <c r="E1849" s="12" t="s">
        <v>60</v>
      </c>
      <c r="F1849" s="13">
        <v>30.86</v>
      </c>
      <c r="G1849" s="12" t="s">
        <v>20</v>
      </c>
      <c r="H1849" s="12" t="str">
        <f t="shared" si="43"/>
        <v>Night</v>
      </c>
      <c r="I1849" s="12" t="str">
        <f t="shared" si="44"/>
        <v>Tue</v>
      </c>
      <c r="J1849" s="12" t="str">
        <f t="shared" si="45"/>
        <v>Oct</v>
      </c>
      <c r="K1849" s="12">
        <f t="shared" si="46"/>
        <v>2</v>
      </c>
      <c r="L1849" s="12">
        <f t="shared" si="47"/>
        <v>10</v>
      </c>
    </row>
    <row r="1850" spans="1:12" x14ac:dyDescent="0.3">
      <c r="A1850" s="6">
        <v>45574</v>
      </c>
      <c r="B1850" s="7">
        <v>45574.329659710646</v>
      </c>
      <c r="C1850" s="8">
        <f t="shared" si="42"/>
        <v>7</v>
      </c>
      <c r="D1850" s="8" t="s">
        <v>4</v>
      </c>
      <c r="E1850" s="8" t="s">
        <v>590</v>
      </c>
      <c r="F1850" s="9">
        <v>35.76</v>
      </c>
      <c r="G1850" s="8" t="s">
        <v>13</v>
      </c>
      <c r="H1850" s="8" t="str">
        <f t="shared" si="43"/>
        <v>Morning</v>
      </c>
      <c r="I1850" s="8" t="str">
        <f t="shared" si="44"/>
        <v>Wed</v>
      </c>
      <c r="J1850" s="8" t="str">
        <f t="shared" si="45"/>
        <v>Oct</v>
      </c>
      <c r="K1850" s="8">
        <f t="shared" si="46"/>
        <v>3</v>
      </c>
      <c r="L1850" s="8">
        <f t="shared" si="47"/>
        <v>10</v>
      </c>
    </row>
    <row r="1851" spans="1:12" x14ac:dyDescent="0.3">
      <c r="A1851" s="10">
        <v>45574</v>
      </c>
      <c r="B1851" s="11">
        <v>45574.351360057874</v>
      </c>
      <c r="C1851" s="12">
        <f t="shared" si="42"/>
        <v>8</v>
      </c>
      <c r="D1851" s="12" t="s">
        <v>4</v>
      </c>
      <c r="E1851" s="12" t="s">
        <v>296</v>
      </c>
      <c r="F1851" s="13">
        <v>30.86</v>
      </c>
      <c r="G1851" s="12" t="s">
        <v>20</v>
      </c>
      <c r="H1851" s="12" t="str">
        <f t="shared" si="43"/>
        <v>Morning</v>
      </c>
      <c r="I1851" s="12" t="str">
        <f t="shared" si="44"/>
        <v>Wed</v>
      </c>
      <c r="J1851" s="12" t="str">
        <f t="shared" si="45"/>
        <v>Oct</v>
      </c>
      <c r="K1851" s="12">
        <f t="shared" si="46"/>
        <v>3</v>
      </c>
      <c r="L1851" s="12">
        <f t="shared" si="47"/>
        <v>10</v>
      </c>
    </row>
    <row r="1852" spans="1:12" x14ac:dyDescent="0.3">
      <c r="A1852" s="6">
        <v>45574</v>
      </c>
      <c r="B1852" s="7">
        <v>45574.405104502315</v>
      </c>
      <c r="C1852" s="8">
        <f t="shared" si="42"/>
        <v>9</v>
      </c>
      <c r="D1852" s="8" t="s">
        <v>4</v>
      </c>
      <c r="E1852" s="8" t="s">
        <v>444</v>
      </c>
      <c r="F1852" s="9">
        <v>30.86</v>
      </c>
      <c r="G1852" s="8" t="s">
        <v>20</v>
      </c>
      <c r="H1852" s="8" t="str">
        <f t="shared" si="43"/>
        <v>Morning</v>
      </c>
      <c r="I1852" s="8" t="str">
        <f t="shared" si="44"/>
        <v>Wed</v>
      </c>
      <c r="J1852" s="8" t="str">
        <f t="shared" si="45"/>
        <v>Oct</v>
      </c>
      <c r="K1852" s="8">
        <f t="shared" si="46"/>
        <v>3</v>
      </c>
      <c r="L1852" s="8">
        <f t="shared" si="47"/>
        <v>10</v>
      </c>
    </row>
    <row r="1853" spans="1:12" x14ac:dyDescent="0.3">
      <c r="A1853" s="10">
        <v>45574</v>
      </c>
      <c r="B1853" s="11">
        <v>45574.41643484954</v>
      </c>
      <c r="C1853" s="12">
        <f t="shared" si="42"/>
        <v>9</v>
      </c>
      <c r="D1853" s="12" t="s">
        <v>4</v>
      </c>
      <c r="E1853" s="12" t="s">
        <v>514</v>
      </c>
      <c r="F1853" s="13">
        <v>35.76</v>
      </c>
      <c r="G1853" s="12" t="s">
        <v>13</v>
      </c>
      <c r="H1853" s="12" t="str">
        <f t="shared" si="43"/>
        <v>Morning</v>
      </c>
      <c r="I1853" s="12" t="str">
        <f t="shared" si="44"/>
        <v>Wed</v>
      </c>
      <c r="J1853" s="12" t="str">
        <f t="shared" si="45"/>
        <v>Oct</v>
      </c>
      <c r="K1853" s="12">
        <f t="shared" si="46"/>
        <v>3</v>
      </c>
      <c r="L1853" s="12">
        <f t="shared" si="47"/>
        <v>10</v>
      </c>
    </row>
    <row r="1854" spans="1:12" x14ac:dyDescent="0.3">
      <c r="A1854" s="6">
        <v>45574</v>
      </c>
      <c r="B1854" s="7">
        <v>45574.443019976854</v>
      </c>
      <c r="C1854" s="8">
        <f t="shared" si="42"/>
        <v>10</v>
      </c>
      <c r="D1854" s="8" t="s">
        <v>4</v>
      </c>
      <c r="E1854" s="8" t="s">
        <v>753</v>
      </c>
      <c r="F1854" s="9">
        <v>21.06</v>
      </c>
      <c r="G1854" s="8" t="s">
        <v>41</v>
      </c>
      <c r="H1854" s="8" t="str">
        <f t="shared" si="43"/>
        <v>Morning</v>
      </c>
      <c r="I1854" s="8" t="str">
        <f t="shared" si="44"/>
        <v>Wed</v>
      </c>
      <c r="J1854" s="8" t="str">
        <f t="shared" si="45"/>
        <v>Oct</v>
      </c>
      <c r="K1854" s="8">
        <f t="shared" si="46"/>
        <v>3</v>
      </c>
      <c r="L1854" s="8">
        <f t="shared" si="47"/>
        <v>10</v>
      </c>
    </row>
    <row r="1855" spans="1:12" x14ac:dyDescent="0.3">
      <c r="A1855" s="10">
        <v>45574</v>
      </c>
      <c r="B1855" s="11">
        <v>45574.470858078705</v>
      </c>
      <c r="C1855" s="12">
        <f t="shared" si="42"/>
        <v>11</v>
      </c>
      <c r="D1855" s="12" t="s">
        <v>4</v>
      </c>
      <c r="E1855" s="12" t="s">
        <v>754</v>
      </c>
      <c r="F1855" s="13">
        <v>25.96</v>
      </c>
      <c r="G1855" s="12" t="s">
        <v>17</v>
      </c>
      <c r="H1855" s="12" t="str">
        <f t="shared" si="43"/>
        <v>Morning</v>
      </c>
      <c r="I1855" s="12" t="str">
        <f t="shared" si="44"/>
        <v>Wed</v>
      </c>
      <c r="J1855" s="12" t="str">
        <f t="shared" si="45"/>
        <v>Oct</v>
      </c>
      <c r="K1855" s="12">
        <f t="shared" si="46"/>
        <v>3</v>
      </c>
      <c r="L1855" s="12">
        <f t="shared" si="47"/>
        <v>10</v>
      </c>
    </row>
    <row r="1856" spans="1:12" x14ac:dyDescent="0.3">
      <c r="A1856" s="6">
        <v>45574</v>
      </c>
      <c r="B1856" s="7">
        <v>45574.543848541667</v>
      </c>
      <c r="C1856" s="8">
        <f t="shared" si="42"/>
        <v>13</v>
      </c>
      <c r="D1856" s="8" t="s">
        <v>4</v>
      </c>
      <c r="E1856" s="8" t="s">
        <v>746</v>
      </c>
      <c r="F1856" s="9">
        <v>35.76</v>
      </c>
      <c r="G1856" s="8" t="s">
        <v>13</v>
      </c>
      <c r="H1856" s="8" t="str">
        <f t="shared" si="43"/>
        <v>Afternoon</v>
      </c>
      <c r="I1856" s="8" t="str">
        <f t="shared" si="44"/>
        <v>Wed</v>
      </c>
      <c r="J1856" s="8" t="str">
        <f t="shared" si="45"/>
        <v>Oct</v>
      </c>
      <c r="K1856" s="8">
        <f t="shared" si="46"/>
        <v>3</v>
      </c>
      <c r="L1856" s="8">
        <f t="shared" si="47"/>
        <v>10</v>
      </c>
    </row>
    <row r="1857" spans="1:12" x14ac:dyDescent="0.3">
      <c r="A1857" s="10">
        <v>45574</v>
      </c>
      <c r="B1857" s="11">
        <v>45574.578179814816</v>
      </c>
      <c r="C1857" s="12">
        <f t="shared" si="42"/>
        <v>13</v>
      </c>
      <c r="D1857" s="12" t="s">
        <v>4</v>
      </c>
      <c r="E1857" s="12" t="s">
        <v>755</v>
      </c>
      <c r="F1857" s="13">
        <v>30.86</v>
      </c>
      <c r="G1857" s="12" t="s">
        <v>20</v>
      </c>
      <c r="H1857" s="12" t="str">
        <f t="shared" si="43"/>
        <v>Afternoon</v>
      </c>
      <c r="I1857" s="12" t="str">
        <f t="shared" si="44"/>
        <v>Wed</v>
      </c>
      <c r="J1857" s="12" t="str">
        <f t="shared" si="45"/>
        <v>Oct</v>
      </c>
      <c r="K1857" s="12">
        <f t="shared" si="46"/>
        <v>3</v>
      </c>
      <c r="L1857" s="12">
        <f t="shared" si="47"/>
        <v>10</v>
      </c>
    </row>
    <row r="1858" spans="1:12" x14ac:dyDescent="0.3">
      <c r="A1858" s="6">
        <v>45574</v>
      </c>
      <c r="B1858" s="7">
        <v>45574.726902442133</v>
      </c>
      <c r="C1858" s="8">
        <f t="shared" si="42"/>
        <v>17</v>
      </c>
      <c r="D1858" s="8" t="s">
        <v>4</v>
      </c>
      <c r="E1858" s="8" t="s">
        <v>678</v>
      </c>
      <c r="F1858" s="9">
        <v>35.76</v>
      </c>
      <c r="G1858" s="8" t="s">
        <v>49</v>
      </c>
      <c r="H1858" s="8" t="str">
        <f t="shared" si="43"/>
        <v>Night</v>
      </c>
      <c r="I1858" s="8" t="str">
        <f t="shared" si="44"/>
        <v>Wed</v>
      </c>
      <c r="J1858" s="8" t="str">
        <f t="shared" si="45"/>
        <v>Oct</v>
      </c>
      <c r="K1858" s="8">
        <f t="shared" si="46"/>
        <v>3</v>
      </c>
      <c r="L1858" s="8">
        <f t="shared" si="47"/>
        <v>10</v>
      </c>
    </row>
    <row r="1859" spans="1:12" x14ac:dyDescent="0.3">
      <c r="A1859" s="10">
        <v>45574</v>
      </c>
      <c r="B1859" s="11">
        <v>45574.727649074077</v>
      </c>
      <c r="C1859" s="12">
        <f t="shared" si="42"/>
        <v>17</v>
      </c>
      <c r="D1859" s="12" t="s">
        <v>4</v>
      </c>
      <c r="E1859" s="12" t="s">
        <v>678</v>
      </c>
      <c r="F1859" s="13">
        <v>25.96</v>
      </c>
      <c r="G1859" s="12" t="s">
        <v>17</v>
      </c>
      <c r="H1859" s="12" t="str">
        <f t="shared" si="43"/>
        <v>Night</v>
      </c>
      <c r="I1859" s="12" t="str">
        <f t="shared" si="44"/>
        <v>Wed</v>
      </c>
      <c r="J1859" s="12" t="str">
        <f t="shared" si="45"/>
        <v>Oct</v>
      </c>
      <c r="K1859" s="12">
        <f t="shared" si="46"/>
        <v>3</v>
      </c>
      <c r="L1859" s="12">
        <f t="shared" si="47"/>
        <v>10</v>
      </c>
    </row>
    <row r="1860" spans="1:12" x14ac:dyDescent="0.3">
      <c r="A1860" s="6">
        <v>45574</v>
      </c>
      <c r="B1860" s="7">
        <v>45574.743050370373</v>
      </c>
      <c r="C1860" s="8">
        <f t="shared" si="42"/>
        <v>17</v>
      </c>
      <c r="D1860" s="8" t="s">
        <v>4</v>
      </c>
      <c r="E1860" s="8" t="s">
        <v>756</v>
      </c>
      <c r="F1860" s="9">
        <v>21.06</v>
      </c>
      <c r="G1860" s="8" t="s">
        <v>41</v>
      </c>
      <c r="H1860" s="8" t="str">
        <f t="shared" si="43"/>
        <v>Night</v>
      </c>
      <c r="I1860" s="8" t="str">
        <f t="shared" si="44"/>
        <v>Wed</v>
      </c>
      <c r="J1860" s="8" t="str">
        <f t="shared" si="45"/>
        <v>Oct</v>
      </c>
      <c r="K1860" s="8">
        <f t="shared" si="46"/>
        <v>3</v>
      </c>
      <c r="L1860" s="8">
        <f t="shared" si="47"/>
        <v>10</v>
      </c>
    </row>
    <row r="1861" spans="1:12" x14ac:dyDescent="0.3">
      <c r="A1861" s="10">
        <v>45574</v>
      </c>
      <c r="B1861" s="11">
        <v>45574.867505787035</v>
      </c>
      <c r="C1861" s="12">
        <f t="shared" si="42"/>
        <v>20</v>
      </c>
      <c r="D1861" s="12" t="s">
        <v>4</v>
      </c>
      <c r="E1861" s="12" t="s">
        <v>757</v>
      </c>
      <c r="F1861" s="13">
        <v>35.76</v>
      </c>
      <c r="G1861" s="12" t="s">
        <v>49</v>
      </c>
      <c r="H1861" s="12" t="str">
        <f t="shared" si="43"/>
        <v>Night</v>
      </c>
      <c r="I1861" s="12" t="str">
        <f t="shared" si="44"/>
        <v>Wed</v>
      </c>
      <c r="J1861" s="12" t="str">
        <f t="shared" si="45"/>
        <v>Oct</v>
      </c>
      <c r="K1861" s="12">
        <f t="shared" si="46"/>
        <v>3</v>
      </c>
      <c r="L1861" s="12">
        <f t="shared" si="47"/>
        <v>10</v>
      </c>
    </row>
    <row r="1862" spans="1:12" x14ac:dyDescent="0.3">
      <c r="A1862" s="6">
        <v>45575</v>
      </c>
      <c r="B1862" s="7">
        <v>45575.366746527776</v>
      </c>
      <c r="C1862" s="8">
        <f t="shared" si="42"/>
        <v>8</v>
      </c>
      <c r="D1862" s="8" t="s">
        <v>4</v>
      </c>
      <c r="E1862" s="8" t="s">
        <v>16</v>
      </c>
      <c r="F1862" s="9">
        <v>25.96</v>
      </c>
      <c r="G1862" s="8" t="s">
        <v>17</v>
      </c>
      <c r="H1862" s="8" t="str">
        <f t="shared" si="43"/>
        <v>Morning</v>
      </c>
      <c r="I1862" s="8" t="str">
        <f t="shared" si="44"/>
        <v>Thu</v>
      </c>
      <c r="J1862" s="8" t="str">
        <f t="shared" si="45"/>
        <v>Oct</v>
      </c>
      <c r="K1862" s="8">
        <f t="shared" si="46"/>
        <v>4</v>
      </c>
      <c r="L1862" s="8">
        <f t="shared" si="47"/>
        <v>10</v>
      </c>
    </row>
    <row r="1863" spans="1:12" x14ac:dyDescent="0.3">
      <c r="A1863" s="10">
        <v>45575</v>
      </c>
      <c r="B1863" s="11">
        <v>45575.391205069442</v>
      </c>
      <c r="C1863" s="12">
        <f t="shared" si="42"/>
        <v>9</v>
      </c>
      <c r="D1863" s="12" t="s">
        <v>4</v>
      </c>
      <c r="E1863" s="12" t="s">
        <v>296</v>
      </c>
      <c r="F1863" s="13">
        <v>30.86</v>
      </c>
      <c r="G1863" s="12" t="s">
        <v>20</v>
      </c>
      <c r="H1863" s="12" t="str">
        <f t="shared" si="43"/>
        <v>Morning</v>
      </c>
      <c r="I1863" s="12" t="str">
        <f t="shared" si="44"/>
        <v>Thu</v>
      </c>
      <c r="J1863" s="12" t="str">
        <f t="shared" si="45"/>
        <v>Oct</v>
      </c>
      <c r="K1863" s="12">
        <f t="shared" si="46"/>
        <v>4</v>
      </c>
      <c r="L1863" s="12">
        <f t="shared" si="47"/>
        <v>10</v>
      </c>
    </row>
    <row r="1864" spans="1:12" x14ac:dyDescent="0.3">
      <c r="A1864" s="6">
        <v>45575</v>
      </c>
      <c r="B1864" s="7">
        <v>45575.410928368059</v>
      </c>
      <c r="C1864" s="8">
        <f t="shared" si="42"/>
        <v>9</v>
      </c>
      <c r="D1864" s="8" t="s">
        <v>4</v>
      </c>
      <c r="E1864" s="8" t="s">
        <v>758</v>
      </c>
      <c r="F1864" s="9">
        <v>35.76</v>
      </c>
      <c r="G1864" s="8" t="s">
        <v>15</v>
      </c>
      <c r="H1864" s="8" t="str">
        <f t="shared" si="43"/>
        <v>Morning</v>
      </c>
      <c r="I1864" s="8" t="str">
        <f t="shared" si="44"/>
        <v>Thu</v>
      </c>
      <c r="J1864" s="8" t="str">
        <f t="shared" si="45"/>
        <v>Oct</v>
      </c>
      <c r="K1864" s="8">
        <f t="shared" si="46"/>
        <v>4</v>
      </c>
      <c r="L1864" s="8">
        <f t="shared" si="47"/>
        <v>10</v>
      </c>
    </row>
    <row r="1865" spans="1:12" x14ac:dyDescent="0.3">
      <c r="A1865" s="10">
        <v>45575</v>
      </c>
      <c r="B1865" s="11">
        <v>45575.420248773145</v>
      </c>
      <c r="C1865" s="12">
        <f t="shared" si="42"/>
        <v>10</v>
      </c>
      <c r="D1865" s="12" t="s">
        <v>4</v>
      </c>
      <c r="E1865" s="12" t="s">
        <v>395</v>
      </c>
      <c r="F1865" s="13">
        <v>35.76</v>
      </c>
      <c r="G1865" s="12" t="s">
        <v>13</v>
      </c>
      <c r="H1865" s="12" t="str">
        <f t="shared" si="43"/>
        <v>Morning</v>
      </c>
      <c r="I1865" s="12" t="str">
        <f t="shared" si="44"/>
        <v>Thu</v>
      </c>
      <c r="J1865" s="12" t="str">
        <f t="shared" si="45"/>
        <v>Oct</v>
      </c>
      <c r="K1865" s="12">
        <f t="shared" si="46"/>
        <v>4</v>
      </c>
      <c r="L1865" s="12">
        <f t="shared" si="47"/>
        <v>10</v>
      </c>
    </row>
    <row r="1866" spans="1:12" x14ac:dyDescent="0.3">
      <c r="A1866" s="6">
        <v>45575</v>
      </c>
      <c r="B1866" s="7">
        <v>45575.446331539351</v>
      </c>
      <c r="C1866" s="8">
        <f t="shared" si="42"/>
        <v>10</v>
      </c>
      <c r="D1866" s="8" t="s">
        <v>4</v>
      </c>
      <c r="E1866" s="8" t="s">
        <v>161</v>
      </c>
      <c r="F1866" s="9">
        <v>25.96</v>
      </c>
      <c r="G1866" s="8" t="s">
        <v>34</v>
      </c>
      <c r="H1866" s="8" t="str">
        <f t="shared" si="43"/>
        <v>Morning</v>
      </c>
      <c r="I1866" s="8" t="str">
        <f t="shared" si="44"/>
        <v>Thu</v>
      </c>
      <c r="J1866" s="8" t="str">
        <f t="shared" si="45"/>
        <v>Oct</v>
      </c>
      <c r="K1866" s="8">
        <f t="shared" si="46"/>
        <v>4</v>
      </c>
      <c r="L1866" s="8">
        <f t="shared" si="47"/>
        <v>10</v>
      </c>
    </row>
    <row r="1867" spans="1:12" x14ac:dyDescent="0.3">
      <c r="A1867" s="10">
        <v>45575</v>
      </c>
      <c r="B1867" s="11">
        <v>45575.446875300928</v>
      </c>
      <c r="C1867" s="12">
        <f t="shared" si="42"/>
        <v>10</v>
      </c>
      <c r="D1867" s="12" t="s">
        <v>4</v>
      </c>
      <c r="E1867" s="12" t="s">
        <v>161</v>
      </c>
      <c r="F1867" s="13">
        <v>25.96</v>
      </c>
      <c r="G1867" s="12" t="s">
        <v>34</v>
      </c>
      <c r="H1867" s="12" t="str">
        <f t="shared" si="43"/>
        <v>Morning</v>
      </c>
      <c r="I1867" s="12" t="str">
        <f t="shared" si="44"/>
        <v>Thu</v>
      </c>
      <c r="J1867" s="12" t="str">
        <f t="shared" si="45"/>
        <v>Oct</v>
      </c>
      <c r="K1867" s="12">
        <f t="shared" si="46"/>
        <v>4</v>
      </c>
      <c r="L1867" s="12">
        <f t="shared" si="47"/>
        <v>10</v>
      </c>
    </row>
    <row r="1868" spans="1:12" x14ac:dyDescent="0.3">
      <c r="A1868" s="6">
        <v>45575</v>
      </c>
      <c r="B1868" s="7">
        <v>45575.45523861111</v>
      </c>
      <c r="C1868" s="8">
        <f t="shared" si="42"/>
        <v>10</v>
      </c>
      <c r="D1868" s="8" t="s">
        <v>4</v>
      </c>
      <c r="E1868" s="8" t="s">
        <v>759</v>
      </c>
      <c r="F1868" s="9">
        <v>35.76</v>
      </c>
      <c r="G1868" s="8" t="s">
        <v>13</v>
      </c>
      <c r="H1868" s="8" t="str">
        <f t="shared" si="43"/>
        <v>Morning</v>
      </c>
      <c r="I1868" s="8" t="str">
        <f t="shared" si="44"/>
        <v>Thu</v>
      </c>
      <c r="J1868" s="8" t="str">
        <f t="shared" si="45"/>
        <v>Oct</v>
      </c>
      <c r="K1868" s="8">
        <f t="shared" si="46"/>
        <v>4</v>
      </c>
      <c r="L1868" s="8">
        <f t="shared" si="47"/>
        <v>10</v>
      </c>
    </row>
    <row r="1869" spans="1:12" x14ac:dyDescent="0.3">
      <c r="A1869" s="10">
        <v>45575</v>
      </c>
      <c r="B1869" s="11">
        <v>45575.461335057873</v>
      </c>
      <c r="C1869" s="12">
        <f t="shared" si="42"/>
        <v>11</v>
      </c>
      <c r="D1869" s="12" t="s">
        <v>4</v>
      </c>
      <c r="E1869" s="12" t="s">
        <v>760</v>
      </c>
      <c r="F1869" s="13">
        <v>35.76</v>
      </c>
      <c r="G1869" s="12" t="s">
        <v>13</v>
      </c>
      <c r="H1869" s="12" t="str">
        <f t="shared" si="43"/>
        <v>Morning</v>
      </c>
      <c r="I1869" s="12" t="str">
        <f t="shared" si="44"/>
        <v>Thu</v>
      </c>
      <c r="J1869" s="12" t="str">
        <f t="shared" si="45"/>
        <v>Oct</v>
      </c>
      <c r="K1869" s="12">
        <f t="shared" si="46"/>
        <v>4</v>
      </c>
      <c r="L1869" s="12">
        <f t="shared" si="47"/>
        <v>10</v>
      </c>
    </row>
    <row r="1870" spans="1:12" x14ac:dyDescent="0.3">
      <c r="A1870" s="6">
        <v>45575</v>
      </c>
      <c r="B1870" s="7">
        <v>45575.628968726851</v>
      </c>
      <c r="C1870" s="8">
        <f t="shared" si="42"/>
        <v>15</v>
      </c>
      <c r="D1870" s="8" t="s">
        <v>4</v>
      </c>
      <c r="E1870" s="8" t="s">
        <v>530</v>
      </c>
      <c r="F1870" s="9">
        <v>35.76</v>
      </c>
      <c r="G1870" s="8" t="s">
        <v>49</v>
      </c>
      <c r="H1870" s="8" t="str">
        <f t="shared" si="43"/>
        <v>Afternoon</v>
      </c>
      <c r="I1870" s="8" t="str">
        <f t="shared" si="44"/>
        <v>Thu</v>
      </c>
      <c r="J1870" s="8" t="str">
        <f t="shared" si="45"/>
        <v>Oct</v>
      </c>
      <c r="K1870" s="8">
        <f t="shared" si="46"/>
        <v>4</v>
      </c>
      <c r="L1870" s="8">
        <f t="shared" si="47"/>
        <v>10</v>
      </c>
    </row>
    <row r="1871" spans="1:12" x14ac:dyDescent="0.3">
      <c r="A1871" s="10">
        <v>45575</v>
      </c>
      <c r="B1871" s="11">
        <v>45575.736624814817</v>
      </c>
      <c r="C1871" s="12">
        <f t="shared" si="42"/>
        <v>17</v>
      </c>
      <c r="D1871" s="12" t="s">
        <v>4</v>
      </c>
      <c r="E1871" s="12" t="s">
        <v>761</v>
      </c>
      <c r="F1871" s="13">
        <v>35.76</v>
      </c>
      <c r="G1871" s="12" t="s">
        <v>13</v>
      </c>
      <c r="H1871" s="12" t="str">
        <f t="shared" si="43"/>
        <v>Night</v>
      </c>
      <c r="I1871" s="12" t="str">
        <f t="shared" si="44"/>
        <v>Thu</v>
      </c>
      <c r="J1871" s="12" t="str">
        <f t="shared" si="45"/>
        <v>Oct</v>
      </c>
      <c r="K1871" s="12">
        <f t="shared" si="46"/>
        <v>4</v>
      </c>
      <c r="L1871" s="12">
        <f t="shared" si="47"/>
        <v>10</v>
      </c>
    </row>
    <row r="1872" spans="1:12" x14ac:dyDescent="0.3">
      <c r="A1872" s="6">
        <v>45575</v>
      </c>
      <c r="B1872" s="7">
        <v>45575.76287859954</v>
      </c>
      <c r="C1872" s="8">
        <f t="shared" si="42"/>
        <v>18</v>
      </c>
      <c r="D1872" s="8" t="s">
        <v>4</v>
      </c>
      <c r="E1872" s="8" t="s">
        <v>762</v>
      </c>
      <c r="F1872" s="9">
        <v>25.96</v>
      </c>
      <c r="G1872" s="8" t="s">
        <v>17</v>
      </c>
      <c r="H1872" s="8" t="str">
        <f t="shared" si="43"/>
        <v>Night</v>
      </c>
      <c r="I1872" s="8" t="str">
        <f t="shared" si="44"/>
        <v>Thu</v>
      </c>
      <c r="J1872" s="8" t="str">
        <f t="shared" si="45"/>
        <v>Oct</v>
      </c>
      <c r="K1872" s="8">
        <f t="shared" si="46"/>
        <v>4</v>
      </c>
      <c r="L1872" s="8">
        <f t="shared" si="47"/>
        <v>10</v>
      </c>
    </row>
    <row r="1873" spans="1:12" x14ac:dyDescent="0.3">
      <c r="A1873" s="10">
        <v>45575</v>
      </c>
      <c r="B1873" s="11">
        <v>45575.789244189815</v>
      </c>
      <c r="C1873" s="12">
        <f t="shared" si="42"/>
        <v>18</v>
      </c>
      <c r="D1873" s="12" t="s">
        <v>4</v>
      </c>
      <c r="E1873" s="12" t="s">
        <v>733</v>
      </c>
      <c r="F1873" s="13">
        <v>30.86</v>
      </c>
      <c r="G1873" s="12" t="s">
        <v>20</v>
      </c>
      <c r="H1873" s="12" t="str">
        <f t="shared" si="43"/>
        <v>Night</v>
      </c>
      <c r="I1873" s="12" t="str">
        <f t="shared" si="44"/>
        <v>Thu</v>
      </c>
      <c r="J1873" s="12" t="str">
        <f t="shared" si="45"/>
        <v>Oct</v>
      </c>
      <c r="K1873" s="12">
        <f t="shared" si="46"/>
        <v>4</v>
      </c>
      <c r="L1873" s="12">
        <f t="shared" si="47"/>
        <v>10</v>
      </c>
    </row>
    <row r="1874" spans="1:12" x14ac:dyDescent="0.3">
      <c r="A1874" s="6">
        <v>45575</v>
      </c>
      <c r="B1874" s="7">
        <v>45575.789991307873</v>
      </c>
      <c r="C1874" s="8">
        <f t="shared" si="42"/>
        <v>18</v>
      </c>
      <c r="D1874" s="8" t="s">
        <v>4</v>
      </c>
      <c r="E1874" s="8" t="s">
        <v>733</v>
      </c>
      <c r="F1874" s="9">
        <v>35.76</v>
      </c>
      <c r="G1874" s="8" t="s">
        <v>13</v>
      </c>
      <c r="H1874" s="8" t="str">
        <f t="shared" si="43"/>
        <v>Night</v>
      </c>
      <c r="I1874" s="8" t="str">
        <f t="shared" si="44"/>
        <v>Thu</v>
      </c>
      <c r="J1874" s="8" t="str">
        <f t="shared" si="45"/>
        <v>Oct</v>
      </c>
      <c r="K1874" s="8">
        <f t="shared" si="46"/>
        <v>4</v>
      </c>
      <c r="L1874" s="8">
        <f t="shared" si="47"/>
        <v>10</v>
      </c>
    </row>
    <row r="1875" spans="1:12" x14ac:dyDescent="0.3">
      <c r="A1875" s="10">
        <v>45575</v>
      </c>
      <c r="B1875" s="11">
        <v>45575.939779814813</v>
      </c>
      <c r="C1875" s="12">
        <f t="shared" si="42"/>
        <v>22</v>
      </c>
      <c r="D1875" s="12" t="s">
        <v>4</v>
      </c>
      <c r="E1875" s="12" t="s">
        <v>657</v>
      </c>
      <c r="F1875" s="13">
        <v>35.76</v>
      </c>
      <c r="G1875" s="12" t="s">
        <v>15</v>
      </c>
      <c r="H1875" s="12" t="str">
        <f t="shared" si="43"/>
        <v>Night</v>
      </c>
      <c r="I1875" s="12" t="str">
        <f t="shared" si="44"/>
        <v>Thu</v>
      </c>
      <c r="J1875" s="12" t="str">
        <f t="shared" si="45"/>
        <v>Oct</v>
      </c>
      <c r="K1875" s="12">
        <f t="shared" si="46"/>
        <v>4</v>
      </c>
      <c r="L1875" s="12">
        <f t="shared" si="47"/>
        <v>10</v>
      </c>
    </row>
    <row r="1876" spans="1:12" x14ac:dyDescent="0.3">
      <c r="A1876" s="6">
        <v>45575</v>
      </c>
      <c r="B1876" s="7">
        <v>45575.940274641202</v>
      </c>
      <c r="C1876" s="8">
        <f t="shared" si="42"/>
        <v>22</v>
      </c>
      <c r="D1876" s="8" t="s">
        <v>4</v>
      </c>
      <c r="E1876" s="8" t="s">
        <v>657</v>
      </c>
      <c r="F1876" s="9">
        <v>35.76</v>
      </c>
      <c r="G1876" s="8" t="s">
        <v>15</v>
      </c>
      <c r="H1876" s="8" t="str">
        <f t="shared" si="43"/>
        <v>Night</v>
      </c>
      <c r="I1876" s="8" t="str">
        <f t="shared" si="44"/>
        <v>Thu</v>
      </c>
      <c r="J1876" s="8" t="str">
        <f t="shared" si="45"/>
        <v>Oct</v>
      </c>
      <c r="K1876" s="8">
        <f t="shared" si="46"/>
        <v>4</v>
      </c>
      <c r="L1876" s="8">
        <f t="shared" si="47"/>
        <v>10</v>
      </c>
    </row>
    <row r="1877" spans="1:12" x14ac:dyDescent="0.3">
      <c r="A1877" s="10">
        <v>45576</v>
      </c>
      <c r="B1877" s="11">
        <v>45576.329763657406</v>
      </c>
      <c r="C1877" s="12">
        <f t="shared" si="42"/>
        <v>7</v>
      </c>
      <c r="D1877" s="12" t="s">
        <v>4</v>
      </c>
      <c r="E1877" s="12" t="s">
        <v>296</v>
      </c>
      <c r="F1877" s="13">
        <v>30.86</v>
      </c>
      <c r="G1877" s="12" t="s">
        <v>20</v>
      </c>
      <c r="H1877" s="12" t="str">
        <f t="shared" si="43"/>
        <v>Morning</v>
      </c>
      <c r="I1877" s="12" t="str">
        <f t="shared" si="44"/>
        <v>Fri</v>
      </c>
      <c r="J1877" s="12" t="str">
        <f t="shared" si="45"/>
        <v>Oct</v>
      </c>
      <c r="K1877" s="12">
        <f t="shared" si="46"/>
        <v>5</v>
      </c>
      <c r="L1877" s="12">
        <f t="shared" si="47"/>
        <v>10</v>
      </c>
    </row>
    <row r="1878" spans="1:12" x14ac:dyDescent="0.3">
      <c r="A1878" s="6">
        <v>45576</v>
      </c>
      <c r="B1878" s="7">
        <v>45576.333922893522</v>
      </c>
      <c r="C1878" s="8">
        <f t="shared" si="42"/>
        <v>8</v>
      </c>
      <c r="D1878" s="8" t="s">
        <v>4</v>
      </c>
      <c r="E1878" s="8" t="s">
        <v>723</v>
      </c>
      <c r="F1878" s="9">
        <v>35.76</v>
      </c>
      <c r="G1878" s="8" t="s">
        <v>13</v>
      </c>
      <c r="H1878" s="8" t="str">
        <f t="shared" si="43"/>
        <v>Morning</v>
      </c>
      <c r="I1878" s="8" t="str">
        <f t="shared" si="44"/>
        <v>Fri</v>
      </c>
      <c r="J1878" s="8" t="str">
        <f t="shared" si="45"/>
        <v>Oct</v>
      </c>
      <c r="K1878" s="8">
        <f t="shared" si="46"/>
        <v>5</v>
      </c>
      <c r="L1878" s="8">
        <f t="shared" si="47"/>
        <v>10</v>
      </c>
    </row>
    <row r="1879" spans="1:12" x14ac:dyDescent="0.3">
      <c r="A1879" s="10">
        <v>45576</v>
      </c>
      <c r="B1879" s="11">
        <v>45576.341901087966</v>
      </c>
      <c r="C1879" s="12">
        <f t="shared" si="42"/>
        <v>8</v>
      </c>
      <c r="D1879" s="12" t="s">
        <v>4</v>
      </c>
      <c r="E1879" s="12" t="s">
        <v>161</v>
      </c>
      <c r="F1879" s="13">
        <v>25.96</v>
      </c>
      <c r="G1879" s="12" t="s">
        <v>34</v>
      </c>
      <c r="H1879" s="12" t="str">
        <f t="shared" si="43"/>
        <v>Morning</v>
      </c>
      <c r="I1879" s="12" t="str">
        <f t="shared" si="44"/>
        <v>Fri</v>
      </c>
      <c r="J1879" s="12" t="str">
        <f t="shared" si="45"/>
        <v>Oct</v>
      </c>
      <c r="K1879" s="12">
        <f t="shared" si="46"/>
        <v>5</v>
      </c>
      <c r="L1879" s="12">
        <f t="shared" si="47"/>
        <v>10</v>
      </c>
    </row>
    <row r="1880" spans="1:12" x14ac:dyDescent="0.3">
      <c r="A1880" s="6">
        <v>45576</v>
      </c>
      <c r="B1880" s="7">
        <v>45576.352996250003</v>
      </c>
      <c r="C1880" s="8">
        <f t="shared" si="42"/>
        <v>8</v>
      </c>
      <c r="D1880" s="8" t="s">
        <v>4</v>
      </c>
      <c r="E1880" s="8" t="s">
        <v>590</v>
      </c>
      <c r="F1880" s="9">
        <v>35.76</v>
      </c>
      <c r="G1880" s="8" t="s">
        <v>13</v>
      </c>
      <c r="H1880" s="8" t="str">
        <f t="shared" si="43"/>
        <v>Morning</v>
      </c>
      <c r="I1880" s="8" t="str">
        <f t="shared" si="44"/>
        <v>Fri</v>
      </c>
      <c r="J1880" s="8" t="str">
        <f t="shared" si="45"/>
        <v>Oct</v>
      </c>
      <c r="K1880" s="8">
        <f t="shared" si="46"/>
        <v>5</v>
      </c>
      <c r="L1880" s="8">
        <f t="shared" si="47"/>
        <v>10</v>
      </c>
    </row>
    <row r="1881" spans="1:12" x14ac:dyDescent="0.3">
      <c r="A1881" s="10">
        <v>45576</v>
      </c>
      <c r="B1881" s="11">
        <v>45576.353731365743</v>
      </c>
      <c r="C1881" s="12">
        <f t="shared" si="42"/>
        <v>8</v>
      </c>
      <c r="D1881" s="12" t="s">
        <v>4</v>
      </c>
      <c r="E1881" s="12" t="s">
        <v>590</v>
      </c>
      <c r="F1881" s="13">
        <v>35.76</v>
      </c>
      <c r="G1881" s="12" t="s">
        <v>24</v>
      </c>
      <c r="H1881" s="12" t="str">
        <f t="shared" si="43"/>
        <v>Morning</v>
      </c>
      <c r="I1881" s="12" t="str">
        <f t="shared" si="44"/>
        <v>Fri</v>
      </c>
      <c r="J1881" s="12" t="str">
        <f t="shared" si="45"/>
        <v>Oct</v>
      </c>
      <c r="K1881" s="12">
        <f t="shared" si="46"/>
        <v>5</v>
      </c>
      <c r="L1881" s="12">
        <f t="shared" si="47"/>
        <v>10</v>
      </c>
    </row>
    <row r="1882" spans="1:12" x14ac:dyDescent="0.3">
      <c r="A1882" s="6">
        <v>45576</v>
      </c>
      <c r="B1882" s="7">
        <v>45576.372034571759</v>
      </c>
      <c r="C1882" s="8">
        <f t="shared" si="42"/>
        <v>8</v>
      </c>
      <c r="D1882" s="8" t="s">
        <v>4</v>
      </c>
      <c r="E1882" s="8" t="s">
        <v>745</v>
      </c>
      <c r="F1882" s="9">
        <v>35.76</v>
      </c>
      <c r="G1882" s="8" t="s">
        <v>24</v>
      </c>
      <c r="H1882" s="8" t="str">
        <f t="shared" si="43"/>
        <v>Morning</v>
      </c>
      <c r="I1882" s="8" t="str">
        <f t="shared" si="44"/>
        <v>Fri</v>
      </c>
      <c r="J1882" s="8" t="str">
        <f t="shared" si="45"/>
        <v>Oct</v>
      </c>
      <c r="K1882" s="8">
        <f t="shared" si="46"/>
        <v>5</v>
      </c>
      <c r="L1882" s="8">
        <f t="shared" si="47"/>
        <v>10</v>
      </c>
    </row>
    <row r="1883" spans="1:12" x14ac:dyDescent="0.3">
      <c r="A1883" s="10">
        <v>45576</v>
      </c>
      <c r="B1883" s="11">
        <v>45576.372902523151</v>
      </c>
      <c r="C1883" s="12">
        <f t="shared" si="42"/>
        <v>8</v>
      </c>
      <c r="D1883" s="12" t="s">
        <v>4</v>
      </c>
      <c r="E1883" s="12" t="s">
        <v>746</v>
      </c>
      <c r="F1883" s="13">
        <v>30.86</v>
      </c>
      <c r="G1883" s="12" t="s">
        <v>20</v>
      </c>
      <c r="H1883" s="12" t="str">
        <f t="shared" si="43"/>
        <v>Morning</v>
      </c>
      <c r="I1883" s="12" t="str">
        <f t="shared" si="44"/>
        <v>Fri</v>
      </c>
      <c r="J1883" s="12" t="str">
        <f t="shared" si="45"/>
        <v>Oct</v>
      </c>
      <c r="K1883" s="12">
        <f t="shared" si="46"/>
        <v>5</v>
      </c>
      <c r="L1883" s="12">
        <f t="shared" si="47"/>
        <v>10</v>
      </c>
    </row>
    <row r="1884" spans="1:12" x14ac:dyDescent="0.3">
      <c r="A1884" s="6">
        <v>45576</v>
      </c>
      <c r="B1884" s="7">
        <v>45576.373716458336</v>
      </c>
      <c r="C1884" s="8">
        <f t="shared" si="42"/>
        <v>8</v>
      </c>
      <c r="D1884" s="8" t="s">
        <v>4</v>
      </c>
      <c r="E1884" s="8" t="s">
        <v>763</v>
      </c>
      <c r="F1884" s="9">
        <v>35.76</v>
      </c>
      <c r="G1884" s="8" t="s">
        <v>15</v>
      </c>
      <c r="H1884" s="8" t="str">
        <f t="shared" si="43"/>
        <v>Morning</v>
      </c>
      <c r="I1884" s="8" t="str">
        <f t="shared" si="44"/>
        <v>Fri</v>
      </c>
      <c r="J1884" s="8" t="str">
        <f t="shared" si="45"/>
        <v>Oct</v>
      </c>
      <c r="K1884" s="8">
        <f t="shared" si="46"/>
        <v>5</v>
      </c>
      <c r="L1884" s="8">
        <f t="shared" si="47"/>
        <v>10</v>
      </c>
    </row>
    <row r="1885" spans="1:12" x14ac:dyDescent="0.3">
      <c r="A1885" s="10">
        <v>45576</v>
      </c>
      <c r="B1885" s="11">
        <v>45576.397017800926</v>
      </c>
      <c r="C1885" s="12">
        <f t="shared" si="42"/>
        <v>9</v>
      </c>
      <c r="D1885" s="12" t="s">
        <v>4</v>
      </c>
      <c r="E1885" s="12" t="s">
        <v>764</v>
      </c>
      <c r="F1885" s="13">
        <v>30.86</v>
      </c>
      <c r="G1885" s="12" t="s">
        <v>20</v>
      </c>
      <c r="H1885" s="12" t="str">
        <f t="shared" si="43"/>
        <v>Morning</v>
      </c>
      <c r="I1885" s="12" t="str">
        <f t="shared" si="44"/>
        <v>Fri</v>
      </c>
      <c r="J1885" s="12" t="str">
        <f t="shared" si="45"/>
        <v>Oct</v>
      </c>
      <c r="K1885" s="12">
        <f t="shared" si="46"/>
        <v>5</v>
      </c>
      <c r="L1885" s="12">
        <f t="shared" si="47"/>
        <v>10</v>
      </c>
    </row>
    <row r="1886" spans="1:12" x14ac:dyDescent="0.3">
      <c r="A1886" s="6">
        <v>45576</v>
      </c>
      <c r="B1886" s="7">
        <v>45576.401932025467</v>
      </c>
      <c r="C1886" s="8">
        <f t="shared" si="42"/>
        <v>9</v>
      </c>
      <c r="D1886" s="8" t="s">
        <v>4</v>
      </c>
      <c r="E1886" s="8" t="s">
        <v>422</v>
      </c>
      <c r="F1886" s="9">
        <v>25.96</v>
      </c>
      <c r="G1886" s="8" t="s">
        <v>34</v>
      </c>
      <c r="H1886" s="8" t="str">
        <f t="shared" si="43"/>
        <v>Morning</v>
      </c>
      <c r="I1886" s="8" t="str">
        <f t="shared" si="44"/>
        <v>Fri</v>
      </c>
      <c r="J1886" s="8" t="str">
        <f t="shared" si="45"/>
        <v>Oct</v>
      </c>
      <c r="K1886" s="8">
        <f t="shared" si="46"/>
        <v>5</v>
      </c>
      <c r="L1886" s="8">
        <f t="shared" si="47"/>
        <v>10</v>
      </c>
    </row>
    <row r="1887" spans="1:12" x14ac:dyDescent="0.3">
      <c r="A1887" s="10">
        <v>45576</v>
      </c>
      <c r="B1887" s="11">
        <v>45576.41713396991</v>
      </c>
      <c r="C1887" s="12">
        <f t="shared" si="42"/>
        <v>10</v>
      </c>
      <c r="D1887" s="12" t="s">
        <v>4</v>
      </c>
      <c r="E1887" s="12" t="s">
        <v>395</v>
      </c>
      <c r="F1887" s="13">
        <v>25.96</v>
      </c>
      <c r="G1887" s="12" t="s">
        <v>17</v>
      </c>
      <c r="H1887" s="12" t="str">
        <f t="shared" si="43"/>
        <v>Morning</v>
      </c>
      <c r="I1887" s="12" t="str">
        <f t="shared" si="44"/>
        <v>Fri</v>
      </c>
      <c r="J1887" s="12" t="str">
        <f t="shared" si="45"/>
        <v>Oct</v>
      </c>
      <c r="K1887" s="12">
        <f t="shared" si="46"/>
        <v>5</v>
      </c>
      <c r="L1887" s="12">
        <f t="shared" si="47"/>
        <v>10</v>
      </c>
    </row>
    <row r="1888" spans="1:12" x14ac:dyDescent="0.3">
      <c r="A1888" s="6">
        <v>45576</v>
      </c>
      <c r="B1888" s="7">
        <v>45576.417996215278</v>
      </c>
      <c r="C1888" s="8">
        <f t="shared" si="42"/>
        <v>10</v>
      </c>
      <c r="D1888" s="8" t="s">
        <v>4</v>
      </c>
      <c r="E1888" s="8" t="s">
        <v>395</v>
      </c>
      <c r="F1888" s="9">
        <v>25.96</v>
      </c>
      <c r="G1888" s="8" t="s">
        <v>17</v>
      </c>
      <c r="H1888" s="8" t="str">
        <f t="shared" si="43"/>
        <v>Morning</v>
      </c>
      <c r="I1888" s="8" t="str">
        <f t="shared" si="44"/>
        <v>Fri</v>
      </c>
      <c r="J1888" s="8" t="str">
        <f t="shared" si="45"/>
        <v>Oct</v>
      </c>
      <c r="K1888" s="8">
        <f t="shared" si="46"/>
        <v>5</v>
      </c>
      <c r="L1888" s="8">
        <f t="shared" si="47"/>
        <v>10</v>
      </c>
    </row>
    <row r="1889" spans="1:12" x14ac:dyDescent="0.3">
      <c r="A1889" s="10">
        <v>45576</v>
      </c>
      <c r="B1889" s="11">
        <v>45576.437916331015</v>
      </c>
      <c r="C1889" s="12">
        <f t="shared" si="42"/>
        <v>10</v>
      </c>
      <c r="D1889" s="12" t="s">
        <v>4</v>
      </c>
      <c r="E1889" s="12" t="s">
        <v>262</v>
      </c>
      <c r="F1889" s="13">
        <v>30.86</v>
      </c>
      <c r="G1889" s="12" t="s">
        <v>20</v>
      </c>
      <c r="H1889" s="12" t="str">
        <f t="shared" si="43"/>
        <v>Morning</v>
      </c>
      <c r="I1889" s="12" t="str">
        <f t="shared" si="44"/>
        <v>Fri</v>
      </c>
      <c r="J1889" s="12" t="str">
        <f t="shared" si="45"/>
        <v>Oct</v>
      </c>
      <c r="K1889" s="12">
        <f t="shared" si="46"/>
        <v>5</v>
      </c>
      <c r="L1889" s="12">
        <f t="shared" si="47"/>
        <v>10</v>
      </c>
    </row>
    <row r="1890" spans="1:12" x14ac:dyDescent="0.3">
      <c r="A1890" s="6">
        <v>45576</v>
      </c>
      <c r="B1890" s="7">
        <v>45576.545155127315</v>
      </c>
      <c r="C1890" s="8">
        <f t="shared" si="42"/>
        <v>13</v>
      </c>
      <c r="D1890" s="8" t="s">
        <v>4</v>
      </c>
      <c r="E1890" s="8" t="s">
        <v>760</v>
      </c>
      <c r="F1890" s="9">
        <v>35.76</v>
      </c>
      <c r="G1890" s="8" t="s">
        <v>13</v>
      </c>
      <c r="H1890" s="8" t="str">
        <f t="shared" si="43"/>
        <v>Afternoon</v>
      </c>
      <c r="I1890" s="8" t="str">
        <f t="shared" si="44"/>
        <v>Fri</v>
      </c>
      <c r="J1890" s="8" t="str">
        <f t="shared" si="45"/>
        <v>Oct</v>
      </c>
      <c r="K1890" s="8">
        <f t="shared" si="46"/>
        <v>5</v>
      </c>
      <c r="L1890" s="8">
        <f t="shared" si="47"/>
        <v>10</v>
      </c>
    </row>
    <row r="1891" spans="1:12" x14ac:dyDescent="0.3">
      <c r="A1891" s="10">
        <v>45576</v>
      </c>
      <c r="B1891" s="11">
        <v>45576.561833993059</v>
      </c>
      <c r="C1891" s="12">
        <f t="shared" si="42"/>
        <v>13</v>
      </c>
      <c r="D1891" s="12" t="s">
        <v>4</v>
      </c>
      <c r="E1891" s="12" t="s">
        <v>29</v>
      </c>
      <c r="F1891" s="13">
        <v>25.96</v>
      </c>
      <c r="G1891" s="12" t="s">
        <v>17</v>
      </c>
      <c r="H1891" s="12" t="str">
        <f t="shared" si="43"/>
        <v>Afternoon</v>
      </c>
      <c r="I1891" s="12" t="str">
        <f t="shared" si="44"/>
        <v>Fri</v>
      </c>
      <c r="J1891" s="12" t="str">
        <f t="shared" si="45"/>
        <v>Oct</v>
      </c>
      <c r="K1891" s="12">
        <f t="shared" si="46"/>
        <v>5</v>
      </c>
      <c r="L1891" s="12">
        <f t="shared" si="47"/>
        <v>10</v>
      </c>
    </row>
    <row r="1892" spans="1:12" x14ac:dyDescent="0.3">
      <c r="A1892" s="6">
        <v>45576</v>
      </c>
      <c r="B1892" s="7">
        <v>45576.562604409723</v>
      </c>
      <c r="C1892" s="8">
        <f t="shared" si="42"/>
        <v>13</v>
      </c>
      <c r="D1892" s="8" t="s">
        <v>4</v>
      </c>
      <c r="E1892" s="8" t="s">
        <v>29</v>
      </c>
      <c r="F1892" s="9">
        <v>25.96</v>
      </c>
      <c r="G1892" s="8" t="s">
        <v>17</v>
      </c>
      <c r="H1892" s="8" t="str">
        <f t="shared" si="43"/>
        <v>Afternoon</v>
      </c>
      <c r="I1892" s="8" t="str">
        <f t="shared" si="44"/>
        <v>Fri</v>
      </c>
      <c r="J1892" s="8" t="str">
        <f t="shared" si="45"/>
        <v>Oct</v>
      </c>
      <c r="K1892" s="8">
        <f t="shared" si="46"/>
        <v>5</v>
      </c>
      <c r="L1892" s="8">
        <f t="shared" si="47"/>
        <v>10</v>
      </c>
    </row>
    <row r="1893" spans="1:12" x14ac:dyDescent="0.3">
      <c r="A1893" s="10">
        <v>45576</v>
      </c>
      <c r="B1893" s="11">
        <v>45576.60671915509</v>
      </c>
      <c r="C1893" s="12">
        <f t="shared" si="42"/>
        <v>14</v>
      </c>
      <c r="D1893" s="12" t="s">
        <v>4</v>
      </c>
      <c r="E1893" s="12" t="s">
        <v>765</v>
      </c>
      <c r="F1893" s="13">
        <v>35.76</v>
      </c>
      <c r="G1893" s="12" t="s">
        <v>24</v>
      </c>
      <c r="H1893" s="12" t="str">
        <f t="shared" si="43"/>
        <v>Afternoon</v>
      </c>
      <c r="I1893" s="12" t="str">
        <f t="shared" si="44"/>
        <v>Fri</v>
      </c>
      <c r="J1893" s="12" t="str">
        <f t="shared" si="45"/>
        <v>Oct</v>
      </c>
      <c r="K1893" s="12">
        <f t="shared" si="46"/>
        <v>5</v>
      </c>
      <c r="L1893" s="12">
        <f t="shared" si="47"/>
        <v>10</v>
      </c>
    </row>
    <row r="1894" spans="1:12" x14ac:dyDescent="0.3">
      <c r="A1894" s="6">
        <v>45576</v>
      </c>
      <c r="B1894" s="7">
        <v>45576.607978148146</v>
      </c>
      <c r="C1894" s="8">
        <f t="shared" si="42"/>
        <v>14</v>
      </c>
      <c r="D1894" s="8" t="s">
        <v>4</v>
      </c>
      <c r="E1894" s="8" t="s">
        <v>765</v>
      </c>
      <c r="F1894" s="9">
        <v>25.96</v>
      </c>
      <c r="G1894" s="8" t="s">
        <v>17</v>
      </c>
      <c r="H1894" s="8" t="str">
        <f t="shared" si="43"/>
        <v>Afternoon</v>
      </c>
      <c r="I1894" s="8" t="str">
        <f t="shared" si="44"/>
        <v>Fri</v>
      </c>
      <c r="J1894" s="8" t="str">
        <f t="shared" si="45"/>
        <v>Oct</v>
      </c>
      <c r="K1894" s="8">
        <f t="shared" si="46"/>
        <v>5</v>
      </c>
      <c r="L1894" s="8">
        <f t="shared" si="47"/>
        <v>10</v>
      </c>
    </row>
    <row r="1895" spans="1:12" x14ac:dyDescent="0.3">
      <c r="A1895" s="10">
        <v>45576</v>
      </c>
      <c r="B1895" s="11">
        <v>45576.618156956021</v>
      </c>
      <c r="C1895" s="12">
        <f t="shared" si="42"/>
        <v>14</v>
      </c>
      <c r="D1895" s="12" t="s">
        <v>4</v>
      </c>
      <c r="E1895" s="12" t="s">
        <v>734</v>
      </c>
      <c r="F1895" s="13">
        <v>35.76</v>
      </c>
      <c r="G1895" s="12" t="s">
        <v>49</v>
      </c>
      <c r="H1895" s="12" t="str">
        <f t="shared" si="43"/>
        <v>Afternoon</v>
      </c>
      <c r="I1895" s="12" t="str">
        <f t="shared" si="44"/>
        <v>Fri</v>
      </c>
      <c r="J1895" s="12" t="str">
        <f t="shared" si="45"/>
        <v>Oct</v>
      </c>
      <c r="K1895" s="12">
        <f t="shared" si="46"/>
        <v>5</v>
      </c>
      <c r="L1895" s="12">
        <f t="shared" si="47"/>
        <v>10</v>
      </c>
    </row>
    <row r="1896" spans="1:12" x14ac:dyDescent="0.3">
      <c r="A1896" s="6">
        <v>45576</v>
      </c>
      <c r="B1896" s="7">
        <v>45576.716751539352</v>
      </c>
      <c r="C1896" s="8">
        <f t="shared" si="42"/>
        <v>17</v>
      </c>
      <c r="D1896" s="8" t="s">
        <v>4</v>
      </c>
      <c r="E1896" s="8" t="s">
        <v>766</v>
      </c>
      <c r="F1896" s="9">
        <v>35.76</v>
      </c>
      <c r="G1896" s="8" t="s">
        <v>13</v>
      </c>
      <c r="H1896" s="8" t="str">
        <f t="shared" si="43"/>
        <v>Night</v>
      </c>
      <c r="I1896" s="8" t="str">
        <f t="shared" si="44"/>
        <v>Fri</v>
      </c>
      <c r="J1896" s="8" t="str">
        <f t="shared" si="45"/>
        <v>Oct</v>
      </c>
      <c r="K1896" s="8">
        <f t="shared" si="46"/>
        <v>5</v>
      </c>
      <c r="L1896" s="8">
        <f t="shared" si="47"/>
        <v>10</v>
      </c>
    </row>
    <row r="1897" spans="1:12" x14ac:dyDescent="0.3">
      <c r="A1897" s="10">
        <v>45576</v>
      </c>
      <c r="B1897" s="11">
        <v>45576.71761107639</v>
      </c>
      <c r="C1897" s="12">
        <f t="shared" si="42"/>
        <v>17</v>
      </c>
      <c r="D1897" s="12" t="s">
        <v>4</v>
      </c>
      <c r="E1897" s="12" t="s">
        <v>766</v>
      </c>
      <c r="F1897" s="13">
        <v>35.76</v>
      </c>
      <c r="G1897" s="12" t="s">
        <v>15</v>
      </c>
      <c r="H1897" s="12" t="str">
        <f t="shared" si="43"/>
        <v>Night</v>
      </c>
      <c r="I1897" s="12" t="str">
        <f t="shared" si="44"/>
        <v>Fri</v>
      </c>
      <c r="J1897" s="12" t="str">
        <f t="shared" si="45"/>
        <v>Oct</v>
      </c>
      <c r="K1897" s="12">
        <f t="shared" si="46"/>
        <v>5</v>
      </c>
      <c r="L1897" s="12">
        <f t="shared" si="47"/>
        <v>10</v>
      </c>
    </row>
    <row r="1898" spans="1:12" x14ac:dyDescent="0.3">
      <c r="A1898" s="6">
        <v>45576</v>
      </c>
      <c r="B1898" s="7">
        <v>45576.726518124997</v>
      </c>
      <c r="C1898" s="8">
        <f t="shared" si="42"/>
        <v>17</v>
      </c>
      <c r="D1898" s="8" t="s">
        <v>4</v>
      </c>
      <c r="E1898" s="8" t="s">
        <v>767</v>
      </c>
      <c r="F1898" s="9">
        <v>35.76</v>
      </c>
      <c r="G1898" s="8" t="s">
        <v>15</v>
      </c>
      <c r="H1898" s="8" t="str">
        <f t="shared" si="43"/>
        <v>Night</v>
      </c>
      <c r="I1898" s="8" t="str">
        <f t="shared" si="44"/>
        <v>Fri</v>
      </c>
      <c r="J1898" s="8" t="str">
        <f t="shared" si="45"/>
        <v>Oct</v>
      </c>
      <c r="K1898" s="8">
        <f t="shared" si="46"/>
        <v>5</v>
      </c>
      <c r="L1898" s="8">
        <f t="shared" si="47"/>
        <v>10</v>
      </c>
    </row>
    <row r="1899" spans="1:12" x14ac:dyDescent="0.3">
      <c r="A1899" s="10">
        <v>45576</v>
      </c>
      <c r="B1899" s="11">
        <v>45576.908769907408</v>
      </c>
      <c r="C1899" s="12">
        <f t="shared" si="42"/>
        <v>21</v>
      </c>
      <c r="D1899" s="12" t="s">
        <v>4</v>
      </c>
      <c r="E1899" s="12" t="s">
        <v>710</v>
      </c>
      <c r="F1899" s="13">
        <v>35.76</v>
      </c>
      <c r="G1899" s="12" t="s">
        <v>13</v>
      </c>
      <c r="H1899" s="12" t="str">
        <f t="shared" si="43"/>
        <v>Night</v>
      </c>
      <c r="I1899" s="12" t="str">
        <f t="shared" si="44"/>
        <v>Fri</v>
      </c>
      <c r="J1899" s="12" t="str">
        <f t="shared" si="45"/>
        <v>Oct</v>
      </c>
      <c r="K1899" s="12">
        <f t="shared" si="46"/>
        <v>5</v>
      </c>
      <c r="L1899" s="12">
        <f t="shared" si="47"/>
        <v>10</v>
      </c>
    </row>
    <row r="1900" spans="1:12" x14ac:dyDescent="0.3">
      <c r="A1900" s="6">
        <v>45576</v>
      </c>
      <c r="B1900" s="7">
        <v>45576.912426006944</v>
      </c>
      <c r="C1900" s="8">
        <f t="shared" si="42"/>
        <v>21</v>
      </c>
      <c r="D1900" s="8" t="s">
        <v>4</v>
      </c>
      <c r="E1900" s="8" t="s">
        <v>768</v>
      </c>
      <c r="F1900" s="9">
        <v>30.86</v>
      </c>
      <c r="G1900" s="8" t="s">
        <v>20</v>
      </c>
      <c r="H1900" s="8" t="str">
        <f t="shared" si="43"/>
        <v>Night</v>
      </c>
      <c r="I1900" s="8" t="str">
        <f t="shared" si="44"/>
        <v>Fri</v>
      </c>
      <c r="J1900" s="8" t="str">
        <f t="shared" si="45"/>
        <v>Oct</v>
      </c>
      <c r="K1900" s="8">
        <f t="shared" si="46"/>
        <v>5</v>
      </c>
      <c r="L1900" s="8">
        <f t="shared" si="47"/>
        <v>10</v>
      </c>
    </row>
    <row r="1901" spans="1:12" x14ac:dyDescent="0.3">
      <c r="A1901" s="10">
        <v>45576</v>
      </c>
      <c r="B1901" s="11">
        <v>45576.941986493053</v>
      </c>
      <c r="C1901" s="12">
        <f t="shared" si="42"/>
        <v>22</v>
      </c>
      <c r="D1901" s="12" t="s">
        <v>4</v>
      </c>
      <c r="E1901" s="12" t="s">
        <v>769</v>
      </c>
      <c r="F1901" s="13">
        <v>35.76</v>
      </c>
      <c r="G1901" s="12" t="s">
        <v>15</v>
      </c>
      <c r="H1901" s="12" t="str">
        <f t="shared" si="43"/>
        <v>Night</v>
      </c>
      <c r="I1901" s="12" t="str">
        <f t="shared" si="44"/>
        <v>Fri</v>
      </c>
      <c r="J1901" s="12" t="str">
        <f t="shared" si="45"/>
        <v>Oct</v>
      </c>
      <c r="K1901" s="12">
        <f t="shared" si="46"/>
        <v>5</v>
      </c>
      <c r="L1901" s="12">
        <f t="shared" si="47"/>
        <v>10</v>
      </c>
    </row>
    <row r="1902" spans="1:12" x14ac:dyDescent="0.3">
      <c r="A1902" s="6">
        <v>45576</v>
      </c>
      <c r="B1902" s="7">
        <v>45576.942670150464</v>
      </c>
      <c r="C1902" s="8">
        <f t="shared" si="42"/>
        <v>22</v>
      </c>
      <c r="D1902" s="8" t="s">
        <v>4</v>
      </c>
      <c r="E1902" s="8" t="s">
        <v>769</v>
      </c>
      <c r="F1902" s="9">
        <v>35.76</v>
      </c>
      <c r="G1902" s="8" t="s">
        <v>15</v>
      </c>
      <c r="H1902" s="8" t="str">
        <f t="shared" si="43"/>
        <v>Night</v>
      </c>
      <c r="I1902" s="8" t="str">
        <f t="shared" si="44"/>
        <v>Fri</v>
      </c>
      <c r="J1902" s="8" t="str">
        <f t="shared" si="45"/>
        <v>Oct</v>
      </c>
      <c r="K1902" s="8">
        <f t="shared" si="46"/>
        <v>5</v>
      </c>
      <c r="L1902" s="8">
        <f t="shared" si="47"/>
        <v>10</v>
      </c>
    </row>
    <row r="1903" spans="1:12" x14ac:dyDescent="0.3">
      <c r="A1903" s="10">
        <v>45577</v>
      </c>
      <c r="B1903" s="11">
        <v>45577.352957384261</v>
      </c>
      <c r="C1903" s="12">
        <f t="shared" si="42"/>
        <v>8</v>
      </c>
      <c r="D1903" s="12" t="s">
        <v>4</v>
      </c>
      <c r="E1903" s="12" t="s">
        <v>161</v>
      </c>
      <c r="F1903" s="13">
        <v>25.96</v>
      </c>
      <c r="G1903" s="12" t="s">
        <v>34</v>
      </c>
      <c r="H1903" s="12" t="str">
        <f t="shared" si="43"/>
        <v>Morning</v>
      </c>
      <c r="I1903" s="12" t="str">
        <f t="shared" si="44"/>
        <v>Sat</v>
      </c>
      <c r="J1903" s="12" t="str">
        <f t="shared" si="45"/>
        <v>Oct</v>
      </c>
      <c r="K1903" s="12">
        <f t="shared" si="46"/>
        <v>6</v>
      </c>
      <c r="L1903" s="12">
        <f t="shared" si="47"/>
        <v>10</v>
      </c>
    </row>
    <row r="1904" spans="1:12" x14ac:dyDescent="0.3">
      <c r="A1904" s="6">
        <v>45577</v>
      </c>
      <c r="B1904" s="7">
        <v>45577.438644664355</v>
      </c>
      <c r="C1904" s="8">
        <f t="shared" si="42"/>
        <v>10</v>
      </c>
      <c r="D1904" s="8" t="s">
        <v>4</v>
      </c>
      <c r="E1904" s="8" t="s">
        <v>670</v>
      </c>
      <c r="F1904" s="9">
        <v>25.96</v>
      </c>
      <c r="G1904" s="8" t="s">
        <v>34</v>
      </c>
      <c r="H1904" s="8" t="str">
        <f t="shared" si="43"/>
        <v>Morning</v>
      </c>
      <c r="I1904" s="8" t="str">
        <f t="shared" si="44"/>
        <v>Sat</v>
      </c>
      <c r="J1904" s="8" t="str">
        <f t="shared" si="45"/>
        <v>Oct</v>
      </c>
      <c r="K1904" s="8">
        <f t="shared" si="46"/>
        <v>6</v>
      </c>
      <c r="L1904" s="8">
        <f t="shared" si="47"/>
        <v>10</v>
      </c>
    </row>
    <row r="1905" spans="1:12" x14ac:dyDescent="0.3">
      <c r="A1905" s="10">
        <v>45577</v>
      </c>
      <c r="B1905" s="11">
        <v>45577.439531504628</v>
      </c>
      <c r="C1905" s="12">
        <f t="shared" si="42"/>
        <v>10</v>
      </c>
      <c r="D1905" s="12" t="s">
        <v>4</v>
      </c>
      <c r="E1905" s="12" t="s">
        <v>670</v>
      </c>
      <c r="F1905" s="13">
        <v>25.96</v>
      </c>
      <c r="G1905" s="12" t="s">
        <v>34</v>
      </c>
      <c r="H1905" s="12" t="str">
        <f t="shared" si="43"/>
        <v>Morning</v>
      </c>
      <c r="I1905" s="12" t="str">
        <f t="shared" si="44"/>
        <v>Sat</v>
      </c>
      <c r="J1905" s="12" t="str">
        <f t="shared" si="45"/>
        <v>Oct</v>
      </c>
      <c r="K1905" s="12">
        <f t="shared" si="46"/>
        <v>6</v>
      </c>
      <c r="L1905" s="12">
        <f t="shared" si="47"/>
        <v>10</v>
      </c>
    </row>
    <row r="1906" spans="1:12" x14ac:dyDescent="0.3">
      <c r="A1906" s="6">
        <v>45577</v>
      </c>
      <c r="B1906" s="7">
        <v>45577.494623831015</v>
      </c>
      <c r="C1906" s="8">
        <f t="shared" si="42"/>
        <v>11</v>
      </c>
      <c r="D1906" s="8" t="s">
        <v>4</v>
      </c>
      <c r="E1906" s="8" t="s">
        <v>527</v>
      </c>
      <c r="F1906" s="9">
        <v>35.76</v>
      </c>
      <c r="G1906" s="8" t="s">
        <v>13</v>
      </c>
      <c r="H1906" s="8" t="str">
        <f t="shared" si="43"/>
        <v>Morning</v>
      </c>
      <c r="I1906" s="8" t="str">
        <f t="shared" si="44"/>
        <v>Sat</v>
      </c>
      <c r="J1906" s="8" t="str">
        <f t="shared" si="45"/>
        <v>Oct</v>
      </c>
      <c r="K1906" s="8">
        <f t="shared" si="46"/>
        <v>6</v>
      </c>
      <c r="L1906" s="8">
        <f t="shared" si="47"/>
        <v>10</v>
      </c>
    </row>
    <row r="1907" spans="1:12" x14ac:dyDescent="0.3">
      <c r="A1907" s="10">
        <v>45577</v>
      </c>
      <c r="B1907" s="11">
        <v>45577.495614502317</v>
      </c>
      <c r="C1907" s="12">
        <f t="shared" si="42"/>
        <v>11</v>
      </c>
      <c r="D1907" s="12" t="s">
        <v>4</v>
      </c>
      <c r="E1907" s="12" t="s">
        <v>770</v>
      </c>
      <c r="F1907" s="13">
        <v>30.86</v>
      </c>
      <c r="G1907" s="12" t="s">
        <v>20</v>
      </c>
      <c r="H1907" s="12" t="str">
        <f t="shared" si="43"/>
        <v>Morning</v>
      </c>
      <c r="I1907" s="12" t="str">
        <f t="shared" si="44"/>
        <v>Sat</v>
      </c>
      <c r="J1907" s="12" t="str">
        <f t="shared" si="45"/>
        <v>Oct</v>
      </c>
      <c r="K1907" s="12">
        <f t="shared" si="46"/>
        <v>6</v>
      </c>
      <c r="L1907" s="12">
        <f t="shared" si="47"/>
        <v>10</v>
      </c>
    </row>
    <row r="1908" spans="1:12" x14ac:dyDescent="0.3">
      <c r="A1908" s="6">
        <v>45577</v>
      </c>
      <c r="B1908" s="7">
        <v>45577.55471128472</v>
      </c>
      <c r="C1908" s="8">
        <f t="shared" si="42"/>
        <v>13</v>
      </c>
      <c r="D1908" s="8" t="s">
        <v>4</v>
      </c>
      <c r="E1908" s="8" t="s">
        <v>771</v>
      </c>
      <c r="F1908" s="9">
        <v>35.76</v>
      </c>
      <c r="G1908" s="8" t="s">
        <v>49</v>
      </c>
      <c r="H1908" s="8" t="str">
        <f t="shared" si="43"/>
        <v>Afternoon</v>
      </c>
      <c r="I1908" s="8" t="str">
        <f t="shared" si="44"/>
        <v>Sat</v>
      </c>
      <c r="J1908" s="8" t="str">
        <f t="shared" si="45"/>
        <v>Oct</v>
      </c>
      <c r="K1908" s="8">
        <f t="shared" si="46"/>
        <v>6</v>
      </c>
      <c r="L1908" s="8">
        <f t="shared" si="47"/>
        <v>10</v>
      </c>
    </row>
    <row r="1909" spans="1:12" x14ac:dyDescent="0.3">
      <c r="A1909" s="10">
        <v>45577</v>
      </c>
      <c r="B1909" s="11">
        <v>45577.840901759257</v>
      </c>
      <c r="C1909" s="12">
        <f t="shared" si="42"/>
        <v>20</v>
      </c>
      <c r="D1909" s="12" t="s">
        <v>4</v>
      </c>
      <c r="E1909" s="12" t="s">
        <v>527</v>
      </c>
      <c r="F1909" s="13">
        <v>35.76</v>
      </c>
      <c r="G1909" s="12" t="s">
        <v>13</v>
      </c>
      <c r="H1909" s="12" t="str">
        <f t="shared" si="43"/>
        <v>Night</v>
      </c>
      <c r="I1909" s="12" t="str">
        <f t="shared" si="44"/>
        <v>Sat</v>
      </c>
      <c r="J1909" s="12" t="str">
        <f t="shared" si="45"/>
        <v>Oct</v>
      </c>
      <c r="K1909" s="12">
        <f t="shared" si="46"/>
        <v>6</v>
      </c>
      <c r="L1909" s="12">
        <f t="shared" si="47"/>
        <v>10</v>
      </c>
    </row>
    <row r="1910" spans="1:12" x14ac:dyDescent="0.3">
      <c r="A1910" s="6">
        <v>45578</v>
      </c>
      <c r="B1910" s="7">
        <v>45578.413138738426</v>
      </c>
      <c r="C1910" s="8">
        <f t="shared" si="42"/>
        <v>9</v>
      </c>
      <c r="D1910" s="8" t="s">
        <v>4</v>
      </c>
      <c r="E1910" s="8" t="s">
        <v>161</v>
      </c>
      <c r="F1910" s="9">
        <v>25.96</v>
      </c>
      <c r="G1910" s="8" t="s">
        <v>34</v>
      </c>
      <c r="H1910" s="8" t="str">
        <f t="shared" si="43"/>
        <v>Morning</v>
      </c>
      <c r="I1910" s="8" t="str">
        <f t="shared" si="44"/>
        <v>Sun</v>
      </c>
      <c r="J1910" s="8" t="str">
        <f t="shared" si="45"/>
        <v>Oct</v>
      </c>
      <c r="K1910" s="8">
        <f t="shared" si="46"/>
        <v>7</v>
      </c>
      <c r="L1910" s="8">
        <f t="shared" si="47"/>
        <v>10</v>
      </c>
    </row>
    <row r="1911" spans="1:12" x14ac:dyDescent="0.3">
      <c r="A1911" s="10">
        <v>45578</v>
      </c>
      <c r="B1911" s="11">
        <v>45578.514428182869</v>
      </c>
      <c r="C1911" s="12">
        <f t="shared" si="42"/>
        <v>12</v>
      </c>
      <c r="D1911" s="12" t="s">
        <v>4</v>
      </c>
      <c r="E1911" s="12" t="s">
        <v>772</v>
      </c>
      <c r="F1911" s="13">
        <v>30.86</v>
      </c>
      <c r="G1911" s="12" t="s">
        <v>20</v>
      </c>
      <c r="H1911" s="12" t="str">
        <f t="shared" si="43"/>
        <v>Afternoon</v>
      </c>
      <c r="I1911" s="12" t="str">
        <f t="shared" si="44"/>
        <v>Sun</v>
      </c>
      <c r="J1911" s="12" t="str">
        <f t="shared" si="45"/>
        <v>Oct</v>
      </c>
      <c r="K1911" s="12">
        <f t="shared" si="46"/>
        <v>7</v>
      </c>
      <c r="L1911" s="12">
        <f t="shared" si="47"/>
        <v>10</v>
      </c>
    </row>
    <row r="1912" spans="1:12" x14ac:dyDescent="0.3">
      <c r="A1912" s="6">
        <v>45578</v>
      </c>
      <c r="B1912" s="7">
        <v>45578.564230555552</v>
      </c>
      <c r="C1912" s="8">
        <f t="shared" si="42"/>
        <v>13</v>
      </c>
      <c r="D1912" s="8" t="s">
        <v>4</v>
      </c>
      <c r="E1912" s="8" t="s">
        <v>670</v>
      </c>
      <c r="F1912" s="9">
        <v>25.96</v>
      </c>
      <c r="G1912" s="8" t="s">
        <v>34</v>
      </c>
      <c r="H1912" s="8" t="str">
        <f t="shared" si="43"/>
        <v>Afternoon</v>
      </c>
      <c r="I1912" s="8" t="str">
        <f t="shared" si="44"/>
        <v>Sun</v>
      </c>
      <c r="J1912" s="8" t="str">
        <f t="shared" si="45"/>
        <v>Oct</v>
      </c>
      <c r="K1912" s="8">
        <f t="shared" si="46"/>
        <v>7</v>
      </c>
      <c r="L1912" s="8">
        <f t="shared" si="47"/>
        <v>10</v>
      </c>
    </row>
    <row r="1913" spans="1:12" x14ac:dyDescent="0.3">
      <c r="A1913" s="10">
        <v>45578</v>
      </c>
      <c r="B1913" s="11">
        <v>45578.564923437501</v>
      </c>
      <c r="C1913" s="12">
        <f t="shared" si="42"/>
        <v>13</v>
      </c>
      <c r="D1913" s="12" t="s">
        <v>4</v>
      </c>
      <c r="E1913" s="12" t="s">
        <v>670</v>
      </c>
      <c r="F1913" s="13">
        <v>21.06</v>
      </c>
      <c r="G1913" s="12" t="s">
        <v>41</v>
      </c>
      <c r="H1913" s="12" t="str">
        <f t="shared" si="43"/>
        <v>Afternoon</v>
      </c>
      <c r="I1913" s="12" t="str">
        <f t="shared" si="44"/>
        <v>Sun</v>
      </c>
      <c r="J1913" s="12" t="str">
        <f t="shared" si="45"/>
        <v>Oct</v>
      </c>
      <c r="K1913" s="12">
        <f t="shared" si="46"/>
        <v>7</v>
      </c>
      <c r="L1913" s="12">
        <f t="shared" si="47"/>
        <v>10</v>
      </c>
    </row>
    <row r="1914" spans="1:12" x14ac:dyDescent="0.3">
      <c r="A1914" s="6">
        <v>45578</v>
      </c>
      <c r="B1914" s="7">
        <v>45578.565577627312</v>
      </c>
      <c r="C1914" s="8">
        <f t="shared" si="42"/>
        <v>13</v>
      </c>
      <c r="D1914" s="8" t="s">
        <v>4</v>
      </c>
      <c r="E1914" s="8" t="s">
        <v>670</v>
      </c>
      <c r="F1914" s="9">
        <v>25.96</v>
      </c>
      <c r="G1914" s="8" t="s">
        <v>34</v>
      </c>
      <c r="H1914" s="8" t="str">
        <f t="shared" si="43"/>
        <v>Afternoon</v>
      </c>
      <c r="I1914" s="8" t="str">
        <f t="shared" si="44"/>
        <v>Sun</v>
      </c>
      <c r="J1914" s="8" t="str">
        <f t="shared" si="45"/>
        <v>Oct</v>
      </c>
      <c r="K1914" s="8">
        <f t="shared" si="46"/>
        <v>7</v>
      </c>
      <c r="L1914" s="8">
        <f t="shared" si="47"/>
        <v>10</v>
      </c>
    </row>
    <row r="1915" spans="1:12" x14ac:dyDescent="0.3">
      <c r="A1915" s="10">
        <v>45578</v>
      </c>
      <c r="B1915" s="11">
        <v>45578.74537866898</v>
      </c>
      <c r="C1915" s="12">
        <f t="shared" si="42"/>
        <v>17</v>
      </c>
      <c r="D1915" s="12" t="s">
        <v>4</v>
      </c>
      <c r="E1915" s="12" t="s">
        <v>527</v>
      </c>
      <c r="F1915" s="13">
        <v>35.76</v>
      </c>
      <c r="G1915" s="12" t="s">
        <v>13</v>
      </c>
      <c r="H1915" s="12" t="str">
        <f t="shared" si="43"/>
        <v>Night</v>
      </c>
      <c r="I1915" s="12" t="str">
        <f t="shared" si="44"/>
        <v>Sun</v>
      </c>
      <c r="J1915" s="12" t="str">
        <f t="shared" si="45"/>
        <v>Oct</v>
      </c>
      <c r="K1915" s="12">
        <f t="shared" si="46"/>
        <v>7</v>
      </c>
      <c r="L1915" s="12">
        <f t="shared" si="47"/>
        <v>10</v>
      </c>
    </row>
    <row r="1916" spans="1:12" x14ac:dyDescent="0.3">
      <c r="A1916" s="6">
        <v>45578</v>
      </c>
      <c r="B1916" s="7">
        <v>45578.746092939815</v>
      </c>
      <c r="C1916" s="8">
        <f t="shared" si="42"/>
        <v>17</v>
      </c>
      <c r="D1916" s="8" t="s">
        <v>4</v>
      </c>
      <c r="E1916" s="8" t="s">
        <v>527</v>
      </c>
      <c r="F1916" s="9">
        <v>35.76</v>
      </c>
      <c r="G1916" s="8" t="s">
        <v>13</v>
      </c>
      <c r="H1916" s="8" t="str">
        <f t="shared" si="43"/>
        <v>Night</v>
      </c>
      <c r="I1916" s="8" t="str">
        <f t="shared" si="44"/>
        <v>Sun</v>
      </c>
      <c r="J1916" s="8" t="str">
        <f t="shared" si="45"/>
        <v>Oct</v>
      </c>
      <c r="K1916" s="8">
        <f t="shared" si="46"/>
        <v>7</v>
      </c>
      <c r="L1916" s="8">
        <f t="shared" si="47"/>
        <v>10</v>
      </c>
    </row>
    <row r="1917" spans="1:12" x14ac:dyDescent="0.3">
      <c r="A1917" s="10">
        <v>45578</v>
      </c>
      <c r="B1917" s="11">
        <v>45578.765958553238</v>
      </c>
      <c r="C1917" s="12">
        <f t="shared" si="42"/>
        <v>18</v>
      </c>
      <c r="D1917" s="12" t="s">
        <v>4</v>
      </c>
      <c r="E1917" s="12" t="s">
        <v>773</v>
      </c>
      <c r="F1917" s="13">
        <v>35.76</v>
      </c>
      <c r="G1917" s="12" t="s">
        <v>49</v>
      </c>
      <c r="H1917" s="12" t="str">
        <f t="shared" si="43"/>
        <v>Night</v>
      </c>
      <c r="I1917" s="12" t="str">
        <f t="shared" si="44"/>
        <v>Sun</v>
      </c>
      <c r="J1917" s="12" t="str">
        <f t="shared" si="45"/>
        <v>Oct</v>
      </c>
      <c r="K1917" s="12">
        <f t="shared" si="46"/>
        <v>7</v>
      </c>
      <c r="L1917" s="12">
        <f t="shared" si="47"/>
        <v>10</v>
      </c>
    </row>
    <row r="1918" spans="1:12" x14ac:dyDescent="0.3">
      <c r="A1918" s="6">
        <v>45578</v>
      </c>
      <c r="B1918" s="7">
        <v>45578.863251481482</v>
      </c>
      <c r="C1918" s="8">
        <f t="shared" si="42"/>
        <v>20</v>
      </c>
      <c r="D1918" s="8" t="s">
        <v>4</v>
      </c>
      <c r="E1918" s="8" t="s">
        <v>277</v>
      </c>
      <c r="F1918" s="9">
        <v>35.76</v>
      </c>
      <c r="G1918" s="8" t="s">
        <v>49</v>
      </c>
      <c r="H1918" s="8" t="str">
        <f t="shared" si="43"/>
        <v>Night</v>
      </c>
      <c r="I1918" s="8" t="str">
        <f t="shared" si="44"/>
        <v>Sun</v>
      </c>
      <c r="J1918" s="8" t="str">
        <f t="shared" si="45"/>
        <v>Oct</v>
      </c>
      <c r="K1918" s="8">
        <f t="shared" si="46"/>
        <v>7</v>
      </c>
      <c r="L1918" s="8">
        <f t="shared" si="47"/>
        <v>10</v>
      </c>
    </row>
    <row r="1919" spans="1:12" x14ac:dyDescent="0.3">
      <c r="A1919" s="10">
        <v>45579</v>
      </c>
      <c r="B1919" s="11">
        <v>45579.352021284722</v>
      </c>
      <c r="C1919" s="12">
        <f t="shared" si="42"/>
        <v>8</v>
      </c>
      <c r="D1919" s="12" t="s">
        <v>4</v>
      </c>
      <c r="E1919" s="12" t="s">
        <v>296</v>
      </c>
      <c r="F1919" s="13">
        <v>30.86</v>
      </c>
      <c r="G1919" s="12" t="s">
        <v>20</v>
      </c>
      <c r="H1919" s="12" t="str">
        <f t="shared" si="43"/>
        <v>Morning</v>
      </c>
      <c r="I1919" s="12" t="str">
        <f t="shared" si="44"/>
        <v>Mon</v>
      </c>
      <c r="J1919" s="12" t="str">
        <f t="shared" si="45"/>
        <v>Oct</v>
      </c>
      <c r="K1919" s="12">
        <f t="shared" si="46"/>
        <v>1</v>
      </c>
      <c r="L1919" s="12">
        <f t="shared" si="47"/>
        <v>10</v>
      </c>
    </row>
    <row r="1920" spans="1:12" x14ac:dyDescent="0.3">
      <c r="A1920" s="6">
        <v>45579</v>
      </c>
      <c r="B1920" s="7">
        <v>45579.409659155092</v>
      </c>
      <c r="C1920" s="8">
        <f t="shared" si="42"/>
        <v>9</v>
      </c>
      <c r="D1920" s="8" t="s">
        <v>4</v>
      </c>
      <c r="E1920" s="8" t="s">
        <v>774</v>
      </c>
      <c r="F1920" s="9">
        <v>35.76</v>
      </c>
      <c r="G1920" s="8" t="s">
        <v>24</v>
      </c>
      <c r="H1920" s="8" t="str">
        <f t="shared" si="43"/>
        <v>Morning</v>
      </c>
      <c r="I1920" s="8" t="str">
        <f t="shared" si="44"/>
        <v>Mon</v>
      </c>
      <c r="J1920" s="8" t="str">
        <f t="shared" si="45"/>
        <v>Oct</v>
      </c>
      <c r="K1920" s="8">
        <f t="shared" si="46"/>
        <v>1</v>
      </c>
      <c r="L1920" s="8">
        <f t="shared" si="47"/>
        <v>10</v>
      </c>
    </row>
    <row r="1921" spans="1:12" x14ac:dyDescent="0.3">
      <c r="A1921" s="10">
        <v>45579</v>
      </c>
      <c r="B1921" s="11">
        <v>45579.436008171295</v>
      </c>
      <c r="C1921" s="12">
        <f t="shared" si="42"/>
        <v>10</v>
      </c>
      <c r="D1921" s="12" t="s">
        <v>4</v>
      </c>
      <c r="E1921" s="12" t="s">
        <v>161</v>
      </c>
      <c r="F1921" s="13">
        <v>25.96</v>
      </c>
      <c r="G1921" s="12" t="s">
        <v>34</v>
      </c>
      <c r="H1921" s="12" t="str">
        <f t="shared" si="43"/>
        <v>Morning</v>
      </c>
      <c r="I1921" s="12" t="str">
        <f t="shared" si="44"/>
        <v>Mon</v>
      </c>
      <c r="J1921" s="12" t="str">
        <f t="shared" si="45"/>
        <v>Oct</v>
      </c>
      <c r="K1921" s="12">
        <f t="shared" si="46"/>
        <v>1</v>
      </c>
      <c r="L1921" s="12">
        <f t="shared" si="47"/>
        <v>10</v>
      </c>
    </row>
    <row r="1922" spans="1:12" x14ac:dyDescent="0.3">
      <c r="A1922" s="6">
        <v>45579</v>
      </c>
      <c r="B1922" s="7">
        <v>45579.443133773151</v>
      </c>
      <c r="C1922" s="8">
        <f t="shared" si="42"/>
        <v>10</v>
      </c>
      <c r="D1922" s="8" t="s">
        <v>4</v>
      </c>
      <c r="E1922" s="8" t="s">
        <v>460</v>
      </c>
      <c r="F1922" s="9">
        <v>35.76</v>
      </c>
      <c r="G1922" s="8" t="s">
        <v>13</v>
      </c>
      <c r="H1922" s="8" t="str">
        <f t="shared" si="43"/>
        <v>Morning</v>
      </c>
      <c r="I1922" s="8" t="str">
        <f t="shared" si="44"/>
        <v>Mon</v>
      </c>
      <c r="J1922" s="8" t="str">
        <f t="shared" si="45"/>
        <v>Oct</v>
      </c>
      <c r="K1922" s="8">
        <f t="shared" si="46"/>
        <v>1</v>
      </c>
      <c r="L1922" s="8">
        <f t="shared" si="47"/>
        <v>10</v>
      </c>
    </row>
    <row r="1923" spans="1:12" x14ac:dyDescent="0.3">
      <c r="A1923" s="10">
        <v>45579</v>
      </c>
      <c r="B1923" s="11">
        <v>45579.44390875</v>
      </c>
      <c r="C1923" s="12">
        <f t="shared" si="42"/>
        <v>10</v>
      </c>
      <c r="D1923" s="12" t="s">
        <v>4</v>
      </c>
      <c r="E1923" s="12" t="s">
        <v>460</v>
      </c>
      <c r="F1923" s="13">
        <v>35.76</v>
      </c>
      <c r="G1923" s="12" t="s">
        <v>13</v>
      </c>
      <c r="H1923" s="12" t="str">
        <f t="shared" si="43"/>
        <v>Morning</v>
      </c>
      <c r="I1923" s="12" t="str">
        <f t="shared" si="44"/>
        <v>Mon</v>
      </c>
      <c r="J1923" s="12" t="str">
        <f t="shared" si="45"/>
        <v>Oct</v>
      </c>
      <c r="K1923" s="12">
        <f t="shared" si="46"/>
        <v>1</v>
      </c>
      <c r="L1923" s="12">
        <f t="shared" si="47"/>
        <v>10</v>
      </c>
    </row>
    <row r="1924" spans="1:12" x14ac:dyDescent="0.3">
      <c r="A1924" s="6">
        <v>45579</v>
      </c>
      <c r="B1924" s="7">
        <v>45579.474890925929</v>
      </c>
      <c r="C1924" s="8">
        <f t="shared" si="42"/>
        <v>11</v>
      </c>
      <c r="D1924" s="8" t="s">
        <v>4</v>
      </c>
      <c r="E1924" s="8" t="s">
        <v>775</v>
      </c>
      <c r="F1924" s="9">
        <v>35.76</v>
      </c>
      <c r="G1924" s="8" t="s">
        <v>49</v>
      </c>
      <c r="H1924" s="8" t="str">
        <f t="shared" si="43"/>
        <v>Morning</v>
      </c>
      <c r="I1924" s="8" t="str">
        <f t="shared" si="44"/>
        <v>Mon</v>
      </c>
      <c r="J1924" s="8" t="str">
        <f t="shared" si="45"/>
        <v>Oct</v>
      </c>
      <c r="K1924" s="8">
        <f t="shared" si="46"/>
        <v>1</v>
      </c>
      <c r="L1924" s="8">
        <f t="shared" si="47"/>
        <v>10</v>
      </c>
    </row>
    <row r="1925" spans="1:12" x14ac:dyDescent="0.3">
      <c r="A1925" s="10">
        <v>45579</v>
      </c>
      <c r="B1925" s="11">
        <v>45579.476126145833</v>
      </c>
      <c r="C1925" s="12">
        <f t="shared" si="42"/>
        <v>11</v>
      </c>
      <c r="D1925" s="12" t="s">
        <v>4</v>
      </c>
      <c r="E1925" s="12" t="s">
        <v>245</v>
      </c>
      <c r="F1925" s="13">
        <v>25.96</v>
      </c>
      <c r="G1925" s="12" t="s">
        <v>17</v>
      </c>
      <c r="H1925" s="12" t="str">
        <f t="shared" si="43"/>
        <v>Morning</v>
      </c>
      <c r="I1925" s="12" t="str">
        <f t="shared" si="44"/>
        <v>Mon</v>
      </c>
      <c r="J1925" s="12" t="str">
        <f t="shared" si="45"/>
        <v>Oct</v>
      </c>
      <c r="K1925" s="12">
        <f t="shared" si="46"/>
        <v>1</v>
      </c>
      <c r="L1925" s="12">
        <f t="shared" si="47"/>
        <v>10</v>
      </c>
    </row>
    <row r="1926" spans="1:12" x14ac:dyDescent="0.3">
      <c r="A1926" s="6">
        <v>45579</v>
      </c>
      <c r="B1926" s="7">
        <v>45579.476912557868</v>
      </c>
      <c r="C1926" s="8">
        <f t="shared" si="42"/>
        <v>11</v>
      </c>
      <c r="D1926" s="8" t="s">
        <v>4</v>
      </c>
      <c r="E1926" s="8" t="s">
        <v>245</v>
      </c>
      <c r="F1926" s="9">
        <v>25.96</v>
      </c>
      <c r="G1926" s="8" t="s">
        <v>17</v>
      </c>
      <c r="H1926" s="8" t="str">
        <f t="shared" si="43"/>
        <v>Morning</v>
      </c>
      <c r="I1926" s="8" t="str">
        <f t="shared" si="44"/>
        <v>Mon</v>
      </c>
      <c r="J1926" s="8" t="str">
        <f t="shared" si="45"/>
        <v>Oct</v>
      </c>
      <c r="K1926" s="8">
        <f t="shared" si="46"/>
        <v>1</v>
      </c>
      <c r="L1926" s="8">
        <f t="shared" si="47"/>
        <v>10</v>
      </c>
    </row>
    <row r="1927" spans="1:12" x14ac:dyDescent="0.3">
      <c r="A1927" s="10">
        <v>45579</v>
      </c>
      <c r="B1927" s="11">
        <v>45579.608415925926</v>
      </c>
      <c r="C1927" s="12">
        <f t="shared" si="42"/>
        <v>14</v>
      </c>
      <c r="D1927" s="12" t="s">
        <v>4</v>
      </c>
      <c r="E1927" s="12" t="s">
        <v>776</v>
      </c>
      <c r="F1927" s="13">
        <v>35.76</v>
      </c>
      <c r="G1927" s="12" t="s">
        <v>13</v>
      </c>
      <c r="H1927" s="12" t="str">
        <f t="shared" si="43"/>
        <v>Afternoon</v>
      </c>
      <c r="I1927" s="12" t="str">
        <f t="shared" si="44"/>
        <v>Mon</v>
      </c>
      <c r="J1927" s="12" t="str">
        <f t="shared" si="45"/>
        <v>Oct</v>
      </c>
      <c r="K1927" s="12">
        <f t="shared" si="46"/>
        <v>1</v>
      </c>
      <c r="L1927" s="12">
        <f t="shared" si="47"/>
        <v>10</v>
      </c>
    </row>
    <row r="1928" spans="1:12" x14ac:dyDescent="0.3">
      <c r="A1928" s="6">
        <v>45579</v>
      </c>
      <c r="B1928" s="7">
        <v>45579.617956736111</v>
      </c>
      <c r="C1928" s="8">
        <f t="shared" si="42"/>
        <v>14</v>
      </c>
      <c r="D1928" s="8" t="s">
        <v>4</v>
      </c>
      <c r="E1928" s="8" t="s">
        <v>527</v>
      </c>
      <c r="F1928" s="9">
        <v>35.76</v>
      </c>
      <c r="G1928" s="8" t="s">
        <v>13</v>
      </c>
      <c r="H1928" s="8" t="str">
        <f t="shared" si="43"/>
        <v>Afternoon</v>
      </c>
      <c r="I1928" s="8" t="str">
        <f t="shared" si="44"/>
        <v>Mon</v>
      </c>
      <c r="J1928" s="8" t="str">
        <f t="shared" si="45"/>
        <v>Oct</v>
      </c>
      <c r="K1928" s="8">
        <f t="shared" si="46"/>
        <v>1</v>
      </c>
      <c r="L1928" s="8">
        <f t="shared" si="47"/>
        <v>10</v>
      </c>
    </row>
    <row r="1929" spans="1:12" x14ac:dyDescent="0.3">
      <c r="A1929" s="10">
        <v>45579</v>
      </c>
      <c r="B1929" s="11">
        <v>45579.692910486112</v>
      </c>
      <c r="C1929" s="12">
        <f t="shared" si="42"/>
        <v>16</v>
      </c>
      <c r="D1929" s="12" t="s">
        <v>4</v>
      </c>
      <c r="E1929" s="12" t="s">
        <v>777</v>
      </c>
      <c r="F1929" s="13">
        <v>25.96</v>
      </c>
      <c r="G1929" s="12" t="s">
        <v>17</v>
      </c>
      <c r="H1929" s="12" t="str">
        <f t="shared" si="43"/>
        <v>Afternoon</v>
      </c>
      <c r="I1929" s="12" t="str">
        <f t="shared" si="44"/>
        <v>Mon</v>
      </c>
      <c r="J1929" s="12" t="str">
        <f t="shared" si="45"/>
        <v>Oct</v>
      </c>
      <c r="K1929" s="12">
        <f t="shared" si="46"/>
        <v>1</v>
      </c>
      <c r="L1929" s="12">
        <f t="shared" si="47"/>
        <v>10</v>
      </c>
    </row>
    <row r="1930" spans="1:12" x14ac:dyDescent="0.3">
      <c r="A1930" s="6">
        <v>45579</v>
      </c>
      <c r="B1930" s="7">
        <v>45579.763416562499</v>
      </c>
      <c r="C1930" s="8">
        <f t="shared" si="42"/>
        <v>18</v>
      </c>
      <c r="D1930" s="8" t="s">
        <v>4</v>
      </c>
      <c r="E1930" s="8" t="s">
        <v>778</v>
      </c>
      <c r="F1930" s="9">
        <v>35.76</v>
      </c>
      <c r="G1930" s="8" t="s">
        <v>13</v>
      </c>
      <c r="H1930" s="8" t="str">
        <f t="shared" si="43"/>
        <v>Night</v>
      </c>
      <c r="I1930" s="8" t="str">
        <f t="shared" si="44"/>
        <v>Mon</v>
      </c>
      <c r="J1930" s="8" t="str">
        <f t="shared" si="45"/>
        <v>Oct</v>
      </c>
      <c r="K1930" s="8">
        <f t="shared" si="46"/>
        <v>1</v>
      </c>
      <c r="L1930" s="8">
        <f t="shared" si="47"/>
        <v>10</v>
      </c>
    </row>
    <row r="1931" spans="1:12" x14ac:dyDescent="0.3">
      <c r="A1931" s="10">
        <v>45579</v>
      </c>
      <c r="B1931" s="11">
        <v>45579.764127129631</v>
      </c>
      <c r="C1931" s="12">
        <f t="shared" si="42"/>
        <v>18</v>
      </c>
      <c r="D1931" s="12" t="s">
        <v>4</v>
      </c>
      <c r="E1931" s="12" t="s">
        <v>778</v>
      </c>
      <c r="F1931" s="13">
        <v>35.76</v>
      </c>
      <c r="G1931" s="12" t="s">
        <v>49</v>
      </c>
      <c r="H1931" s="12" t="str">
        <f t="shared" si="43"/>
        <v>Night</v>
      </c>
      <c r="I1931" s="12" t="str">
        <f t="shared" si="44"/>
        <v>Mon</v>
      </c>
      <c r="J1931" s="12" t="str">
        <f t="shared" si="45"/>
        <v>Oct</v>
      </c>
      <c r="K1931" s="12">
        <f t="shared" si="46"/>
        <v>1</v>
      </c>
      <c r="L1931" s="12">
        <f t="shared" si="47"/>
        <v>10</v>
      </c>
    </row>
    <row r="1932" spans="1:12" x14ac:dyDescent="0.3">
      <c r="A1932" s="6">
        <v>45579</v>
      </c>
      <c r="B1932" s="7">
        <v>45579.922844097222</v>
      </c>
      <c r="C1932" s="8">
        <f t="shared" si="42"/>
        <v>22</v>
      </c>
      <c r="D1932" s="8" t="s">
        <v>4</v>
      </c>
      <c r="E1932" s="8" t="s">
        <v>779</v>
      </c>
      <c r="F1932" s="9">
        <v>35.76</v>
      </c>
      <c r="G1932" s="8" t="s">
        <v>13</v>
      </c>
      <c r="H1932" s="8" t="str">
        <f t="shared" si="43"/>
        <v>Night</v>
      </c>
      <c r="I1932" s="8" t="str">
        <f t="shared" si="44"/>
        <v>Mon</v>
      </c>
      <c r="J1932" s="8" t="str">
        <f t="shared" si="45"/>
        <v>Oct</v>
      </c>
      <c r="K1932" s="8">
        <f t="shared" si="46"/>
        <v>1</v>
      </c>
      <c r="L1932" s="8">
        <f t="shared" si="47"/>
        <v>10</v>
      </c>
    </row>
    <row r="1933" spans="1:12" x14ac:dyDescent="0.3">
      <c r="A1933" s="10">
        <v>45579</v>
      </c>
      <c r="B1933" s="11">
        <v>45579.92388509259</v>
      </c>
      <c r="C1933" s="12">
        <f t="shared" si="42"/>
        <v>22</v>
      </c>
      <c r="D1933" s="12" t="s">
        <v>4</v>
      </c>
      <c r="E1933" s="12" t="s">
        <v>780</v>
      </c>
      <c r="F1933" s="13">
        <v>35.76</v>
      </c>
      <c r="G1933" s="12" t="s">
        <v>13</v>
      </c>
      <c r="H1933" s="12" t="str">
        <f t="shared" si="43"/>
        <v>Night</v>
      </c>
      <c r="I1933" s="12" t="str">
        <f t="shared" si="44"/>
        <v>Mon</v>
      </c>
      <c r="J1933" s="12" t="str">
        <f t="shared" si="45"/>
        <v>Oct</v>
      </c>
      <c r="K1933" s="12">
        <f t="shared" si="46"/>
        <v>1</v>
      </c>
      <c r="L1933" s="12">
        <f t="shared" si="47"/>
        <v>10</v>
      </c>
    </row>
    <row r="1934" spans="1:12" x14ac:dyDescent="0.3">
      <c r="A1934" s="6">
        <v>45579</v>
      </c>
      <c r="B1934" s="7">
        <v>45579.931873437497</v>
      </c>
      <c r="C1934" s="8">
        <f t="shared" si="42"/>
        <v>22</v>
      </c>
      <c r="D1934" s="8" t="s">
        <v>4</v>
      </c>
      <c r="E1934" s="8" t="s">
        <v>530</v>
      </c>
      <c r="F1934" s="9">
        <v>35.76</v>
      </c>
      <c r="G1934" s="8" t="s">
        <v>13</v>
      </c>
      <c r="H1934" s="8" t="str">
        <f t="shared" si="43"/>
        <v>Night</v>
      </c>
      <c r="I1934" s="8" t="str">
        <f t="shared" si="44"/>
        <v>Mon</v>
      </c>
      <c r="J1934" s="8" t="str">
        <f t="shared" si="45"/>
        <v>Oct</v>
      </c>
      <c r="K1934" s="8">
        <f t="shared" si="46"/>
        <v>1</v>
      </c>
      <c r="L1934" s="8">
        <f t="shared" si="47"/>
        <v>10</v>
      </c>
    </row>
    <row r="1935" spans="1:12" x14ac:dyDescent="0.3">
      <c r="A1935" s="10">
        <v>45580</v>
      </c>
      <c r="B1935" s="11">
        <v>45580.343387349538</v>
      </c>
      <c r="C1935" s="12">
        <f t="shared" si="42"/>
        <v>8</v>
      </c>
      <c r="D1935" s="12" t="s">
        <v>4</v>
      </c>
      <c r="E1935" s="12" t="s">
        <v>161</v>
      </c>
      <c r="F1935" s="13">
        <v>25.96</v>
      </c>
      <c r="G1935" s="12" t="s">
        <v>34</v>
      </c>
      <c r="H1935" s="12" t="str">
        <f t="shared" si="43"/>
        <v>Morning</v>
      </c>
      <c r="I1935" s="12" t="str">
        <f t="shared" si="44"/>
        <v>Tue</v>
      </c>
      <c r="J1935" s="12" t="str">
        <f t="shared" si="45"/>
        <v>Oct</v>
      </c>
      <c r="K1935" s="12">
        <f t="shared" si="46"/>
        <v>2</v>
      </c>
      <c r="L1935" s="12">
        <f t="shared" si="47"/>
        <v>10</v>
      </c>
    </row>
    <row r="1936" spans="1:12" x14ac:dyDescent="0.3">
      <c r="A1936" s="6">
        <v>45580</v>
      </c>
      <c r="B1936" s="7">
        <v>45580.357151238422</v>
      </c>
      <c r="C1936" s="8">
        <f t="shared" si="42"/>
        <v>8</v>
      </c>
      <c r="D1936" s="8" t="s">
        <v>4</v>
      </c>
      <c r="E1936" s="8" t="s">
        <v>781</v>
      </c>
      <c r="F1936" s="9">
        <v>21.06</v>
      </c>
      <c r="G1936" s="8" t="s">
        <v>41</v>
      </c>
      <c r="H1936" s="8" t="str">
        <f t="shared" si="43"/>
        <v>Morning</v>
      </c>
      <c r="I1936" s="8" t="str">
        <f t="shared" si="44"/>
        <v>Tue</v>
      </c>
      <c r="J1936" s="8" t="str">
        <f t="shared" si="45"/>
        <v>Oct</v>
      </c>
      <c r="K1936" s="8">
        <f t="shared" si="46"/>
        <v>2</v>
      </c>
      <c r="L1936" s="8">
        <f t="shared" si="47"/>
        <v>10</v>
      </c>
    </row>
    <row r="1937" spans="1:12" x14ac:dyDescent="0.3">
      <c r="A1937" s="10">
        <v>45580</v>
      </c>
      <c r="B1937" s="11">
        <v>45580.467615312496</v>
      </c>
      <c r="C1937" s="12">
        <f t="shared" si="42"/>
        <v>11</v>
      </c>
      <c r="D1937" s="12" t="s">
        <v>4</v>
      </c>
      <c r="E1937" s="12" t="s">
        <v>782</v>
      </c>
      <c r="F1937" s="13">
        <v>35.76</v>
      </c>
      <c r="G1937" s="12" t="s">
        <v>15</v>
      </c>
      <c r="H1937" s="12" t="str">
        <f t="shared" si="43"/>
        <v>Morning</v>
      </c>
      <c r="I1937" s="12" t="str">
        <f t="shared" si="44"/>
        <v>Tue</v>
      </c>
      <c r="J1937" s="12" t="str">
        <f t="shared" si="45"/>
        <v>Oct</v>
      </c>
      <c r="K1937" s="12">
        <f t="shared" si="46"/>
        <v>2</v>
      </c>
      <c r="L1937" s="12">
        <f t="shared" si="47"/>
        <v>10</v>
      </c>
    </row>
    <row r="1938" spans="1:12" x14ac:dyDescent="0.3">
      <c r="A1938" s="6">
        <v>45580</v>
      </c>
      <c r="B1938" s="7">
        <v>45580.468988680557</v>
      </c>
      <c r="C1938" s="8">
        <f t="shared" si="42"/>
        <v>11</v>
      </c>
      <c r="D1938" s="8" t="s">
        <v>4</v>
      </c>
      <c r="E1938" s="8" t="s">
        <v>756</v>
      </c>
      <c r="F1938" s="9">
        <v>35.76</v>
      </c>
      <c r="G1938" s="8" t="s">
        <v>13</v>
      </c>
      <c r="H1938" s="8" t="str">
        <f t="shared" si="43"/>
        <v>Morning</v>
      </c>
      <c r="I1938" s="8" t="str">
        <f t="shared" si="44"/>
        <v>Tue</v>
      </c>
      <c r="J1938" s="8" t="str">
        <f t="shared" si="45"/>
        <v>Oct</v>
      </c>
      <c r="K1938" s="8">
        <f t="shared" si="46"/>
        <v>2</v>
      </c>
      <c r="L1938" s="8">
        <f t="shared" si="47"/>
        <v>10</v>
      </c>
    </row>
    <row r="1939" spans="1:12" x14ac:dyDescent="0.3">
      <c r="A1939" s="10">
        <v>45580</v>
      </c>
      <c r="B1939" s="11">
        <v>45580.469762372682</v>
      </c>
      <c r="C1939" s="12">
        <f t="shared" si="42"/>
        <v>11</v>
      </c>
      <c r="D1939" s="12" t="s">
        <v>4</v>
      </c>
      <c r="E1939" s="12" t="s">
        <v>756</v>
      </c>
      <c r="F1939" s="13">
        <v>35.76</v>
      </c>
      <c r="G1939" s="12" t="s">
        <v>15</v>
      </c>
      <c r="H1939" s="12" t="str">
        <f t="shared" si="43"/>
        <v>Morning</v>
      </c>
      <c r="I1939" s="12" t="str">
        <f t="shared" si="44"/>
        <v>Tue</v>
      </c>
      <c r="J1939" s="12" t="str">
        <f t="shared" si="45"/>
        <v>Oct</v>
      </c>
      <c r="K1939" s="12">
        <f t="shared" si="46"/>
        <v>2</v>
      </c>
      <c r="L1939" s="12">
        <f t="shared" si="47"/>
        <v>10</v>
      </c>
    </row>
    <row r="1940" spans="1:12" x14ac:dyDescent="0.3">
      <c r="A1940" s="6">
        <v>45580</v>
      </c>
      <c r="B1940" s="7">
        <v>45580.54216704861</v>
      </c>
      <c r="C1940" s="8">
        <f t="shared" si="42"/>
        <v>13</v>
      </c>
      <c r="D1940" s="8" t="s">
        <v>4</v>
      </c>
      <c r="E1940" s="8" t="s">
        <v>783</v>
      </c>
      <c r="F1940" s="9">
        <v>35.76</v>
      </c>
      <c r="G1940" s="8" t="s">
        <v>13</v>
      </c>
      <c r="H1940" s="8" t="str">
        <f t="shared" si="43"/>
        <v>Afternoon</v>
      </c>
      <c r="I1940" s="8" t="str">
        <f t="shared" si="44"/>
        <v>Tue</v>
      </c>
      <c r="J1940" s="8" t="str">
        <f t="shared" si="45"/>
        <v>Oct</v>
      </c>
      <c r="K1940" s="8">
        <f t="shared" si="46"/>
        <v>2</v>
      </c>
      <c r="L1940" s="8">
        <f t="shared" si="47"/>
        <v>10</v>
      </c>
    </row>
    <row r="1941" spans="1:12" x14ac:dyDescent="0.3">
      <c r="A1941" s="10">
        <v>45580</v>
      </c>
      <c r="B1941" s="11">
        <v>45580.552602268515</v>
      </c>
      <c r="C1941" s="12">
        <f t="shared" si="42"/>
        <v>13</v>
      </c>
      <c r="D1941" s="12" t="s">
        <v>4</v>
      </c>
      <c r="E1941" s="12" t="s">
        <v>784</v>
      </c>
      <c r="F1941" s="13">
        <v>30.86</v>
      </c>
      <c r="G1941" s="12" t="s">
        <v>20</v>
      </c>
      <c r="H1941" s="12" t="str">
        <f t="shared" si="43"/>
        <v>Afternoon</v>
      </c>
      <c r="I1941" s="12" t="str">
        <f t="shared" si="44"/>
        <v>Tue</v>
      </c>
      <c r="J1941" s="12" t="str">
        <f t="shared" si="45"/>
        <v>Oct</v>
      </c>
      <c r="K1941" s="12">
        <f t="shared" si="46"/>
        <v>2</v>
      </c>
      <c r="L1941" s="12">
        <f t="shared" si="47"/>
        <v>10</v>
      </c>
    </row>
    <row r="1942" spans="1:12" x14ac:dyDescent="0.3">
      <c r="A1942" s="6">
        <v>45580</v>
      </c>
      <c r="B1942" s="7">
        <v>45580.647352754633</v>
      </c>
      <c r="C1942" s="8">
        <f t="shared" si="42"/>
        <v>15</v>
      </c>
      <c r="D1942" s="8" t="s">
        <v>4</v>
      </c>
      <c r="E1942" s="8" t="s">
        <v>703</v>
      </c>
      <c r="F1942" s="9">
        <v>35.76</v>
      </c>
      <c r="G1942" s="8" t="s">
        <v>13</v>
      </c>
      <c r="H1942" s="8" t="str">
        <f t="shared" si="43"/>
        <v>Afternoon</v>
      </c>
      <c r="I1942" s="8" t="str">
        <f t="shared" si="44"/>
        <v>Tue</v>
      </c>
      <c r="J1942" s="8" t="str">
        <f t="shared" si="45"/>
        <v>Oct</v>
      </c>
      <c r="K1942" s="8">
        <f t="shared" si="46"/>
        <v>2</v>
      </c>
      <c r="L1942" s="8">
        <f t="shared" si="47"/>
        <v>10</v>
      </c>
    </row>
    <row r="1943" spans="1:12" x14ac:dyDescent="0.3">
      <c r="A1943" s="10">
        <v>45580</v>
      </c>
      <c r="B1943" s="11">
        <v>45580.662691122685</v>
      </c>
      <c r="C1943" s="12">
        <f t="shared" si="42"/>
        <v>15</v>
      </c>
      <c r="D1943" s="12" t="s">
        <v>4</v>
      </c>
      <c r="E1943" s="12" t="s">
        <v>785</v>
      </c>
      <c r="F1943" s="13">
        <v>25.96</v>
      </c>
      <c r="G1943" s="12" t="s">
        <v>17</v>
      </c>
      <c r="H1943" s="12" t="str">
        <f t="shared" si="43"/>
        <v>Afternoon</v>
      </c>
      <c r="I1943" s="12" t="str">
        <f t="shared" si="44"/>
        <v>Tue</v>
      </c>
      <c r="J1943" s="12" t="str">
        <f t="shared" si="45"/>
        <v>Oct</v>
      </c>
      <c r="K1943" s="12">
        <f t="shared" si="46"/>
        <v>2</v>
      </c>
      <c r="L1943" s="12">
        <f t="shared" si="47"/>
        <v>10</v>
      </c>
    </row>
    <row r="1944" spans="1:12" x14ac:dyDescent="0.3">
      <c r="A1944" s="6">
        <v>45580</v>
      </c>
      <c r="B1944" s="7">
        <v>45580.663414803239</v>
      </c>
      <c r="C1944" s="8">
        <f t="shared" si="42"/>
        <v>15</v>
      </c>
      <c r="D1944" s="8" t="s">
        <v>4</v>
      </c>
      <c r="E1944" s="8" t="s">
        <v>785</v>
      </c>
      <c r="F1944" s="9">
        <v>21.06</v>
      </c>
      <c r="G1944" s="8" t="s">
        <v>41</v>
      </c>
      <c r="H1944" s="8" t="str">
        <f t="shared" si="43"/>
        <v>Afternoon</v>
      </c>
      <c r="I1944" s="8" t="str">
        <f t="shared" si="44"/>
        <v>Tue</v>
      </c>
      <c r="J1944" s="8" t="str">
        <f t="shared" si="45"/>
        <v>Oct</v>
      </c>
      <c r="K1944" s="8">
        <f t="shared" si="46"/>
        <v>2</v>
      </c>
      <c r="L1944" s="8">
        <f t="shared" si="47"/>
        <v>10</v>
      </c>
    </row>
    <row r="1945" spans="1:12" x14ac:dyDescent="0.3">
      <c r="A1945" s="10">
        <v>45580</v>
      </c>
      <c r="B1945" s="11">
        <v>45580.711242303238</v>
      </c>
      <c r="C1945" s="12">
        <f t="shared" si="42"/>
        <v>17</v>
      </c>
      <c r="D1945" s="12" t="s">
        <v>4</v>
      </c>
      <c r="E1945" s="12" t="s">
        <v>786</v>
      </c>
      <c r="F1945" s="13">
        <v>35.76</v>
      </c>
      <c r="G1945" s="12" t="s">
        <v>15</v>
      </c>
      <c r="H1945" s="12" t="str">
        <f t="shared" si="43"/>
        <v>Night</v>
      </c>
      <c r="I1945" s="12" t="str">
        <f t="shared" si="44"/>
        <v>Tue</v>
      </c>
      <c r="J1945" s="12" t="str">
        <f t="shared" si="45"/>
        <v>Oct</v>
      </c>
      <c r="K1945" s="12">
        <f t="shared" si="46"/>
        <v>2</v>
      </c>
      <c r="L1945" s="12">
        <f t="shared" si="47"/>
        <v>10</v>
      </c>
    </row>
    <row r="1946" spans="1:12" x14ac:dyDescent="0.3">
      <c r="A1946" s="6">
        <v>45580</v>
      </c>
      <c r="B1946" s="7">
        <v>45580.807191886575</v>
      </c>
      <c r="C1946" s="8">
        <f t="shared" si="42"/>
        <v>19</v>
      </c>
      <c r="D1946" s="8" t="s">
        <v>4</v>
      </c>
      <c r="E1946" s="8" t="s">
        <v>787</v>
      </c>
      <c r="F1946" s="9">
        <v>25.96</v>
      </c>
      <c r="G1946" s="8" t="s">
        <v>17</v>
      </c>
      <c r="H1946" s="8" t="str">
        <f t="shared" si="43"/>
        <v>Night</v>
      </c>
      <c r="I1946" s="8" t="str">
        <f t="shared" si="44"/>
        <v>Tue</v>
      </c>
      <c r="J1946" s="8" t="str">
        <f t="shared" si="45"/>
        <v>Oct</v>
      </c>
      <c r="K1946" s="8">
        <f t="shared" si="46"/>
        <v>2</v>
      </c>
      <c r="L1946" s="8">
        <f t="shared" si="47"/>
        <v>10</v>
      </c>
    </row>
    <row r="1947" spans="1:12" x14ac:dyDescent="0.3">
      <c r="A1947" s="10">
        <v>45580</v>
      </c>
      <c r="B1947" s="11">
        <v>45580.807839733796</v>
      </c>
      <c r="C1947" s="12">
        <f t="shared" si="42"/>
        <v>19</v>
      </c>
      <c r="D1947" s="12" t="s">
        <v>4</v>
      </c>
      <c r="E1947" s="12" t="s">
        <v>787</v>
      </c>
      <c r="F1947" s="13">
        <v>35.76</v>
      </c>
      <c r="G1947" s="12" t="s">
        <v>24</v>
      </c>
      <c r="H1947" s="12" t="str">
        <f t="shared" si="43"/>
        <v>Night</v>
      </c>
      <c r="I1947" s="12" t="str">
        <f t="shared" si="44"/>
        <v>Tue</v>
      </c>
      <c r="J1947" s="12" t="str">
        <f t="shared" si="45"/>
        <v>Oct</v>
      </c>
      <c r="K1947" s="12">
        <f t="shared" si="46"/>
        <v>2</v>
      </c>
      <c r="L1947" s="12">
        <f t="shared" si="47"/>
        <v>10</v>
      </c>
    </row>
    <row r="1948" spans="1:12" x14ac:dyDescent="0.3">
      <c r="A1948" s="6">
        <v>45580</v>
      </c>
      <c r="B1948" s="7">
        <v>45580.84114449074</v>
      </c>
      <c r="C1948" s="8">
        <f t="shared" si="42"/>
        <v>20</v>
      </c>
      <c r="D1948" s="8" t="s">
        <v>4</v>
      </c>
      <c r="E1948" s="8" t="s">
        <v>527</v>
      </c>
      <c r="F1948" s="9">
        <v>35.76</v>
      </c>
      <c r="G1948" s="8" t="s">
        <v>13</v>
      </c>
      <c r="H1948" s="8" t="str">
        <f t="shared" si="43"/>
        <v>Night</v>
      </c>
      <c r="I1948" s="8" t="str">
        <f t="shared" si="44"/>
        <v>Tue</v>
      </c>
      <c r="J1948" s="8" t="str">
        <f t="shared" si="45"/>
        <v>Oct</v>
      </c>
      <c r="K1948" s="8">
        <f t="shared" si="46"/>
        <v>2</v>
      </c>
      <c r="L1948" s="8">
        <f t="shared" si="47"/>
        <v>10</v>
      </c>
    </row>
    <row r="1949" spans="1:12" x14ac:dyDescent="0.3">
      <c r="A1949" s="10">
        <v>45580</v>
      </c>
      <c r="B1949" s="11">
        <v>45580.841998043979</v>
      </c>
      <c r="C1949" s="12">
        <f t="shared" si="42"/>
        <v>20</v>
      </c>
      <c r="D1949" s="12" t="s">
        <v>4</v>
      </c>
      <c r="E1949" s="12" t="s">
        <v>527</v>
      </c>
      <c r="F1949" s="13">
        <v>35.76</v>
      </c>
      <c r="G1949" s="12" t="s">
        <v>13</v>
      </c>
      <c r="H1949" s="12" t="str">
        <f t="shared" si="43"/>
        <v>Night</v>
      </c>
      <c r="I1949" s="12" t="str">
        <f t="shared" si="44"/>
        <v>Tue</v>
      </c>
      <c r="J1949" s="12" t="str">
        <f t="shared" si="45"/>
        <v>Oct</v>
      </c>
      <c r="K1949" s="12">
        <f t="shared" si="46"/>
        <v>2</v>
      </c>
      <c r="L1949" s="12">
        <f t="shared" si="47"/>
        <v>10</v>
      </c>
    </row>
    <row r="1950" spans="1:12" x14ac:dyDescent="0.3">
      <c r="A1950" s="6">
        <v>45580</v>
      </c>
      <c r="B1950" s="7">
        <v>45580.887597326386</v>
      </c>
      <c r="C1950" s="8">
        <f t="shared" si="42"/>
        <v>21</v>
      </c>
      <c r="D1950" s="8" t="s">
        <v>4</v>
      </c>
      <c r="E1950" s="8" t="s">
        <v>60</v>
      </c>
      <c r="F1950" s="9">
        <v>35.76</v>
      </c>
      <c r="G1950" s="8" t="s">
        <v>15</v>
      </c>
      <c r="H1950" s="8" t="str">
        <f t="shared" si="43"/>
        <v>Night</v>
      </c>
      <c r="I1950" s="8" t="str">
        <f t="shared" si="44"/>
        <v>Tue</v>
      </c>
      <c r="J1950" s="8" t="str">
        <f t="shared" si="45"/>
        <v>Oct</v>
      </c>
      <c r="K1950" s="8">
        <f t="shared" si="46"/>
        <v>2</v>
      </c>
      <c r="L1950" s="8">
        <f t="shared" si="47"/>
        <v>10</v>
      </c>
    </row>
    <row r="1951" spans="1:12" x14ac:dyDescent="0.3">
      <c r="A1951" s="10">
        <v>45580</v>
      </c>
      <c r="B1951" s="11">
        <v>45580.899536377314</v>
      </c>
      <c r="C1951" s="12">
        <f t="shared" si="42"/>
        <v>21</v>
      </c>
      <c r="D1951" s="12" t="s">
        <v>4</v>
      </c>
      <c r="E1951" s="12" t="s">
        <v>60</v>
      </c>
      <c r="F1951" s="13">
        <v>35.76</v>
      </c>
      <c r="G1951" s="12" t="s">
        <v>15</v>
      </c>
      <c r="H1951" s="12" t="str">
        <f t="shared" si="43"/>
        <v>Night</v>
      </c>
      <c r="I1951" s="12" t="str">
        <f t="shared" si="44"/>
        <v>Tue</v>
      </c>
      <c r="J1951" s="12" t="str">
        <f t="shared" si="45"/>
        <v>Oct</v>
      </c>
      <c r="K1951" s="12">
        <f t="shared" si="46"/>
        <v>2</v>
      </c>
      <c r="L1951" s="12">
        <f t="shared" si="47"/>
        <v>10</v>
      </c>
    </row>
    <row r="1952" spans="1:12" x14ac:dyDescent="0.3">
      <c r="A1952" s="6">
        <v>45580</v>
      </c>
      <c r="B1952" s="7">
        <v>45580.927310798608</v>
      </c>
      <c r="C1952" s="8">
        <f t="shared" si="42"/>
        <v>22</v>
      </c>
      <c r="D1952" s="8" t="s">
        <v>4</v>
      </c>
      <c r="E1952" s="8" t="s">
        <v>710</v>
      </c>
      <c r="F1952" s="9">
        <v>35.76</v>
      </c>
      <c r="G1952" s="8" t="s">
        <v>13</v>
      </c>
      <c r="H1952" s="8" t="str">
        <f t="shared" si="43"/>
        <v>Night</v>
      </c>
      <c r="I1952" s="8" t="str">
        <f t="shared" si="44"/>
        <v>Tue</v>
      </c>
      <c r="J1952" s="8" t="str">
        <f t="shared" si="45"/>
        <v>Oct</v>
      </c>
      <c r="K1952" s="8">
        <f t="shared" si="46"/>
        <v>2</v>
      </c>
      <c r="L1952" s="8">
        <f t="shared" si="47"/>
        <v>10</v>
      </c>
    </row>
    <row r="1953" spans="1:12" x14ac:dyDescent="0.3">
      <c r="A1953" s="10">
        <v>45581</v>
      </c>
      <c r="B1953" s="11">
        <v>45581.348217743056</v>
      </c>
      <c r="C1953" s="12">
        <f t="shared" si="42"/>
        <v>8</v>
      </c>
      <c r="D1953" s="12" t="s">
        <v>4</v>
      </c>
      <c r="E1953" s="12" t="s">
        <v>296</v>
      </c>
      <c r="F1953" s="13">
        <v>30.86</v>
      </c>
      <c r="G1953" s="12" t="s">
        <v>20</v>
      </c>
      <c r="H1953" s="12" t="str">
        <f t="shared" si="43"/>
        <v>Morning</v>
      </c>
      <c r="I1953" s="12" t="str">
        <f t="shared" si="44"/>
        <v>Wed</v>
      </c>
      <c r="J1953" s="12" t="str">
        <f t="shared" si="45"/>
        <v>Oct</v>
      </c>
      <c r="K1953" s="12">
        <f t="shared" si="46"/>
        <v>3</v>
      </c>
      <c r="L1953" s="12">
        <f t="shared" si="47"/>
        <v>10</v>
      </c>
    </row>
    <row r="1954" spans="1:12" x14ac:dyDescent="0.3">
      <c r="A1954" s="6">
        <v>45581</v>
      </c>
      <c r="B1954" s="7">
        <v>45581.35860634259</v>
      </c>
      <c r="C1954" s="8">
        <f t="shared" si="42"/>
        <v>8</v>
      </c>
      <c r="D1954" s="8" t="s">
        <v>4</v>
      </c>
      <c r="E1954" s="8" t="s">
        <v>716</v>
      </c>
      <c r="F1954" s="9">
        <v>35.76</v>
      </c>
      <c r="G1954" s="8" t="s">
        <v>15</v>
      </c>
      <c r="H1954" s="8" t="str">
        <f t="shared" si="43"/>
        <v>Morning</v>
      </c>
      <c r="I1954" s="8" t="str">
        <f t="shared" si="44"/>
        <v>Wed</v>
      </c>
      <c r="J1954" s="8" t="str">
        <f t="shared" si="45"/>
        <v>Oct</v>
      </c>
      <c r="K1954" s="8">
        <f t="shared" si="46"/>
        <v>3</v>
      </c>
      <c r="L1954" s="8">
        <f t="shared" si="47"/>
        <v>10</v>
      </c>
    </row>
    <row r="1955" spans="1:12" x14ac:dyDescent="0.3">
      <c r="A1955" s="10">
        <v>45581</v>
      </c>
      <c r="B1955" s="11">
        <v>45581.392953414354</v>
      </c>
      <c r="C1955" s="12">
        <f t="shared" si="42"/>
        <v>9</v>
      </c>
      <c r="D1955" s="12" t="s">
        <v>4</v>
      </c>
      <c r="E1955" s="12" t="s">
        <v>590</v>
      </c>
      <c r="F1955" s="13">
        <v>35.76</v>
      </c>
      <c r="G1955" s="12" t="s">
        <v>13</v>
      </c>
      <c r="H1955" s="12" t="str">
        <f t="shared" si="43"/>
        <v>Morning</v>
      </c>
      <c r="I1955" s="12" t="str">
        <f t="shared" si="44"/>
        <v>Wed</v>
      </c>
      <c r="J1955" s="12" t="str">
        <f t="shared" si="45"/>
        <v>Oct</v>
      </c>
      <c r="K1955" s="12">
        <f t="shared" si="46"/>
        <v>3</v>
      </c>
      <c r="L1955" s="12">
        <f t="shared" si="47"/>
        <v>10</v>
      </c>
    </row>
    <row r="1956" spans="1:12" x14ac:dyDescent="0.3">
      <c r="A1956" s="6">
        <v>45581</v>
      </c>
      <c r="B1956" s="7">
        <v>45581.427638240741</v>
      </c>
      <c r="C1956" s="8">
        <f t="shared" si="42"/>
        <v>10</v>
      </c>
      <c r="D1956" s="8" t="s">
        <v>4</v>
      </c>
      <c r="E1956" s="8" t="s">
        <v>591</v>
      </c>
      <c r="F1956" s="9">
        <v>30.86</v>
      </c>
      <c r="G1956" s="8" t="s">
        <v>20</v>
      </c>
      <c r="H1956" s="8" t="str">
        <f t="shared" si="43"/>
        <v>Morning</v>
      </c>
      <c r="I1956" s="8" t="str">
        <f t="shared" si="44"/>
        <v>Wed</v>
      </c>
      <c r="J1956" s="8" t="str">
        <f t="shared" si="45"/>
        <v>Oct</v>
      </c>
      <c r="K1956" s="8">
        <f t="shared" si="46"/>
        <v>3</v>
      </c>
      <c r="L1956" s="8">
        <f t="shared" si="47"/>
        <v>10</v>
      </c>
    </row>
    <row r="1957" spans="1:12" x14ac:dyDescent="0.3">
      <c r="A1957" s="10">
        <v>45581</v>
      </c>
      <c r="B1957" s="11">
        <v>45581.428399756944</v>
      </c>
      <c r="C1957" s="12">
        <f t="shared" si="42"/>
        <v>10</v>
      </c>
      <c r="D1957" s="12" t="s">
        <v>4</v>
      </c>
      <c r="E1957" s="12" t="s">
        <v>591</v>
      </c>
      <c r="F1957" s="13">
        <v>30.86</v>
      </c>
      <c r="G1957" s="12" t="s">
        <v>20</v>
      </c>
      <c r="H1957" s="12" t="str">
        <f t="shared" si="43"/>
        <v>Morning</v>
      </c>
      <c r="I1957" s="12" t="str">
        <f t="shared" si="44"/>
        <v>Wed</v>
      </c>
      <c r="J1957" s="12" t="str">
        <f t="shared" si="45"/>
        <v>Oct</v>
      </c>
      <c r="K1957" s="12">
        <f t="shared" si="46"/>
        <v>3</v>
      </c>
      <c r="L1957" s="12">
        <f t="shared" si="47"/>
        <v>10</v>
      </c>
    </row>
    <row r="1958" spans="1:12" x14ac:dyDescent="0.3">
      <c r="A1958" s="6">
        <v>45581</v>
      </c>
      <c r="B1958" s="7">
        <v>45581.448205590277</v>
      </c>
      <c r="C1958" s="8">
        <f t="shared" si="42"/>
        <v>10</v>
      </c>
      <c r="D1958" s="8" t="s">
        <v>4</v>
      </c>
      <c r="E1958" s="8" t="s">
        <v>353</v>
      </c>
      <c r="F1958" s="9">
        <v>30.86</v>
      </c>
      <c r="G1958" s="8" t="s">
        <v>20</v>
      </c>
      <c r="H1958" s="8" t="str">
        <f t="shared" si="43"/>
        <v>Morning</v>
      </c>
      <c r="I1958" s="8" t="str">
        <f t="shared" si="44"/>
        <v>Wed</v>
      </c>
      <c r="J1958" s="8" t="str">
        <f t="shared" si="45"/>
        <v>Oct</v>
      </c>
      <c r="K1958" s="8">
        <f t="shared" si="46"/>
        <v>3</v>
      </c>
      <c r="L1958" s="8">
        <f t="shared" si="47"/>
        <v>10</v>
      </c>
    </row>
    <row r="1959" spans="1:12" x14ac:dyDescent="0.3">
      <c r="A1959" s="10">
        <v>45581</v>
      </c>
      <c r="B1959" s="11">
        <v>45581.492877696757</v>
      </c>
      <c r="C1959" s="12">
        <f t="shared" si="42"/>
        <v>11</v>
      </c>
      <c r="D1959" s="12" t="s">
        <v>4</v>
      </c>
      <c r="E1959" s="12" t="s">
        <v>788</v>
      </c>
      <c r="F1959" s="13">
        <v>25.96</v>
      </c>
      <c r="G1959" s="12" t="s">
        <v>17</v>
      </c>
      <c r="H1959" s="12" t="str">
        <f t="shared" si="43"/>
        <v>Morning</v>
      </c>
      <c r="I1959" s="12" t="str">
        <f t="shared" si="44"/>
        <v>Wed</v>
      </c>
      <c r="J1959" s="12" t="str">
        <f t="shared" si="45"/>
        <v>Oct</v>
      </c>
      <c r="K1959" s="12">
        <f t="shared" si="46"/>
        <v>3</v>
      </c>
      <c r="L1959" s="12">
        <f t="shared" si="47"/>
        <v>10</v>
      </c>
    </row>
    <row r="1960" spans="1:12" x14ac:dyDescent="0.3">
      <c r="A1960" s="6">
        <v>45581</v>
      </c>
      <c r="B1960" s="7">
        <v>45581.520651087965</v>
      </c>
      <c r="C1960" s="8">
        <f t="shared" si="42"/>
        <v>12</v>
      </c>
      <c r="D1960" s="8" t="s">
        <v>4</v>
      </c>
      <c r="E1960" s="8" t="s">
        <v>789</v>
      </c>
      <c r="F1960" s="9">
        <v>30.86</v>
      </c>
      <c r="G1960" s="8" t="s">
        <v>20</v>
      </c>
      <c r="H1960" s="8" t="str">
        <f t="shared" si="43"/>
        <v>Afternoon</v>
      </c>
      <c r="I1960" s="8" t="str">
        <f t="shared" si="44"/>
        <v>Wed</v>
      </c>
      <c r="J1960" s="8" t="str">
        <f t="shared" si="45"/>
        <v>Oct</v>
      </c>
      <c r="K1960" s="8">
        <f t="shared" si="46"/>
        <v>3</v>
      </c>
      <c r="L1960" s="8">
        <f t="shared" si="47"/>
        <v>10</v>
      </c>
    </row>
    <row r="1961" spans="1:12" x14ac:dyDescent="0.3">
      <c r="A1961" s="10">
        <v>45581</v>
      </c>
      <c r="B1961" s="11">
        <v>45581.555676736112</v>
      </c>
      <c r="C1961" s="12">
        <f t="shared" si="42"/>
        <v>13</v>
      </c>
      <c r="D1961" s="12" t="s">
        <v>4</v>
      </c>
      <c r="E1961" s="12" t="s">
        <v>784</v>
      </c>
      <c r="F1961" s="13">
        <v>25.96</v>
      </c>
      <c r="G1961" s="12" t="s">
        <v>17</v>
      </c>
      <c r="H1961" s="12" t="str">
        <f t="shared" si="43"/>
        <v>Afternoon</v>
      </c>
      <c r="I1961" s="12" t="str">
        <f t="shared" si="44"/>
        <v>Wed</v>
      </c>
      <c r="J1961" s="12" t="str">
        <f t="shared" si="45"/>
        <v>Oct</v>
      </c>
      <c r="K1961" s="12">
        <f t="shared" si="46"/>
        <v>3</v>
      </c>
      <c r="L1961" s="12">
        <f t="shared" si="47"/>
        <v>10</v>
      </c>
    </row>
    <row r="1962" spans="1:12" x14ac:dyDescent="0.3">
      <c r="A1962" s="6">
        <v>45581</v>
      </c>
      <c r="B1962" s="7">
        <v>45581.698258530094</v>
      </c>
      <c r="C1962" s="8">
        <f t="shared" si="42"/>
        <v>16</v>
      </c>
      <c r="D1962" s="8" t="s">
        <v>4</v>
      </c>
      <c r="E1962" s="8" t="s">
        <v>790</v>
      </c>
      <c r="F1962" s="9">
        <v>35.76</v>
      </c>
      <c r="G1962" s="8" t="s">
        <v>13</v>
      </c>
      <c r="H1962" s="8" t="str">
        <f t="shared" si="43"/>
        <v>Afternoon</v>
      </c>
      <c r="I1962" s="8" t="str">
        <f t="shared" si="44"/>
        <v>Wed</v>
      </c>
      <c r="J1962" s="8" t="str">
        <f t="shared" si="45"/>
        <v>Oct</v>
      </c>
      <c r="K1962" s="8">
        <f t="shared" si="46"/>
        <v>3</v>
      </c>
      <c r="L1962" s="8">
        <f t="shared" si="47"/>
        <v>10</v>
      </c>
    </row>
    <row r="1963" spans="1:12" x14ac:dyDescent="0.3">
      <c r="A1963" s="10">
        <v>45581</v>
      </c>
      <c r="B1963" s="11">
        <v>45581.738433530096</v>
      </c>
      <c r="C1963" s="12">
        <f t="shared" si="42"/>
        <v>17</v>
      </c>
      <c r="D1963" s="12" t="s">
        <v>4</v>
      </c>
      <c r="E1963" s="12" t="s">
        <v>530</v>
      </c>
      <c r="F1963" s="13">
        <v>30.86</v>
      </c>
      <c r="G1963" s="12" t="s">
        <v>20</v>
      </c>
      <c r="H1963" s="12" t="str">
        <f t="shared" si="43"/>
        <v>Night</v>
      </c>
      <c r="I1963" s="12" t="str">
        <f t="shared" si="44"/>
        <v>Wed</v>
      </c>
      <c r="J1963" s="12" t="str">
        <f t="shared" si="45"/>
        <v>Oct</v>
      </c>
      <c r="K1963" s="12">
        <f t="shared" si="46"/>
        <v>3</v>
      </c>
      <c r="L1963" s="12">
        <f t="shared" si="47"/>
        <v>10</v>
      </c>
    </row>
    <row r="1964" spans="1:12" x14ac:dyDescent="0.3">
      <c r="A1964" s="6">
        <v>45581</v>
      </c>
      <c r="B1964" s="7">
        <v>45581.817851979169</v>
      </c>
      <c r="C1964" s="8">
        <f t="shared" si="42"/>
        <v>19</v>
      </c>
      <c r="D1964" s="8" t="s">
        <v>4</v>
      </c>
      <c r="E1964" s="8" t="s">
        <v>791</v>
      </c>
      <c r="F1964" s="9">
        <v>30.86</v>
      </c>
      <c r="G1964" s="8" t="s">
        <v>20</v>
      </c>
      <c r="H1964" s="8" t="str">
        <f t="shared" si="43"/>
        <v>Night</v>
      </c>
      <c r="I1964" s="8" t="str">
        <f t="shared" si="44"/>
        <v>Wed</v>
      </c>
      <c r="J1964" s="8" t="str">
        <f t="shared" si="45"/>
        <v>Oct</v>
      </c>
      <c r="K1964" s="8">
        <f t="shared" si="46"/>
        <v>3</v>
      </c>
      <c r="L1964" s="8">
        <f t="shared" si="47"/>
        <v>10</v>
      </c>
    </row>
    <row r="1965" spans="1:12" x14ac:dyDescent="0.3">
      <c r="A1965" s="10">
        <v>45581</v>
      </c>
      <c r="B1965" s="11">
        <v>45581.81847972222</v>
      </c>
      <c r="C1965" s="12">
        <f t="shared" si="42"/>
        <v>19</v>
      </c>
      <c r="D1965" s="12" t="s">
        <v>4</v>
      </c>
      <c r="E1965" s="12" t="s">
        <v>791</v>
      </c>
      <c r="F1965" s="13">
        <v>30.86</v>
      </c>
      <c r="G1965" s="12" t="s">
        <v>20</v>
      </c>
      <c r="H1965" s="12" t="str">
        <f t="shared" si="43"/>
        <v>Night</v>
      </c>
      <c r="I1965" s="12" t="str">
        <f t="shared" si="44"/>
        <v>Wed</v>
      </c>
      <c r="J1965" s="12" t="str">
        <f t="shared" si="45"/>
        <v>Oct</v>
      </c>
      <c r="K1965" s="12">
        <f t="shared" si="46"/>
        <v>3</v>
      </c>
      <c r="L1965" s="12">
        <f t="shared" si="47"/>
        <v>10</v>
      </c>
    </row>
    <row r="1966" spans="1:12" x14ac:dyDescent="0.3">
      <c r="A1966" s="6">
        <v>45581</v>
      </c>
      <c r="B1966" s="7">
        <v>45581.889219131946</v>
      </c>
      <c r="C1966" s="8">
        <f t="shared" si="42"/>
        <v>21</v>
      </c>
      <c r="D1966" s="8" t="s">
        <v>4</v>
      </c>
      <c r="E1966" s="8" t="s">
        <v>792</v>
      </c>
      <c r="F1966" s="9">
        <v>35.76</v>
      </c>
      <c r="G1966" s="8" t="s">
        <v>15</v>
      </c>
      <c r="H1966" s="8" t="str">
        <f t="shared" si="43"/>
        <v>Night</v>
      </c>
      <c r="I1966" s="8" t="str">
        <f t="shared" si="44"/>
        <v>Wed</v>
      </c>
      <c r="J1966" s="8" t="str">
        <f t="shared" si="45"/>
        <v>Oct</v>
      </c>
      <c r="K1966" s="8">
        <f t="shared" si="46"/>
        <v>3</v>
      </c>
      <c r="L1966" s="8">
        <f t="shared" si="47"/>
        <v>10</v>
      </c>
    </row>
    <row r="1967" spans="1:12" x14ac:dyDescent="0.3">
      <c r="A1967" s="10">
        <v>45582</v>
      </c>
      <c r="B1967" s="11">
        <v>45582.324316215279</v>
      </c>
      <c r="C1967" s="12">
        <f t="shared" si="42"/>
        <v>7</v>
      </c>
      <c r="D1967" s="12" t="s">
        <v>4</v>
      </c>
      <c r="E1967" s="12" t="s">
        <v>716</v>
      </c>
      <c r="F1967" s="13">
        <v>35.76</v>
      </c>
      <c r="G1967" s="12" t="s">
        <v>13</v>
      </c>
      <c r="H1967" s="12" t="str">
        <f t="shared" si="43"/>
        <v>Morning</v>
      </c>
      <c r="I1967" s="12" t="str">
        <f t="shared" si="44"/>
        <v>Thu</v>
      </c>
      <c r="J1967" s="12" t="str">
        <f t="shared" si="45"/>
        <v>Oct</v>
      </c>
      <c r="K1967" s="12">
        <f t="shared" si="46"/>
        <v>4</v>
      </c>
      <c r="L1967" s="12">
        <f t="shared" si="47"/>
        <v>10</v>
      </c>
    </row>
    <row r="1968" spans="1:12" x14ac:dyDescent="0.3">
      <c r="A1968" s="6">
        <v>45582</v>
      </c>
      <c r="B1968" s="7">
        <v>45582.332022719907</v>
      </c>
      <c r="C1968" s="8">
        <f t="shared" si="42"/>
        <v>7</v>
      </c>
      <c r="D1968" s="8" t="s">
        <v>4</v>
      </c>
      <c r="E1968" s="8" t="s">
        <v>590</v>
      </c>
      <c r="F1968" s="9">
        <v>35.76</v>
      </c>
      <c r="G1968" s="8" t="s">
        <v>13</v>
      </c>
      <c r="H1968" s="8" t="str">
        <f t="shared" si="43"/>
        <v>Morning</v>
      </c>
      <c r="I1968" s="8" t="str">
        <f t="shared" si="44"/>
        <v>Thu</v>
      </c>
      <c r="J1968" s="8" t="str">
        <f t="shared" si="45"/>
        <v>Oct</v>
      </c>
      <c r="K1968" s="8">
        <f t="shared" si="46"/>
        <v>4</v>
      </c>
      <c r="L1968" s="8">
        <f t="shared" si="47"/>
        <v>10</v>
      </c>
    </row>
    <row r="1969" spans="1:12" x14ac:dyDescent="0.3">
      <c r="A1969" s="10">
        <v>45582</v>
      </c>
      <c r="B1969" s="11">
        <v>45582.39198104167</v>
      </c>
      <c r="C1969" s="12">
        <f t="shared" si="42"/>
        <v>9</v>
      </c>
      <c r="D1969" s="12" t="s">
        <v>4</v>
      </c>
      <c r="E1969" s="12" t="s">
        <v>793</v>
      </c>
      <c r="F1969" s="13">
        <v>30.86</v>
      </c>
      <c r="G1969" s="12" t="s">
        <v>20</v>
      </c>
      <c r="H1969" s="12" t="str">
        <f t="shared" si="43"/>
        <v>Morning</v>
      </c>
      <c r="I1969" s="12" t="str">
        <f t="shared" si="44"/>
        <v>Thu</v>
      </c>
      <c r="J1969" s="12" t="str">
        <f t="shared" si="45"/>
        <v>Oct</v>
      </c>
      <c r="K1969" s="12">
        <f t="shared" si="46"/>
        <v>4</v>
      </c>
      <c r="L1969" s="12">
        <f t="shared" si="47"/>
        <v>10</v>
      </c>
    </row>
    <row r="1970" spans="1:12" x14ac:dyDescent="0.3">
      <c r="A1970" s="6">
        <v>45582</v>
      </c>
      <c r="B1970" s="7">
        <v>45582.435159606481</v>
      </c>
      <c r="C1970" s="8">
        <f t="shared" si="42"/>
        <v>10</v>
      </c>
      <c r="D1970" s="8" t="s">
        <v>4</v>
      </c>
      <c r="E1970" s="8" t="s">
        <v>530</v>
      </c>
      <c r="F1970" s="9">
        <v>35.76</v>
      </c>
      <c r="G1970" s="8" t="s">
        <v>13</v>
      </c>
      <c r="H1970" s="8" t="str">
        <f t="shared" si="43"/>
        <v>Morning</v>
      </c>
      <c r="I1970" s="8" t="str">
        <f t="shared" si="44"/>
        <v>Thu</v>
      </c>
      <c r="J1970" s="8" t="str">
        <f t="shared" si="45"/>
        <v>Oct</v>
      </c>
      <c r="K1970" s="8">
        <f t="shared" si="46"/>
        <v>4</v>
      </c>
      <c r="L1970" s="8">
        <f t="shared" si="47"/>
        <v>10</v>
      </c>
    </row>
    <row r="1971" spans="1:12" x14ac:dyDescent="0.3">
      <c r="A1971" s="10">
        <v>45582</v>
      </c>
      <c r="B1971" s="11">
        <v>45582.44784990741</v>
      </c>
      <c r="C1971" s="12">
        <f t="shared" si="42"/>
        <v>10</v>
      </c>
      <c r="D1971" s="12" t="s">
        <v>4</v>
      </c>
      <c r="E1971" s="12" t="s">
        <v>333</v>
      </c>
      <c r="F1971" s="13">
        <v>35.76</v>
      </c>
      <c r="G1971" s="12" t="s">
        <v>15</v>
      </c>
      <c r="H1971" s="12" t="str">
        <f t="shared" si="43"/>
        <v>Morning</v>
      </c>
      <c r="I1971" s="12" t="str">
        <f t="shared" si="44"/>
        <v>Thu</v>
      </c>
      <c r="J1971" s="12" t="str">
        <f t="shared" si="45"/>
        <v>Oct</v>
      </c>
      <c r="K1971" s="12">
        <f t="shared" si="46"/>
        <v>4</v>
      </c>
      <c r="L1971" s="12">
        <f t="shared" si="47"/>
        <v>10</v>
      </c>
    </row>
    <row r="1972" spans="1:12" x14ac:dyDescent="0.3">
      <c r="A1972" s="6">
        <v>45582</v>
      </c>
      <c r="B1972" s="7">
        <v>45582.499616354165</v>
      </c>
      <c r="C1972" s="8">
        <f t="shared" si="42"/>
        <v>11</v>
      </c>
      <c r="D1972" s="8" t="s">
        <v>4</v>
      </c>
      <c r="E1972" s="8" t="s">
        <v>794</v>
      </c>
      <c r="F1972" s="9">
        <v>30.86</v>
      </c>
      <c r="G1972" s="8" t="s">
        <v>20</v>
      </c>
      <c r="H1972" s="8" t="str">
        <f t="shared" si="43"/>
        <v>Morning</v>
      </c>
      <c r="I1972" s="8" t="str">
        <f t="shared" si="44"/>
        <v>Thu</v>
      </c>
      <c r="J1972" s="8" t="str">
        <f t="shared" si="45"/>
        <v>Oct</v>
      </c>
      <c r="K1972" s="8">
        <f t="shared" si="46"/>
        <v>4</v>
      </c>
      <c r="L1972" s="8">
        <f t="shared" si="47"/>
        <v>10</v>
      </c>
    </row>
    <row r="1973" spans="1:12" x14ac:dyDescent="0.3">
      <c r="A1973" s="10">
        <v>45582</v>
      </c>
      <c r="B1973" s="11">
        <v>45582.581538136576</v>
      </c>
      <c r="C1973" s="12">
        <f t="shared" si="42"/>
        <v>13</v>
      </c>
      <c r="D1973" s="12" t="s">
        <v>4</v>
      </c>
      <c r="E1973" s="12" t="s">
        <v>795</v>
      </c>
      <c r="F1973" s="13">
        <v>35.76</v>
      </c>
      <c r="G1973" s="12" t="s">
        <v>13</v>
      </c>
      <c r="H1973" s="12" t="str">
        <f t="shared" si="43"/>
        <v>Afternoon</v>
      </c>
      <c r="I1973" s="12" t="str">
        <f t="shared" si="44"/>
        <v>Thu</v>
      </c>
      <c r="J1973" s="12" t="str">
        <f t="shared" si="45"/>
        <v>Oct</v>
      </c>
      <c r="K1973" s="12">
        <f t="shared" si="46"/>
        <v>4</v>
      </c>
      <c r="L1973" s="12">
        <f t="shared" si="47"/>
        <v>10</v>
      </c>
    </row>
    <row r="1974" spans="1:12" x14ac:dyDescent="0.3">
      <c r="A1974" s="6">
        <v>45582</v>
      </c>
      <c r="B1974" s="7">
        <v>45582.60743747685</v>
      </c>
      <c r="C1974" s="8">
        <f t="shared" si="42"/>
        <v>14</v>
      </c>
      <c r="D1974" s="8" t="s">
        <v>4</v>
      </c>
      <c r="E1974" s="8" t="s">
        <v>796</v>
      </c>
      <c r="F1974" s="9">
        <v>25.96</v>
      </c>
      <c r="G1974" s="8" t="s">
        <v>17</v>
      </c>
      <c r="H1974" s="8" t="str">
        <f t="shared" si="43"/>
        <v>Afternoon</v>
      </c>
      <c r="I1974" s="8" t="str">
        <f t="shared" si="44"/>
        <v>Thu</v>
      </c>
      <c r="J1974" s="8" t="str">
        <f t="shared" si="45"/>
        <v>Oct</v>
      </c>
      <c r="K1974" s="8">
        <f t="shared" si="46"/>
        <v>4</v>
      </c>
      <c r="L1974" s="8">
        <f t="shared" si="47"/>
        <v>10</v>
      </c>
    </row>
    <row r="1975" spans="1:12" x14ac:dyDescent="0.3">
      <c r="A1975" s="10">
        <v>45582</v>
      </c>
      <c r="B1975" s="11">
        <v>45582.692506782405</v>
      </c>
      <c r="C1975" s="12">
        <f t="shared" si="42"/>
        <v>16</v>
      </c>
      <c r="D1975" s="12" t="s">
        <v>4</v>
      </c>
      <c r="E1975" s="12" t="s">
        <v>722</v>
      </c>
      <c r="F1975" s="13">
        <v>35.76</v>
      </c>
      <c r="G1975" s="12" t="s">
        <v>15</v>
      </c>
      <c r="H1975" s="12" t="str">
        <f t="shared" si="43"/>
        <v>Afternoon</v>
      </c>
      <c r="I1975" s="12" t="str">
        <f t="shared" si="44"/>
        <v>Thu</v>
      </c>
      <c r="J1975" s="12" t="str">
        <f t="shared" si="45"/>
        <v>Oct</v>
      </c>
      <c r="K1975" s="12">
        <f t="shared" si="46"/>
        <v>4</v>
      </c>
      <c r="L1975" s="12">
        <f t="shared" si="47"/>
        <v>10</v>
      </c>
    </row>
    <row r="1976" spans="1:12" x14ac:dyDescent="0.3">
      <c r="A1976" s="6">
        <v>45582</v>
      </c>
      <c r="B1976" s="7">
        <v>45582.693263530091</v>
      </c>
      <c r="C1976" s="8">
        <f t="shared" si="42"/>
        <v>16</v>
      </c>
      <c r="D1976" s="8" t="s">
        <v>4</v>
      </c>
      <c r="E1976" s="8" t="s">
        <v>722</v>
      </c>
      <c r="F1976" s="9">
        <v>35.76</v>
      </c>
      <c r="G1976" s="8" t="s">
        <v>15</v>
      </c>
      <c r="H1976" s="8" t="str">
        <f t="shared" si="43"/>
        <v>Afternoon</v>
      </c>
      <c r="I1976" s="8" t="str">
        <f t="shared" si="44"/>
        <v>Thu</v>
      </c>
      <c r="J1976" s="8" t="str">
        <f t="shared" si="45"/>
        <v>Oct</v>
      </c>
      <c r="K1976" s="8">
        <f t="shared" si="46"/>
        <v>4</v>
      </c>
      <c r="L1976" s="8">
        <f t="shared" si="47"/>
        <v>10</v>
      </c>
    </row>
    <row r="1977" spans="1:12" x14ac:dyDescent="0.3">
      <c r="A1977" s="10">
        <v>45582</v>
      </c>
      <c r="B1977" s="11">
        <v>45582.693861180553</v>
      </c>
      <c r="C1977" s="12">
        <f t="shared" si="42"/>
        <v>16</v>
      </c>
      <c r="D1977" s="12" t="s">
        <v>4</v>
      </c>
      <c r="E1977" s="12" t="s">
        <v>722</v>
      </c>
      <c r="F1977" s="13">
        <v>35.76</v>
      </c>
      <c r="G1977" s="12" t="s">
        <v>13</v>
      </c>
      <c r="H1977" s="12" t="str">
        <f t="shared" si="43"/>
        <v>Afternoon</v>
      </c>
      <c r="I1977" s="12" t="str">
        <f t="shared" si="44"/>
        <v>Thu</v>
      </c>
      <c r="J1977" s="12" t="str">
        <f t="shared" si="45"/>
        <v>Oct</v>
      </c>
      <c r="K1977" s="12">
        <f t="shared" si="46"/>
        <v>4</v>
      </c>
      <c r="L1977" s="12">
        <f t="shared" si="47"/>
        <v>10</v>
      </c>
    </row>
    <row r="1978" spans="1:12" x14ac:dyDescent="0.3">
      <c r="A1978" s="6">
        <v>45582</v>
      </c>
      <c r="B1978" s="7">
        <v>45582.700415011575</v>
      </c>
      <c r="C1978" s="8">
        <f t="shared" si="42"/>
        <v>16</v>
      </c>
      <c r="D1978" s="8" t="s">
        <v>4</v>
      </c>
      <c r="E1978" s="8" t="s">
        <v>797</v>
      </c>
      <c r="F1978" s="9">
        <v>35.76</v>
      </c>
      <c r="G1978" s="8" t="s">
        <v>15</v>
      </c>
      <c r="H1978" s="8" t="str">
        <f t="shared" si="43"/>
        <v>Afternoon</v>
      </c>
      <c r="I1978" s="8" t="str">
        <f t="shared" si="44"/>
        <v>Thu</v>
      </c>
      <c r="J1978" s="8" t="str">
        <f t="shared" si="45"/>
        <v>Oct</v>
      </c>
      <c r="K1978" s="8">
        <f t="shared" si="46"/>
        <v>4</v>
      </c>
      <c r="L1978" s="8">
        <f t="shared" si="47"/>
        <v>10</v>
      </c>
    </row>
    <row r="1979" spans="1:12" x14ac:dyDescent="0.3">
      <c r="A1979" s="10">
        <v>45582</v>
      </c>
      <c r="B1979" s="11">
        <v>45582.701078194441</v>
      </c>
      <c r="C1979" s="12">
        <f t="shared" si="42"/>
        <v>16</v>
      </c>
      <c r="D1979" s="12" t="s">
        <v>4</v>
      </c>
      <c r="E1979" s="12" t="s">
        <v>797</v>
      </c>
      <c r="F1979" s="13">
        <v>35.76</v>
      </c>
      <c r="G1979" s="12" t="s">
        <v>15</v>
      </c>
      <c r="H1979" s="12" t="str">
        <f t="shared" si="43"/>
        <v>Afternoon</v>
      </c>
      <c r="I1979" s="12" t="str">
        <f t="shared" si="44"/>
        <v>Thu</v>
      </c>
      <c r="J1979" s="12" t="str">
        <f t="shared" si="45"/>
        <v>Oct</v>
      </c>
      <c r="K1979" s="12">
        <f t="shared" si="46"/>
        <v>4</v>
      </c>
      <c r="L1979" s="12">
        <f t="shared" si="47"/>
        <v>10</v>
      </c>
    </row>
    <row r="1980" spans="1:12" x14ac:dyDescent="0.3">
      <c r="A1980" s="6">
        <v>45582</v>
      </c>
      <c r="B1980" s="7">
        <v>45582.714210081016</v>
      </c>
      <c r="C1980" s="8">
        <f t="shared" si="42"/>
        <v>17</v>
      </c>
      <c r="D1980" s="8" t="s">
        <v>4</v>
      </c>
      <c r="E1980" s="8" t="s">
        <v>278</v>
      </c>
      <c r="F1980" s="9">
        <v>35.76</v>
      </c>
      <c r="G1980" s="8" t="s">
        <v>49</v>
      </c>
      <c r="H1980" s="8" t="str">
        <f t="shared" si="43"/>
        <v>Night</v>
      </c>
      <c r="I1980" s="8" t="str">
        <f t="shared" si="44"/>
        <v>Thu</v>
      </c>
      <c r="J1980" s="8" t="str">
        <f t="shared" si="45"/>
        <v>Oct</v>
      </c>
      <c r="K1980" s="8">
        <f t="shared" si="46"/>
        <v>4</v>
      </c>
      <c r="L1980" s="8">
        <f t="shared" si="47"/>
        <v>10</v>
      </c>
    </row>
    <row r="1981" spans="1:12" x14ac:dyDescent="0.3">
      <c r="A1981" s="10">
        <v>45582</v>
      </c>
      <c r="B1981" s="11">
        <v>45582.714934062496</v>
      </c>
      <c r="C1981" s="12">
        <f t="shared" si="42"/>
        <v>17</v>
      </c>
      <c r="D1981" s="12" t="s">
        <v>4</v>
      </c>
      <c r="E1981" s="12" t="s">
        <v>278</v>
      </c>
      <c r="F1981" s="13">
        <v>35.76</v>
      </c>
      <c r="G1981" s="12" t="s">
        <v>15</v>
      </c>
      <c r="H1981" s="12" t="str">
        <f t="shared" si="43"/>
        <v>Night</v>
      </c>
      <c r="I1981" s="12" t="str">
        <f t="shared" si="44"/>
        <v>Thu</v>
      </c>
      <c r="J1981" s="12" t="str">
        <f t="shared" si="45"/>
        <v>Oct</v>
      </c>
      <c r="K1981" s="12">
        <f t="shared" si="46"/>
        <v>4</v>
      </c>
      <c r="L1981" s="12">
        <f t="shared" si="47"/>
        <v>10</v>
      </c>
    </row>
    <row r="1982" spans="1:12" x14ac:dyDescent="0.3">
      <c r="A1982" s="6">
        <v>45582</v>
      </c>
      <c r="B1982" s="7">
        <v>45582.821668599536</v>
      </c>
      <c r="C1982" s="8">
        <f t="shared" si="42"/>
        <v>19</v>
      </c>
      <c r="D1982" s="8" t="s">
        <v>4</v>
      </c>
      <c r="E1982" s="8" t="s">
        <v>527</v>
      </c>
      <c r="F1982" s="9">
        <v>35.76</v>
      </c>
      <c r="G1982" s="8" t="s">
        <v>13</v>
      </c>
      <c r="H1982" s="8" t="str">
        <f t="shared" si="43"/>
        <v>Night</v>
      </c>
      <c r="I1982" s="8" t="str">
        <f t="shared" si="44"/>
        <v>Thu</v>
      </c>
      <c r="J1982" s="8" t="str">
        <f t="shared" si="45"/>
        <v>Oct</v>
      </c>
      <c r="K1982" s="8">
        <f t="shared" si="46"/>
        <v>4</v>
      </c>
      <c r="L1982" s="8">
        <f t="shared" si="47"/>
        <v>10</v>
      </c>
    </row>
    <row r="1983" spans="1:12" x14ac:dyDescent="0.3">
      <c r="A1983" s="10">
        <v>45582</v>
      </c>
      <c r="B1983" s="11">
        <v>45582.841393564813</v>
      </c>
      <c r="C1983" s="12">
        <f t="shared" si="42"/>
        <v>20</v>
      </c>
      <c r="D1983" s="12" t="s">
        <v>4</v>
      </c>
      <c r="E1983" s="12" t="s">
        <v>798</v>
      </c>
      <c r="F1983" s="13">
        <v>30.86</v>
      </c>
      <c r="G1983" s="12" t="s">
        <v>20</v>
      </c>
      <c r="H1983" s="12" t="str">
        <f t="shared" si="43"/>
        <v>Night</v>
      </c>
      <c r="I1983" s="12" t="str">
        <f t="shared" si="44"/>
        <v>Thu</v>
      </c>
      <c r="J1983" s="12" t="str">
        <f t="shared" si="45"/>
        <v>Oct</v>
      </c>
      <c r="K1983" s="12">
        <f t="shared" si="46"/>
        <v>4</v>
      </c>
      <c r="L1983" s="12">
        <f t="shared" si="47"/>
        <v>10</v>
      </c>
    </row>
    <row r="1984" spans="1:12" x14ac:dyDescent="0.3">
      <c r="A1984" s="6">
        <v>45582</v>
      </c>
      <c r="B1984" s="7">
        <v>45582.907094270835</v>
      </c>
      <c r="C1984" s="8">
        <f t="shared" si="42"/>
        <v>21</v>
      </c>
      <c r="D1984" s="8" t="s">
        <v>4</v>
      </c>
      <c r="E1984" s="8" t="s">
        <v>799</v>
      </c>
      <c r="F1984" s="9">
        <v>35.76</v>
      </c>
      <c r="G1984" s="8" t="s">
        <v>13</v>
      </c>
      <c r="H1984" s="8" t="str">
        <f t="shared" si="43"/>
        <v>Night</v>
      </c>
      <c r="I1984" s="8" t="str">
        <f t="shared" si="44"/>
        <v>Thu</v>
      </c>
      <c r="J1984" s="8" t="str">
        <f t="shared" si="45"/>
        <v>Oct</v>
      </c>
      <c r="K1984" s="8">
        <f t="shared" si="46"/>
        <v>4</v>
      </c>
      <c r="L1984" s="8">
        <f t="shared" si="47"/>
        <v>10</v>
      </c>
    </row>
    <row r="1985" spans="1:12" x14ac:dyDescent="0.3">
      <c r="A1985" s="10">
        <v>45582</v>
      </c>
      <c r="B1985" s="11">
        <v>45582.90787570602</v>
      </c>
      <c r="C1985" s="12">
        <f t="shared" si="42"/>
        <v>21</v>
      </c>
      <c r="D1985" s="12" t="s">
        <v>4</v>
      </c>
      <c r="E1985" s="12" t="s">
        <v>799</v>
      </c>
      <c r="F1985" s="13">
        <v>35.76</v>
      </c>
      <c r="G1985" s="12" t="s">
        <v>13</v>
      </c>
      <c r="H1985" s="12" t="str">
        <f t="shared" si="43"/>
        <v>Night</v>
      </c>
      <c r="I1985" s="12" t="str">
        <f t="shared" si="44"/>
        <v>Thu</v>
      </c>
      <c r="J1985" s="12" t="str">
        <f t="shared" si="45"/>
        <v>Oct</v>
      </c>
      <c r="K1985" s="12">
        <f t="shared" si="46"/>
        <v>4</v>
      </c>
      <c r="L1985" s="12">
        <f t="shared" si="47"/>
        <v>10</v>
      </c>
    </row>
    <row r="1986" spans="1:12" x14ac:dyDescent="0.3">
      <c r="A1986" s="6">
        <v>45582</v>
      </c>
      <c r="B1986" s="7">
        <v>45582.908700219908</v>
      </c>
      <c r="C1986" s="8">
        <f t="shared" si="42"/>
        <v>21</v>
      </c>
      <c r="D1986" s="8" t="s">
        <v>4</v>
      </c>
      <c r="E1986" s="8" t="s">
        <v>799</v>
      </c>
      <c r="F1986" s="9">
        <v>35.76</v>
      </c>
      <c r="G1986" s="8" t="s">
        <v>13</v>
      </c>
      <c r="H1986" s="8" t="str">
        <f t="shared" si="43"/>
        <v>Night</v>
      </c>
      <c r="I1986" s="8" t="str">
        <f t="shared" si="44"/>
        <v>Thu</v>
      </c>
      <c r="J1986" s="8" t="str">
        <f t="shared" si="45"/>
        <v>Oct</v>
      </c>
      <c r="K1986" s="8">
        <f t="shared" si="46"/>
        <v>4</v>
      </c>
      <c r="L1986" s="8">
        <f t="shared" si="47"/>
        <v>10</v>
      </c>
    </row>
    <row r="1987" spans="1:12" x14ac:dyDescent="0.3">
      <c r="A1987" s="10">
        <v>45582</v>
      </c>
      <c r="B1987" s="11">
        <v>45582.909659942132</v>
      </c>
      <c r="C1987" s="12">
        <f t="shared" si="42"/>
        <v>21</v>
      </c>
      <c r="D1987" s="12" t="s">
        <v>4</v>
      </c>
      <c r="E1987" s="12" t="s">
        <v>799</v>
      </c>
      <c r="F1987" s="13">
        <v>35.76</v>
      </c>
      <c r="G1987" s="12" t="s">
        <v>15</v>
      </c>
      <c r="H1987" s="12" t="str">
        <f t="shared" si="43"/>
        <v>Night</v>
      </c>
      <c r="I1987" s="12" t="str">
        <f t="shared" si="44"/>
        <v>Thu</v>
      </c>
      <c r="J1987" s="12" t="str">
        <f t="shared" si="45"/>
        <v>Oct</v>
      </c>
      <c r="K1987" s="12">
        <f t="shared" si="46"/>
        <v>4</v>
      </c>
      <c r="L1987" s="12">
        <f t="shared" si="47"/>
        <v>10</v>
      </c>
    </row>
    <row r="1988" spans="1:12" x14ac:dyDescent="0.3">
      <c r="A1988" s="6">
        <v>45583</v>
      </c>
      <c r="B1988" s="7">
        <v>45583.362494085646</v>
      </c>
      <c r="C1988" s="8">
        <f t="shared" si="42"/>
        <v>8</v>
      </c>
      <c r="D1988" s="8" t="s">
        <v>4</v>
      </c>
      <c r="E1988" s="8" t="s">
        <v>29</v>
      </c>
      <c r="F1988" s="9">
        <v>35.76</v>
      </c>
      <c r="G1988" s="8" t="s">
        <v>24</v>
      </c>
      <c r="H1988" s="8" t="str">
        <f t="shared" si="43"/>
        <v>Morning</v>
      </c>
      <c r="I1988" s="8" t="str">
        <f t="shared" si="44"/>
        <v>Fri</v>
      </c>
      <c r="J1988" s="8" t="str">
        <f t="shared" si="45"/>
        <v>Oct</v>
      </c>
      <c r="K1988" s="8">
        <f t="shared" si="46"/>
        <v>5</v>
      </c>
      <c r="L1988" s="8">
        <f t="shared" si="47"/>
        <v>10</v>
      </c>
    </row>
    <row r="1989" spans="1:12" x14ac:dyDescent="0.3">
      <c r="A1989" s="10">
        <v>45583</v>
      </c>
      <c r="B1989" s="11">
        <v>45583.363184907408</v>
      </c>
      <c r="C1989" s="12">
        <f t="shared" si="42"/>
        <v>8</v>
      </c>
      <c r="D1989" s="12" t="s">
        <v>4</v>
      </c>
      <c r="E1989" s="12" t="s">
        <v>74</v>
      </c>
      <c r="F1989" s="13">
        <v>35.76</v>
      </c>
      <c r="G1989" s="12" t="s">
        <v>24</v>
      </c>
      <c r="H1989" s="12" t="str">
        <f t="shared" si="43"/>
        <v>Morning</v>
      </c>
      <c r="I1989" s="12" t="str">
        <f t="shared" si="44"/>
        <v>Fri</v>
      </c>
      <c r="J1989" s="12" t="str">
        <f t="shared" si="45"/>
        <v>Oct</v>
      </c>
      <c r="K1989" s="12">
        <f t="shared" si="46"/>
        <v>5</v>
      </c>
      <c r="L1989" s="12">
        <f t="shared" si="47"/>
        <v>10</v>
      </c>
    </row>
    <row r="1990" spans="1:12" x14ac:dyDescent="0.3">
      <c r="A1990" s="6">
        <v>45583</v>
      </c>
      <c r="B1990" s="7">
        <v>45583.397702557872</v>
      </c>
      <c r="C1990" s="8">
        <f t="shared" si="42"/>
        <v>9</v>
      </c>
      <c r="D1990" s="8" t="s">
        <v>4</v>
      </c>
      <c r="E1990" s="8" t="s">
        <v>16</v>
      </c>
      <c r="F1990" s="9">
        <v>35.76</v>
      </c>
      <c r="G1990" s="8" t="s">
        <v>24</v>
      </c>
      <c r="H1990" s="8" t="str">
        <f t="shared" si="43"/>
        <v>Morning</v>
      </c>
      <c r="I1990" s="8" t="str">
        <f t="shared" si="44"/>
        <v>Fri</v>
      </c>
      <c r="J1990" s="8" t="str">
        <f t="shared" si="45"/>
        <v>Oct</v>
      </c>
      <c r="K1990" s="8">
        <f t="shared" si="46"/>
        <v>5</v>
      </c>
      <c r="L1990" s="8">
        <f t="shared" si="47"/>
        <v>10</v>
      </c>
    </row>
    <row r="1991" spans="1:12" x14ac:dyDescent="0.3">
      <c r="A1991" s="10">
        <v>45583</v>
      </c>
      <c r="B1991" s="11">
        <v>45583.398703946761</v>
      </c>
      <c r="C1991" s="12">
        <f t="shared" si="42"/>
        <v>9</v>
      </c>
      <c r="D1991" s="12" t="s">
        <v>4</v>
      </c>
      <c r="E1991" s="12" t="s">
        <v>16</v>
      </c>
      <c r="F1991" s="13">
        <v>35.76</v>
      </c>
      <c r="G1991" s="12" t="s">
        <v>24</v>
      </c>
      <c r="H1991" s="12" t="str">
        <f t="shared" si="43"/>
        <v>Morning</v>
      </c>
      <c r="I1991" s="12" t="str">
        <f t="shared" si="44"/>
        <v>Fri</v>
      </c>
      <c r="J1991" s="12" t="str">
        <f t="shared" si="45"/>
        <v>Oct</v>
      </c>
      <c r="K1991" s="12">
        <f t="shared" si="46"/>
        <v>5</v>
      </c>
      <c r="L1991" s="12">
        <f t="shared" si="47"/>
        <v>10</v>
      </c>
    </row>
    <row r="1992" spans="1:12" x14ac:dyDescent="0.3">
      <c r="A1992" s="6">
        <v>45583</v>
      </c>
      <c r="B1992" s="7">
        <v>45583.413428576387</v>
      </c>
      <c r="C1992" s="8">
        <f t="shared" si="42"/>
        <v>9</v>
      </c>
      <c r="D1992" s="8" t="s">
        <v>4</v>
      </c>
      <c r="E1992" s="8" t="s">
        <v>800</v>
      </c>
      <c r="F1992" s="9">
        <v>35.76</v>
      </c>
      <c r="G1992" s="8" t="s">
        <v>49</v>
      </c>
      <c r="H1992" s="8" t="str">
        <f t="shared" si="43"/>
        <v>Morning</v>
      </c>
      <c r="I1992" s="8" t="str">
        <f t="shared" si="44"/>
        <v>Fri</v>
      </c>
      <c r="J1992" s="8" t="str">
        <f t="shared" si="45"/>
        <v>Oct</v>
      </c>
      <c r="K1992" s="8">
        <f t="shared" si="46"/>
        <v>5</v>
      </c>
      <c r="L1992" s="8">
        <f t="shared" si="47"/>
        <v>10</v>
      </c>
    </row>
    <row r="1993" spans="1:12" x14ac:dyDescent="0.3">
      <c r="A1993" s="10">
        <v>45583</v>
      </c>
      <c r="B1993" s="11">
        <v>45583.496514074075</v>
      </c>
      <c r="C1993" s="12">
        <f t="shared" si="42"/>
        <v>11</v>
      </c>
      <c r="D1993" s="12" t="s">
        <v>4</v>
      </c>
      <c r="E1993" s="12" t="s">
        <v>800</v>
      </c>
      <c r="F1993" s="13">
        <v>35.76</v>
      </c>
      <c r="G1993" s="12" t="s">
        <v>49</v>
      </c>
      <c r="H1993" s="12" t="str">
        <f t="shared" si="43"/>
        <v>Morning</v>
      </c>
      <c r="I1993" s="12" t="str">
        <f t="shared" si="44"/>
        <v>Fri</v>
      </c>
      <c r="J1993" s="12" t="str">
        <f t="shared" si="45"/>
        <v>Oct</v>
      </c>
      <c r="K1993" s="12">
        <f t="shared" si="46"/>
        <v>5</v>
      </c>
      <c r="L1993" s="12">
        <f t="shared" si="47"/>
        <v>10</v>
      </c>
    </row>
    <row r="1994" spans="1:12" x14ac:dyDescent="0.3">
      <c r="A1994" s="6">
        <v>45583</v>
      </c>
      <c r="B1994" s="7">
        <v>45583.618797650466</v>
      </c>
      <c r="C1994" s="8">
        <f t="shared" si="42"/>
        <v>14</v>
      </c>
      <c r="D1994" s="8" t="s">
        <v>4</v>
      </c>
      <c r="E1994" s="8" t="s">
        <v>801</v>
      </c>
      <c r="F1994" s="9">
        <v>35.76</v>
      </c>
      <c r="G1994" s="8" t="s">
        <v>13</v>
      </c>
      <c r="H1994" s="8" t="str">
        <f t="shared" si="43"/>
        <v>Afternoon</v>
      </c>
      <c r="I1994" s="8" t="str">
        <f t="shared" si="44"/>
        <v>Fri</v>
      </c>
      <c r="J1994" s="8" t="str">
        <f t="shared" si="45"/>
        <v>Oct</v>
      </c>
      <c r="K1994" s="8">
        <f t="shared" si="46"/>
        <v>5</v>
      </c>
      <c r="L1994" s="8">
        <f t="shared" si="47"/>
        <v>10</v>
      </c>
    </row>
    <row r="1995" spans="1:12" x14ac:dyDescent="0.3">
      <c r="A1995" s="10">
        <v>45583</v>
      </c>
      <c r="B1995" s="11">
        <v>45583.619621817132</v>
      </c>
      <c r="C1995" s="12">
        <f t="shared" si="42"/>
        <v>14</v>
      </c>
      <c r="D1995" s="12" t="s">
        <v>4</v>
      </c>
      <c r="E1995" s="12" t="s">
        <v>801</v>
      </c>
      <c r="F1995" s="13">
        <v>35.76</v>
      </c>
      <c r="G1995" s="12" t="s">
        <v>49</v>
      </c>
      <c r="H1995" s="12" t="str">
        <f t="shared" si="43"/>
        <v>Afternoon</v>
      </c>
      <c r="I1995" s="12" t="str">
        <f t="shared" si="44"/>
        <v>Fri</v>
      </c>
      <c r="J1995" s="12" t="str">
        <f t="shared" si="45"/>
        <v>Oct</v>
      </c>
      <c r="K1995" s="12">
        <f t="shared" si="46"/>
        <v>5</v>
      </c>
      <c r="L1995" s="12">
        <f t="shared" si="47"/>
        <v>10</v>
      </c>
    </row>
    <row r="1996" spans="1:12" x14ac:dyDescent="0.3">
      <c r="A1996" s="6">
        <v>45583</v>
      </c>
      <c r="B1996" s="7">
        <v>45583.652314467596</v>
      </c>
      <c r="C1996" s="8">
        <f t="shared" si="42"/>
        <v>15</v>
      </c>
      <c r="D1996" s="8" t="s">
        <v>4</v>
      </c>
      <c r="E1996" s="8" t="s">
        <v>703</v>
      </c>
      <c r="F1996" s="9">
        <v>25.96</v>
      </c>
      <c r="G1996" s="8" t="s">
        <v>17</v>
      </c>
      <c r="H1996" s="8" t="str">
        <f t="shared" si="43"/>
        <v>Afternoon</v>
      </c>
      <c r="I1996" s="8" t="str">
        <f t="shared" si="44"/>
        <v>Fri</v>
      </c>
      <c r="J1996" s="8" t="str">
        <f t="shared" si="45"/>
        <v>Oct</v>
      </c>
      <c r="K1996" s="8">
        <f t="shared" si="46"/>
        <v>5</v>
      </c>
      <c r="L1996" s="8">
        <f t="shared" si="47"/>
        <v>10</v>
      </c>
    </row>
    <row r="1997" spans="1:12" x14ac:dyDescent="0.3">
      <c r="A1997" s="10">
        <v>45583</v>
      </c>
      <c r="B1997" s="11">
        <v>45583.673586527781</v>
      </c>
      <c r="C1997" s="12">
        <f t="shared" si="42"/>
        <v>16</v>
      </c>
      <c r="D1997" s="12" t="s">
        <v>4</v>
      </c>
      <c r="E1997" s="12" t="s">
        <v>802</v>
      </c>
      <c r="F1997" s="13">
        <v>35.76</v>
      </c>
      <c r="G1997" s="12" t="s">
        <v>13</v>
      </c>
      <c r="H1997" s="12" t="str">
        <f t="shared" si="43"/>
        <v>Afternoon</v>
      </c>
      <c r="I1997" s="12" t="str">
        <f t="shared" si="44"/>
        <v>Fri</v>
      </c>
      <c r="J1997" s="12" t="str">
        <f t="shared" si="45"/>
        <v>Oct</v>
      </c>
      <c r="K1997" s="12">
        <f t="shared" si="46"/>
        <v>5</v>
      </c>
      <c r="L1997" s="12">
        <f t="shared" si="47"/>
        <v>10</v>
      </c>
    </row>
    <row r="1998" spans="1:12" x14ac:dyDescent="0.3">
      <c r="A1998" s="6">
        <v>45583</v>
      </c>
      <c r="B1998" s="7">
        <v>45583.740034467592</v>
      </c>
      <c r="C1998" s="8">
        <f t="shared" si="42"/>
        <v>17</v>
      </c>
      <c r="D1998" s="8" t="s">
        <v>4</v>
      </c>
      <c r="E1998" s="8" t="s">
        <v>803</v>
      </c>
      <c r="F1998" s="9">
        <v>35.76</v>
      </c>
      <c r="G1998" s="8" t="s">
        <v>15</v>
      </c>
      <c r="H1998" s="8" t="str">
        <f t="shared" si="43"/>
        <v>Night</v>
      </c>
      <c r="I1998" s="8" t="str">
        <f t="shared" si="44"/>
        <v>Fri</v>
      </c>
      <c r="J1998" s="8" t="str">
        <f t="shared" si="45"/>
        <v>Oct</v>
      </c>
      <c r="K1998" s="8">
        <f t="shared" si="46"/>
        <v>5</v>
      </c>
      <c r="L1998" s="8">
        <f t="shared" si="47"/>
        <v>10</v>
      </c>
    </row>
    <row r="1999" spans="1:12" x14ac:dyDescent="0.3">
      <c r="A1999" s="10">
        <v>45583</v>
      </c>
      <c r="B1999" s="11">
        <v>45583.885187997686</v>
      </c>
      <c r="C1999" s="12">
        <f t="shared" si="42"/>
        <v>21</v>
      </c>
      <c r="D1999" s="12" t="s">
        <v>4</v>
      </c>
      <c r="E1999" s="12" t="s">
        <v>29</v>
      </c>
      <c r="F1999" s="13">
        <v>35.76</v>
      </c>
      <c r="G1999" s="12" t="s">
        <v>24</v>
      </c>
      <c r="H1999" s="12" t="str">
        <f t="shared" si="43"/>
        <v>Night</v>
      </c>
      <c r="I1999" s="12" t="str">
        <f t="shared" si="44"/>
        <v>Fri</v>
      </c>
      <c r="J1999" s="12" t="str">
        <f t="shared" si="45"/>
        <v>Oct</v>
      </c>
      <c r="K1999" s="12">
        <f t="shared" si="46"/>
        <v>5</v>
      </c>
      <c r="L1999" s="12">
        <f t="shared" si="47"/>
        <v>10</v>
      </c>
    </row>
    <row r="2000" spans="1:12" x14ac:dyDescent="0.3">
      <c r="A2000" s="6">
        <v>45583</v>
      </c>
      <c r="B2000" s="7">
        <v>45583.885677233797</v>
      </c>
      <c r="C2000" s="8">
        <f t="shared" si="42"/>
        <v>21</v>
      </c>
      <c r="D2000" s="8" t="s">
        <v>4</v>
      </c>
      <c r="E2000" s="8" t="s">
        <v>29</v>
      </c>
      <c r="F2000" s="9">
        <v>35.76</v>
      </c>
      <c r="G2000" s="8" t="s">
        <v>24</v>
      </c>
      <c r="H2000" s="8" t="str">
        <f t="shared" si="43"/>
        <v>Night</v>
      </c>
      <c r="I2000" s="8" t="str">
        <f t="shared" si="44"/>
        <v>Fri</v>
      </c>
      <c r="J2000" s="8" t="str">
        <f t="shared" si="45"/>
        <v>Oct</v>
      </c>
      <c r="K2000" s="8">
        <f t="shared" si="46"/>
        <v>5</v>
      </c>
      <c r="L2000" s="8">
        <f t="shared" si="47"/>
        <v>10</v>
      </c>
    </row>
    <row r="2001" spans="1:12" x14ac:dyDescent="0.3">
      <c r="A2001" s="10">
        <v>45583</v>
      </c>
      <c r="B2001" s="11">
        <v>45583.91138203704</v>
      </c>
      <c r="C2001" s="12">
        <f t="shared" si="42"/>
        <v>21</v>
      </c>
      <c r="D2001" s="12" t="s">
        <v>4</v>
      </c>
      <c r="E2001" s="12" t="s">
        <v>804</v>
      </c>
      <c r="F2001" s="13">
        <v>30.86</v>
      </c>
      <c r="G2001" s="12" t="s">
        <v>20</v>
      </c>
      <c r="H2001" s="12" t="str">
        <f t="shared" si="43"/>
        <v>Night</v>
      </c>
      <c r="I2001" s="12" t="str">
        <f t="shared" si="44"/>
        <v>Fri</v>
      </c>
      <c r="J2001" s="12" t="str">
        <f t="shared" si="45"/>
        <v>Oct</v>
      </c>
      <c r="K2001" s="12">
        <f t="shared" si="46"/>
        <v>5</v>
      </c>
      <c r="L2001" s="12">
        <f t="shared" si="47"/>
        <v>10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11188-7F27-43D5-B323-1E25F5750454}">
  <dimension ref="A3:D23"/>
  <sheetViews>
    <sheetView topLeftCell="A3" workbookViewId="0">
      <selection activeCell="C4" sqref="C4"/>
    </sheetView>
  </sheetViews>
  <sheetFormatPr defaultColWidth="25.77734375" defaultRowHeight="14.4" x14ac:dyDescent="0.3"/>
  <cols>
    <col min="1" max="1" width="19.109375" bestFit="1" customWidth="1"/>
    <col min="2" max="2" width="28.88671875" bestFit="1" customWidth="1"/>
    <col min="3" max="3" width="28.44140625" bestFit="1" customWidth="1"/>
    <col min="4" max="4" width="19.33203125" bestFit="1" customWidth="1"/>
  </cols>
  <sheetData>
    <row r="3" spans="1:4" ht="25.8" x14ac:dyDescent="0.5">
      <c r="A3" s="25" t="s">
        <v>805</v>
      </c>
      <c r="B3" s="25" t="s">
        <v>828</v>
      </c>
      <c r="C3" s="23" t="s">
        <v>830</v>
      </c>
    </row>
    <row r="4" spans="1:4" ht="21" x14ac:dyDescent="0.4">
      <c r="A4" s="22">
        <v>63263.919999999365</v>
      </c>
      <c r="B4" s="30">
        <v>2000</v>
      </c>
      <c r="C4" s="21">
        <f>SUMIF(Table1[cash_type],"card",Table1[money])</f>
        <v>60077.919999999394</v>
      </c>
    </row>
    <row r="5" spans="1:4" ht="21" x14ac:dyDescent="0.4"/>
    <row r="6" spans="1:4" ht="21" x14ac:dyDescent="0.4">
      <c r="A6" s="25" t="s">
        <v>831</v>
      </c>
      <c r="B6" s="25" t="s">
        <v>829</v>
      </c>
      <c r="C6" s="25" t="s">
        <v>832</v>
      </c>
      <c r="D6" s="25" t="s">
        <v>833</v>
      </c>
    </row>
    <row r="7" spans="1:4" ht="21" x14ac:dyDescent="0.4">
      <c r="A7" s="31">
        <f>SUM(Table1[money])</f>
        <v>63263.919999999365</v>
      </c>
      <c r="B7" s="21">
        <f>COUNTA(Table1[coffee_name])</f>
        <v>2000</v>
      </c>
      <c r="C7" s="24">
        <f>AVERAGE(Table1[money])</f>
        <v>31.631959999999683</v>
      </c>
      <c r="D7" s="28">
        <f>C4/A7*100</f>
        <v>94.963954177989592</v>
      </c>
    </row>
    <row r="8" spans="1:4" ht="21" x14ac:dyDescent="0.4"/>
    <row r="9" spans="1:4" ht="21" x14ac:dyDescent="0.4"/>
    <row r="11" spans="1:4" ht="21" x14ac:dyDescent="0.4"/>
    <row r="12" spans="1:4" ht="21" x14ac:dyDescent="0.4"/>
    <row r="13" spans="1:4" ht="21" x14ac:dyDescent="0.4"/>
    <row r="14" spans="1:4" ht="21" x14ac:dyDescent="0.4"/>
    <row r="15" spans="1:4" ht="21" x14ac:dyDescent="0.4"/>
    <row r="16" spans="1:4" ht="21" x14ac:dyDescent="0.4"/>
    <row r="17" ht="21" x14ac:dyDescent="0.4"/>
    <row r="18" ht="21" x14ac:dyDescent="0.4"/>
    <row r="19" ht="21" x14ac:dyDescent="0.4"/>
    <row r="20" ht="21" x14ac:dyDescent="0.4"/>
    <row r="21" ht="21" x14ac:dyDescent="0.4"/>
    <row r="22" ht="21" x14ac:dyDescent="0.4"/>
    <row r="23" ht="21" x14ac:dyDescent="0.4"/>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7C4FD-05D3-428C-B4B8-B833533AB46D}">
  <dimension ref="A1:BC414"/>
  <sheetViews>
    <sheetView tabSelected="1" zoomScale="59" zoomScaleNormal="92" workbookViewId="0">
      <selection activeCell="W23" sqref="W23"/>
    </sheetView>
  </sheetViews>
  <sheetFormatPr defaultRowHeight="14.4" x14ac:dyDescent="0.3"/>
  <sheetData>
    <row r="1" spans="1:55" x14ac:dyDescent="0.3">
      <c r="A1" s="26"/>
      <c r="B1" s="26"/>
      <c r="C1" s="26"/>
      <c r="D1" s="26"/>
      <c r="E1" s="26"/>
      <c r="F1" s="26"/>
      <c r="G1" s="26"/>
      <c r="H1" s="26"/>
      <c r="I1" s="26"/>
      <c r="J1" s="26"/>
      <c r="K1" s="26"/>
      <c r="L1" s="26"/>
      <c r="M1" s="26"/>
      <c r="N1" s="26"/>
      <c r="O1" s="26"/>
      <c r="P1" s="26"/>
      <c r="Q1" s="26"/>
      <c r="R1" s="26"/>
      <c r="S1" s="26"/>
      <c r="T1" s="26"/>
      <c r="U1" s="26"/>
      <c r="V1" s="26"/>
      <c r="W1" s="26"/>
      <c r="X1" s="26"/>
      <c r="Y1" s="26"/>
      <c r="Z1" s="26"/>
      <c r="AA1" s="26"/>
      <c r="AB1" s="26"/>
      <c r="AC1" s="26"/>
      <c r="AD1" s="26"/>
      <c r="AE1" s="26"/>
      <c r="AF1" s="26"/>
      <c r="AG1" s="26"/>
      <c r="AH1" s="26"/>
      <c r="AI1" s="26"/>
      <c r="AJ1" s="26"/>
      <c r="AK1" s="26"/>
      <c r="AL1" s="26"/>
      <c r="AM1" s="26"/>
      <c r="AN1" s="26"/>
      <c r="AO1" s="26"/>
      <c r="AP1" s="26"/>
      <c r="AQ1" s="26"/>
      <c r="AR1" s="26"/>
      <c r="AS1" s="26"/>
      <c r="AT1" s="26"/>
      <c r="AU1" s="26"/>
      <c r="AV1" s="26"/>
      <c r="AW1" s="26"/>
      <c r="AX1" s="26"/>
      <c r="AY1" s="26"/>
      <c r="AZ1" s="26"/>
      <c r="BA1" s="26"/>
      <c r="BB1" s="26"/>
      <c r="BC1" s="26"/>
    </row>
    <row r="2" spans="1:55" x14ac:dyDescent="0.3">
      <c r="A2" s="26"/>
      <c r="B2" s="26"/>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6"/>
      <c r="AE2" s="26"/>
      <c r="AF2" s="26"/>
      <c r="AG2" s="26"/>
      <c r="AH2" s="26"/>
      <c r="AI2" s="26"/>
      <c r="AJ2" s="26"/>
      <c r="AK2" s="26"/>
      <c r="AL2" s="26"/>
      <c r="AM2" s="26"/>
      <c r="AN2" s="26"/>
      <c r="AO2" s="26"/>
      <c r="AP2" s="26"/>
      <c r="AQ2" s="26"/>
      <c r="AR2" s="26"/>
      <c r="AS2" s="26"/>
      <c r="AT2" s="26"/>
      <c r="AU2" s="26"/>
      <c r="AV2" s="26"/>
      <c r="AW2" s="26"/>
      <c r="AX2" s="26"/>
      <c r="AY2" s="26"/>
      <c r="AZ2" s="26"/>
      <c r="BA2" s="26"/>
      <c r="BB2" s="26"/>
      <c r="BC2" s="26"/>
    </row>
    <row r="3" spans="1:55" x14ac:dyDescent="0.3">
      <c r="A3" s="26"/>
      <c r="B3" s="27"/>
      <c r="C3" s="26"/>
      <c r="D3" s="26"/>
      <c r="E3" s="26"/>
      <c r="F3" s="26"/>
      <c r="G3" s="26"/>
      <c r="H3" s="26"/>
      <c r="I3" s="26"/>
      <c r="J3" s="26"/>
      <c r="K3" s="26"/>
      <c r="L3" s="26"/>
      <c r="M3" s="26"/>
      <c r="N3" s="26"/>
      <c r="O3" s="26"/>
      <c r="P3" s="26"/>
      <c r="Q3" s="26"/>
      <c r="R3" s="26"/>
      <c r="S3" s="26"/>
      <c r="T3" s="26"/>
      <c r="U3" s="26"/>
      <c r="V3" s="26"/>
      <c r="W3" s="26"/>
      <c r="X3" s="26"/>
      <c r="Y3" s="26"/>
      <c r="Z3" s="26"/>
      <c r="AA3" s="26"/>
      <c r="AB3" s="26"/>
      <c r="AC3" s="26"/>
      <c r="AD3" s="26"/>
      <c r="AE3" s="26"/>
      <c r="AF3" s="26"/>
      <c r="AG3" s="26"/>
      <c r="AH3" s="26"/>
      <c r="AI3" s="26"/>
      <c r="AJ3" s="26"/>
      <c r="AK3" s="26"/>
      <c r="AL3" s="26"/>
      <c r="AM3" s="26"/>
      <c r="AN3" s="26"/>
      <c r="AO3" s="26"/>
      <c r="AP3" s="26"/>
      <c r="AQ3" s="26"/>
      <c r="AR3" s="26"/>
      <c r="AS3" s="26"/>
      <c r="AT3" s="26"/>
      <c r="AU3" s="26"/>
      <c r="AV3" s="26"/>
      <c r="AW3" s="26"/>
      <c r="AX3" s="26"/>
      <c r="AY3" s="26"/>
      <c r="AZ3" s="26"/>
      <c r="BA3" s="26"/>
      <c r="BB3" s="26"/>
      <c r="BC3" s="26"/>
    </row>
    <row r="4" spans="1:55" x14ac:dyDescent="0.3">
      <c r="A4" s="26"/>
      <c r="B4" s="26"/>
      <c r="C4" s="26"/>
      <c r="D4" s="26"/>
      <c r="E4" s="26"/>
      <c r="F4" s="26"/>
      <c r="G4" s="26"/>
      <c r="H4" s="26"/>
      <c r="I4" s="26"/>
      <c r="J4" s="26"/>
      <c r="K4" s="26"/>
      <c r="L4" s="26"/>
      <c r="M4" s="26"/>
      <c r="N4" s="26"/>
      <c r="O4" s="26"/>
      <c r="P4" s="26"/>
      <c r="Q4" s="26"/>
      <c r="R4" s="26"/>
      <c r="S4" s="26"/>
      <c r="T4" s="26"/>
      <c r="U4" s="26"/>
      <c r="V4" s="26"/>
      <c r="W4" s="26"/>
      <c r="X4" s="26"/>
      <c r="Y4" s="26"/>
      <c r="Z4" s="26"/>
      <c r="AA4" s="26"/>
      <c r="AB4" s="26"/>
      <c r="AC4" s="26"/>
      <c r="AD4" s="26"/>
      <c r="AE4" s="26"/>
      <c r="AF4" s="26"/>
      <c r="AG4" s="26"/>
      <c r="AH4" s="26"/>
      <c r="AI4" s="26"/>
      <c r="AJ4" s="26"/>
      <c r="AK4" s="26"/>
      <c r="AL4" s="26"/>
      <c r="AM4" s="26"/>
      <c r="AN4" s="26"/>
      <c r="AO4" s="26"/>
      <c r="AP4" s="26"/>
      <c r="AQ4" s="26"/>
      <c r="AR4" s="26"/>
      <c r="AS4" s="26"/>
      <c r="AT4" s="26"/>
      <c r="AU4" s="26"/>
      <c r="AV4" s="26"/>
      <c r="AW4" s="26"/>
      <c r="AX4" s="26"/>
      <c r="AY4" s="26"/>
      <c r="AZ4" s="26"/>
      <c r="BA4" s="26"/>
      <c r="BB4" s="26"/>
      <c r="BC4" s="26"/>
    </row>
    <row r="5" spans="1:55" x14ac:dyDescent="0.3">
      <c r="A5" s="26"/>
      <c r="B5" s="26"/>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row>
    <row r="6" spans="1:55" x14ac:dyDescent="0.3">
      <c r="A6" s="26"/>
      <c r="B6" s="26"/>
      <c r="C6" s="26"/>
      <c r="D6" s="26"/>
      <c r="E6" s="26"/>
      <c r="F6" s="26"/>
      <c r="G6" s="26"/>
      <c r="H6" s="26"/>
      <c r="I6" s="26"/>
      <c r="J6" s="26"/>
      <c r="K6" s="26"/>
      <c r="L6" s="26"/>
      <c r="M6" s="26"/>
      <c r="N6" s="26"/>
      <c r="O6" s="26"/>
      <c r="P6" s="26"/>
      <c r="Q6" s="26"/>
      <c r="R6" s="26"/>
      <c r="S6" s="26"/>
      <c r="T6" s="26"/>
      <c r="U6" s="26"/>
      <c r="V6" s="26"/>
      <c r="W6" s="26"/>
      <c r="X6" s="26"/>
      <c r="Y6" s="26"/>
      <c r="Z6" s="26"/>
      <c r="AA6" s="26"/>
      <c r="AB6" s="26"/>
      <c r="AC6" s="26"/>
      <c r="AD6" s="26"/>
      <c r="AE6" s="26"/>
      <c r="AF6" s="26"/>
      <c r="AG6" s="26"/>
      <c r="AH6" s="26"/>
      <c r="AI6" s="26"/>
      <c r="AJ6" s="26"/>
      <c r="AK6" s="26"/>
      <c r="AL6" s="26"/>
      <c r="AM6" s="26"/>
      <c r="AN6" s="26"/>
      <c r="AO6" s="26"/>
      <c r="AP6" s="26"/>
      <c r="AQ6" s="26"/>
      <c r="AR6" s="26"/>
      <c r="AS6" s="26"/>
      <c r="AT6" s="26"/>
      <c r="AU6" s="26"/>
      <c r="AV6" s="26"/>
      <c r="AW6" s="26"/>
      <c r="AX6" s="26"/>
      <c r="AY6" s="26"/>
      <c r="AZ6" s="26"/>
      <c r="BA6" s="26"/>
      <c r="BB6" s="26"/>
      <c r="BC6" s="26"/>
    </row>
    <row r="7" spans="1:55" x14ac:dyDescent="0.3">
      <c r="A7" s="26"/>
      <c r="B7" s="26"/>
      <c r="C7" s="26"/>
      <c r="D7" s="26"/>
      <c r="E7" s="26"/>
      <c r="F7" s="26"/>
      <c r="G7" s="26"/>
      <c r="H7" s="26"/>
      <c r="I7" s="26"/>
      <c r="J7" s="26"/>
      <c r="K7" s="26"/>
      <c r="L7" s="26"/>
      <c r="M7" s="26"/>
      <c r="N7" s="26"/>
      <c r="O7" s="26"/>
      <c r="P7" s="26"/>
      <c r="Q7" s="26"/>
      <c r="R7" s="26"/>
      <c r="S7" s="26"/>
      <c r="T7" s="26"/>
      <c r="U7" s="26"/>
      <c r="V7" s="26"/>
      <c r="W7" s="26"/>
      <c r="X7" s="26"/>
      <c r="Y7" s="26"/>
      <c r="Z7" s="26"/>
      <c r="AA7" s="26"/>
      <c r="AB7" s="26"/>
      <c r="AC7" s="26"/>
      <c r="AD7" s="26"/>
      <c r="AE7" s="26"/>
      <c r="AF7" s="26"/>
      <c r="AG7" s="26"/>
      <c r="AH7" s="26"/>
      <c r="AI7" s="26"/>
      <c r="AJ7" s="26"/>
      <c r="AK7" s="26"/>
      <c r="AL7" s="26"/>
      <c r="AM7" s="26"/>
      <c r="AN7" s="26"/>
      <c r="AO7" s="26"/>
      <c r="AP7" s="26"/>
      <c r="AQ7" s="26"/>
      <c r="AR7" s="26"/>
      <c r="AS7" s="26"/>
      <c r="AT7" s="26"/>
      <c r="AU7" s="26"/>
      <c r="AV7" s="26"/>
      <c r="AW7" s="26"/>
      <c r="AX7" s="26"/>
      <c r="AY7" s="26"/>
      <c r="AZ7" s="26"/>
      <c r="BA7" s="26"/>
      <c r="BB7" s="26"/>
      <c r="BC7" s="26"/>
    </row>
    <row r="8" spans="1:55" x14ac:dyDescent="0.3">
      <c r="A8" s="26"/>
      <c r="B8" s="26"/>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c r="AQ8" s="26"/>
      <c r="AR8" s="26"/>
      <c r="AS8" s="26"/>
      <c r="AT8" s="26"/>
      <c r="AU8" s="26"/>
      <c r="AV8" s="26"/>
      <c r="AW8" s="26"/>
      <c r="AX8" s="26"/>
      <c r="AY8" s="26"/>
      <c r="AZ8" s="26"/>
      <c r="BA8" s="26"/>
      <c r="BB8" s="26"/>
      <c r="BC8" s="26"/>
    </row>
    <row r="9" spans="1:55" x14ac:dyDescent="0.3">
      <c r="A9" s="26"/>
      <c r="B9" s="26"/>
      <c r="C9" s="26"/>
      <c r="D9" s="26"/>
      <c r="E9" s="26"/>
      <c r="F9" s="26"/>
      <c r="G9" s="26"/>
      <c r="H9" s="26"/>
      <c r="I9" s="26"/>
      <c r="J9" s="26"/>
      <c r="K9" s="26"/>
      <c r="L9" s="26"/>
      <c r="M9" s="26"/>
      <c r="N9" s="26"/>
      <c r="O9" s="26"/>
      <c r="P9" s="26"/>
      <c r="Q9" s="26"/>
      <c r="R9" s="26"/>
      <c r="S9" s="26"/>
      <c r="T9" s="26"/>
      <c r="U9" s="26"/>
      <c r="V9" s="26"/>
      <c r="W9" s="26"/>
      <c r="X9" s="26"/>
      <c r="Y9" s="26"/>
      <c r="Z9" s="26"/>
      <c r="AA9" s="26"/>
      <c r="AB9" s="26"/>
      <c r="AC9" s="26"/>
      <c r="AD9" s="26"/>
      <c r="AE9" s="26"/>
      <c r="AF9" s="26"/>
      <c r="AG9" s="26"/>
      <c r="AH9" s="26"/>
      <c r="AI9" s="26"/>
      <c r="AJ9" s="26"/>
      <c r="AK9" s="26"/>
      <c r="AL9" s="26"/>
      <c r="AM9" s="26"/>
      <c r="AN9" s="26"/>
      <c r="AO9" s="26"/>
      <c r="AP9" s="26"/>
      <c r="AQ9" s="26"/>
      <c r="AR9" s="26"/>
      <c r="AS9" s="26"/>
      <c r="AT9" s="26"/>
      <c r="AU9" s="26"/>
      <c r="AV9" s="26"/>
      <c r="AW9" s="26"/>
      <c r="AX9" s="26"/>
      <c r="AY9" s="26"/>
      <c r="AZ9" s="26"/>
      <c r="BA9" s="26"/>
      <c r="BB9" s="26"/>
      <c r="BC9" s="26"/>
    </row>
    <row r="10" spans="1:55" x14ac:dyDescent="0.3">
      <c r="A10" s="26"/>
      <c r="B10" s="26"/>
      <c r="C10" s="26"/>
      <c r="D10" s="26"/>
      <c r="E10" s="26"/>
      <c r="F10" s="26"/>
      <c r="G10" s="26"/>
      <c r="H10" s="26"/>
      <c r="I10" s="26"/>
      <c r="J10" s="26"/>
      <c r="K10" s="26"/>
      <c r="L10" s="26"/>
      <c r="M10" s="26"/>
      <c r="N10" s="26"/>
      <c r="O10" s="26"/>
      <c r="P10" s="26"/>
      <c r="Q10" s="26"/>
      <c r="R10" s="26"/>
      <c r="S10" s="26"/>
      <c r="T10" s="26"/>
      <c r="U10" s="26"/>
      <c r="V10" s="26"/>
      <c r="W10" s="26"/>
      <c r="X10" s="26"/>
      <c r="Y10" s="26"/>
      <c r="Z10" s="26"/>
      <c r="AA10" s="26"/>
      <c r="AB10" s="26"/>
      <c r="AC10" s="26"/>
      <c r="AD10" s="26"/>
      <c r="AE10" s="26"/>
      <c r="AF10" s="26"/>
      <c r="AG10" s="26"/>
      <c r="AH10" s="26"/>
      <c r="AI10" s="26"/>
      <c r="AJ10" s="26"/>
      <c r="AK10" s="26"/>
      <c r="AL10" s="26"/>
      <c r="AM10" s="26"/>
      <c r="AN10" s="26"/>
      <c r="AO10" s="26"/>
      <c r="AP10" s="26"/>
      <c r="AQ10" s="26"/>
      <c r="AR10" s="26"/>
      <c r="AS10" s="26"/>
      <c r="AT10" s="26"/>
      <c r="AU10" s="26"/>
      <c r="AV10" s="26"/>
      <c r="AW10" s="26"/>
      <c r="AX10" s="26"/>
      <c r="AY10" s="26"/>
      <c r="AZ10" s="26"/>
      <c r="BA10" s="26"/>
      <c r="BB10" s="26"/>
      <c r="BC10" s="26"/>
    </row>
    <row r="11" spans="1:55" x14ac:dyDescent="0.3">
      <c r="A11" s="26"/>
      <c r="B11" s="26"/>
      <c r="C11" s="26"/>
      <c r="D11" s="26"/>
      <c r="E11" s="26"/>
      <c r="F11" s="26"/>
      <c r="G11" s="26"/>
      <c r="H11" s="26"/>
      <c r="I11" s="26"/>
      <c r="J11" s="26"/>
      <c r="K11" s="26"/>
      <c r="L11" s="26"/>
      <c r="M11" s="26"/>
      <c r="N11" s="26"/>
      <c r="O11" s="26"/>
      <c r="P11" s="26"/>
      <c r="Q11" s="26"/>
      <c r="R11" s="26"/>
      <c r="S11" s="26"/>
      <c r="T11" s="26"/>
      <c r="U11" s="26"/>
      <c r="V11" s="26"/>
      <c r="W11" s="26"/>
      <c r="X11" s="26"/>
      <c r="Y11" s="26"/>
      <c r="Z11" s="26"/>
      <c r="AA11" s="26"/>
      <c r="AB11" s="26"/>
      <c r="AC11" s="26"/>
      <c r="AD11" s="26"/>
      <c r="AE11" s="26"/>
      <c r="AF11" s="26"/>
      <c r="AG11" s="26"/>
      <c r="AH11" s="26"/>
      <c r="AI11" s="26"/>
      <c r="AJ11" s="26"/>
      <c r="AK11" s="26"/>
      <c r="AL11" s="26"/>
      <c r="AM11" s="26"/>
      <c r="AN11" s="26"/>
      <c r="AO11" s="26"/>
      <c r="AP11" s="26"/>
      <c r="AQ11" s="26"/>
      <c r="AR11" s="26"/>
      <c r="AS11" s="26"/>
      <c r="AT11" s="26"/>
      <c r="AU11" s="26"/>
      <c r="AV11" s="26"/>
      <c r="AW11" s="26"/>
      <c r="AX11" s="26"/>
      <c r="AY11" s="26"/>
      <c r="AZ11" s="26"/>
      <c r="BA11" s="26"/>
      <c r="BB11" s="26"/>
      <c r="BC11" s="26"/>
    </row>
    <row r="12" spans="1:55" x14ac:dyDescent="0.3">
      <c r="A12" s="26"/>
      <c r="B12" s="26"/>
      <c r="C12" s="26"/>
      <c r="D12" s="26"/>
      <c r="E12" s="26"/>
      <c r="F12" s="26"/>
      <c r="G12" s="26"/>
      <c r="H12" s="26"/>
      <c r="I12" s="26"/>
      <c r="J12" s="26"/>
      <c r="K12" s="26"/>
      <c r="L12" s="26"/>
      <c r="M12" s="26"/>
      <c r="N12" s="26"/>
      <c r="O12" s="26"/>
      <c r="P12" s="26"/>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c r="AQ12" s="26"/>
      <c r="AR12" s="26"/>
      <c r="AS12" s="26"/>
      <c r="AT12" s="26"/>
      <c r="AU12" s="26"/>
      <c r="AV12" s="26"/>
      <c r="AW12" s="26"/>
      <c r="AX12" s="26"/>
      <c r="AY12" s="26"/>
      <c r="AZ12" s="26"/>
      <c r="BA12" s="26"/>
      <c r="BB12" s="26"/>
      <c r="BC12" s="26"/>
    </row>
    <row r="13" spans="1:55" x14ac:dyDescent="0.3">
      <c r="A13" s="26"/>
      <c r="B13" s="26"/>
      <c r="C13" s="26"/>
      <c r="D13" s="26"/>
      <c r="E13" s="26"/>
      <c r="F13" s="26"/>
      <c r="G13" s="26"/>
      <c r="H13" s="26"/>
      <c r="I13" s="26"/>
      <c r="J13" s="26"/>
      <c r="K13" s="26"/>
      <c r="L13" s="26"/>
      <c r="M13" s="26"/>
      <c r="N13" s="26"/>
      <c r="O13" s="26"/>
      <c r="P13" s="26"/>
      <c r="Q13" s="26"/>
      <c r="R13" s="26"/>
      <c r="S13" s="26"/>
      <c r="T13" s="26"/>
      <c r="U13" s="26"/>
      <c r="V13" s="26"/>
      <c r="W13" s="26"/>
      <c r="X13" s="26"/>
      <c r="Y13" s="26"/>
      <c r="Z13" s="26"/>
      <c r="AA13" s="26"/>
      <c r="AB13" s="26"/>
      <c r="AC13" s="26"/>
      <c r="AD13" s="26"/>
      <c r="AE13" s="26"/>
      <c r="AF13" s="26"/>
      <c r="AG13" s="26"/>
      <c r="AH13" s="26"/>
      <c r="AI13" s="26"/>
      <c r="AJ13" s="26"/>
      <c r="AK13" s="26"/>
      <c r="AL13" s="26"/>
      <c r="AM13" s="26"/>
      <c r="AN13" s="26"/>
      <c r="AO13" s="26"/>
      <c r="AP13" s="26"/>
      <c r="AQ13" s="26"/>
      <c r="AR13" s="26"/>
      <c r="AS13" s="26"/>
      <c r="AT13" s="26"/>
      <c r="AU13" s="26"/>
      <c r="AV13" s="26"/>
      <c r="AW13" s="26"/>
      <c r="AX13" s="26"/>
      <c r="AY13" s="26"/>
      <c r="AZ13" s="26"/>
      <c r="BA13" s="26"/>
      <c r="BB13" s="26"/>
      <c r="BC13" s="26"/>
    </row>
    <row r="14" spans="1:55" x14ac:dyDescent="0.3">
      <c r="A14" s="26"/>
      <c r="B14" s="26"/>
      <c r="C14" s="26"/>
      <c r="D14" s="26"/>
      <c r="E14" s="26"/>
      <c r="F14" s="26"/>
      <c r="G14" s="26"/>
      <c r="H14" s="26"/>
      <c r="I14" s="26"/>
      <c r="J14" s="26"/>
      <c r="K14" s="26"/>
      <c r="L14" s="26"/>
      <c r="M14" s="26"/>
      <c r="N14" s="26"/>
      <c r="O14" s="26"/>
      <c r="P14" s="26"/>
      <c r="Q14" s="26"/>
      <c r="R14" s="26"/>
      <c r="S14" s="26"/>
      <c r="T14" s="26"/>
      <c r="U14" s="26"/>
      <c r="V14" s="26"/>
      <c r="W14" s="26"/>
      <c r="X14" s="26"/>
      <c r="Y14" s="26"/>
      <c r="Z14" s="26"/>
      <c r="AA14" s="26"/>
      <c r="AB14" s="26"/>
      <c r="AC14" s="26"/>
      <c r="AD14" s="26"/>
      <c r="AE14" s="26"/>
      <c r="AF14" s="26"/>
      <c r="AG14" s="26"/>
      <c r="AH14" s="26"/>
      <c r="AI14" s="26"/>
      <c r="AJ14" s="26"/>
      <c r="AK14" s="26"/>
      <c r="AL14" s="26"/>
      <c r="AM14" s="26"/>
      <c r="AN14" s="26"/>
      <c r="AO14" s="26"/>
      <c r="AP14" s="26"/>
      <c r="AQ14" s="26"/>
      <c r="AR14" s="26"/>
      <c r="AS14" s="26"/>
      <c r="AT14" s="26"/>
      <c r="AU14" s="26"/>
      <c r="AV14" s="26"/>
      <c r="AW14" s="26"/>
      <c r="AX14" s="26"/>
      <c r="AY14" s="26"/>
      <c r="AZ14" s="26"/>
      <c r="BA14" s="26"/>
      <c r="BB14" s="26"/>
      <c r="BC14" s="26"/>
    </row>
    <row r="15" spans="1:55" x14ac:dyDescent="0.3">
      <c r="A15" s="26"/>
      <c r="B15" s="26"/>
      <c r="C15" s="26"/>
      <c r="D15" s="26"/>
      <c r="E15" s="26"/>
      <c r="F15" s="26"/>
      <c r="G15" s="26"/>
      <c r="H15" s="26"/>
      <c r="I15" s="26"/>
      <c r="J15" s="26"/>
      <c r="K15" s="26"/>
      <c r="L15" s="26"/>
      <c r="M15" s="26"/>
      <c r="N15" s="26"/>
      <c r="O15" s="26"/>
      <c r="P15" s="26"/>
      <c r="Q15" s="26"/>
      <c r="R15" s="26"/>
      <c r="S15" s="26"/>
      <c r="T15" s="26"/>
      <c r="U15" s="26"/>
      <c r="V15" s="26"/>
      <c r="W15" s="26"/>
      <c r="X15" s="26"/>
      <c r="Y15" s="26"/>
      <c r="Z15" s="26"/>
      <c r="AA15" s="26"/>
      <c r="AB15" s="26"/>
      <c r="AC15" s="26"/>
      <c r="AD15" s="26"/>
      <c r="AE15" s="26"/>
      <c r="AF15" s="26"/>
      <c r="AG15" s="26"/>
      <c r="AH15" s="26"/>
      <c r="AI15" s="26"/>
      <c r="AJ15" s="26"/>
      <c r="AK15" s="26"/>
      <c r="AL15" s="26"/>
      <c r="AM15" s="26"/>
      <c r="AN15" s="26"/>
      <c r="AO15" s="26"/>
      <c r="AP15" s="26"/>
      <c r="AQ15" s="26"/>
      <c r="AR15" s="26"/>
      <c r="AS15" s="26"/>
      <c r="AT15" s="26"/>
      <c r="AU15" s="26"/>
      <c r="AV15" s="26"/>
      <c r="AW15" s="26"/>
      <c r="AX15" s="26"/>
      <c r="AY15" s="26"/>
      <c r="AZ15" s="26"/>
      <c r="BA15" s="26"/>
      <c r="BB15" s="26"/>
      <c r="BC15" s="26"/>
    </row>
    <row r="16" spans="1:55" x14ac:dyDescent="0.3">
      <c r="A16" s="26"/>
      <c r="B16" s="26"/>
      <c r="C16" s="26"/>
      <c r="D16" s="26"/>
      <c r="E16" s="26"/>
      <c r="F16" s="26"/>
      <c r="G16" s="26"/>
      <c r="H16" s="26"/>
      <c r="I16" s="26"/>
      <c r="J16" s="26"/>
      <c r="K16" s="26"/>
      <c r="L16" s="26"/>
      <c r="M16" s="26"/>
      <c r="N16" s="26"/>
      <c r="O16" s="26"/>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26"/>
      <c r="AR16" s="26"/>
      <c r="AS16" s="26"/>
      <c r="AT16" s="26"/>
      <c r="AU16" s="26"/>
      <c r="AV16" s="26"/>
      <c r="AW16" s="26"/>
      <c r="AX16" s="26"/>
      <c r="AY16" s="26"/>
      <c r="AZ16" s="26"/>
      <c r="BA16" s="26"/>
      <c r="BB16" s="26"/>
      <c r="BC16" s="26"/>
    </row>
    <row r="17" spans="1:55" x14ac:dyDescent="0.3">
      <c r="A17" s="26"/>
      <c r="B17" s="26"/>
      <c r="C17" s="26"/>
      <c r="D17" s="26"/>
      <c r="E17" s="26"/>
      <c r="F17" s="26"/>
      <c r="G17" s="26"/>
      <c r="H17" s="26"/>
      <c r="I17" s="26"/>
      <c r="J17" s="26"/>
      <c r="K17" s="26"/>
      <c r="L17" s="26"/>
      <c r="M17" s="26"/>
      <c r="N17" s="26"/>
      <c r="O17" s="26"/>
      <c r="P17" s="26"/>
      <c r="Q17" s="26"/>
      <c r="R17" s="26"/>
      <c r="S17" s="26"/>
      <c r="T17" s="26"/>
      <c r="U17" s="26"/>
      <c r="V17" s="26"/>
      <c r="W17" s="26"/>
      <c r="X17" s="26"/>
      <c r="Y17" s="26"/>
      <c r="Z17" s="26"/>
      <c r="AA17" s="26"/>
      <c r="AB17" s="26"/>
      <c r="AC17" s="26"/>
      <c r="AD17" s="26"/>
      <c r="AE17" s="26"/>
      <c r="AF17" s="26"/>
      <c r="AG17" s="26"/>
      <c r="AH17" s="26"/>
      <c r="AI17" s="26"/>
      <c r="AJ17" s="26"/>
      <c r="AK17" s="26"/>
      <c r="AL17" s="26"/>
      <c r="AM17" s="26"/>
      <c r="AN17" s="26"/>
      <c r="AO17" s="26"/>
      <c r="AP17" s="26"/>
      <c r="AQ17" s="26"/>
      <c r="AR17" s="26"/>
      <c r="AS17" s="26"/>
      <c r="AT17" s="26"/>
      <c r="AU17" s="26"/>
      <c r="AV17" s="26"/>
      <c r="AW17" s="26"/>
      <c r="AX17" s="26"/>
      <c r="AY17" s="26"/>
      <c r="AZ17" s="26"/>
      <c r="BA17" s="26"/>
      <c r="BB17" s="26"/>
      <c r="BC17" s="26"/>
    </row>
    <row r="18" spans="1:55" x14ac:dyDescent="0.3">
      <c r="A18" s="26"/>
      <c r="B18" s="26"/>
      <c r="C18" s="26"/>
      <c r="D18" s="26"/>
      <c r="E18" s="26"/>
      <c r="F18" s="26"/>
      <c r="G18" s="26"/>
      <c r="H18" s="26"/>
      <c r="I18" s="26"/>
      <c r="J18" s="26"/>
      <c r="K18" s="26"/>
      <c r="L18" s="26"/>
      <c r="M18" s="26"/>
      <c r="N18" s="26"/>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26"/>
      <c r="AR18" s="26"/>
      <c r="AS18" s="26"/>
      <c r="AT18" s="26"/>
      <c r="AU18" s="26"/>
      <c r="AV18" s="26"/>
      <c r="AW18" s="26"/>
      <c r="AX18" s="26"/>
      <c r="AY18" s="26"/>
      <c r="AZ18" s="26"/>
      <c r="BA18" s="26"/>
      <c r="BB18" s="26"/>
      <c r="BC18" s="26"/>
    </row>
    <row r="19" spans="1:55" x14ac:dyDescent="0.3">
      <c r="A19" s="26"/>
      <c r="B19" s="26"/>
      <c r="C19" s="26"/>
      <c r="D19" s="26"/>
      <c r="E19" s="26"/>
      <c r="F19" s="26"/>
      <c r="G19" s="26"/>
      <c r="H19" s="26"/>
      <c r="I19" s="26"/>
      <c r="J19" s="26"/>
      <c r="K19" s="26"/>
      <c r="L19" s="26"/>
      <c r="M19" s="26"/>
      <c r="N19" s="26"/>
      <c r="O19" s="26"/>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26"/>
      <c r="AP19" s="26"/>
      <c r="AQ19" s="26"/>
      <c r="AR19" s="26"/>
      <c r="AS19" s="26"/>
      <c r="AT19" s="26"/>
      <c r="AU19" s="26"/>
      <c r="AV19" s="26"/>
      <c r="AW19" s="26"/>
      <c r="AX19" s="26"/>
      <c r="AY19" s="26"/>
      <c r="AZ19" s="26"/>
      <c r="BA19" s="26"/>
      <c r="BB19" s="26"/>
      <c r="BC19" s="26"/>
    </row>
    <row r="20" spans="1:55" x14ac:dyDescent="0.3">
      <c r="A20" s="26"/>
      <c r="B20" s="26"/>
      <c r="C20" s="26"/>
      <c r="D20" s="26"/>
      <c r="E20" s="26"/>
      <c r="F20" s="26"/>
      <c r="G20" s="26"/>
      <c r="H20" s="26"/>
      <c r="I20" s="26"/>
      <c r="J20" s="26"/>
      <c r="K20" s="26"/>
      <c r="L20" s="26"/>
      <c r="M20" s="26"/>
      <c r="N20" s="26"/>
      <c r="O20" s="26"/>
      <c r="P20" s="26"/>
      <c r="Q20" s="26"/>
      <c r="R20" s="26"/>
      <c r="S20" s="26"/>
      <c r="T20" s="26"/>
      <c r="U20" s="26"/>
      <c r="V20" s="26"/>
      <c r="W20" s="26"/>
      <c r="X20" s="26"/>
      <c r="Y20" s="26"/>
      <c r="Z20" s="26"/>
      <c r="AA20" s="26"/>
      <c r="AB20" s="26"/>
      <c r="AC20" s="26"/>
      <c r="AD20" s="26"/>
      <c r="AE20" s="26"/>
      <c r="AF20" s="26"/>
      <c r="AG20" s="26"/>
      <c r="AH20" s="26"/>
      <c r="AI20" s="26"/>
      <c r="AJ20" s="26"/>
      <c r="AK20" s="26"/>
      <c r="AL20" s="26"/>
      <c r="AM20" s="26"/>
      <c r="AN20" s="26"/>
      <c r="AO20" s="26"/>
      <c r="AP20" s="26"/>
      <c r="AQ20" s="26"/>
      <c r="AR20" s="26"/>
      <c r="AS20" s="26"/>
      <c r="AT20" s="26"/>
      <c r="AU20" s="26"/>
      <c r="AV20" s="26"/>
      <c r="AW20" s="26"/>
      <c r="AX20" s="26"/>
      <c r="AY20" s="26"/>
      <c r="AZ20" s="26"/>
      <c r="BA20" s="26"/>
      <c r="BB20" s="26"/>
      <c r="BC20" s="26"/>
    </row>
    <row r="21" spans="1:55" x14ac:dyDescent="0.3">
      <c r="A21" s="26"/>
      <c r="B21" s="26"/>
      <c r="C21" s="26"/>
      <c r="D21" s="26"/>
      <c r="E21" s="26"/>
      <c r="F21" s="26"/>
      <c r="G21" s="26"/>
      <c r="H21" s="26"/>
      <c r="I21" s="26"/>
      <c r="J21" s="26"/>
      <c r="K21" s="26"/>
      <c r="L21" s="26"/>
      <c r="M21" s="26"/>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26"/>
      <c r="AO21" s="26"/>
      <c r="AP21" s="26"/>
      <c r="AQ21" s="26"/>
      <c r="AR21" s="26"/>
      <c r="AS21" s="26"/>
      <c r="AT21" s="26"/>
      <c r="AU21" s="26"/>
      <c r="AV21" s="26"/>
      <c r="AW21" s="26"/>
      <c r="AX21" s="26"/>
      <c r="AY21" s="26"/>
      <c r="AZ21" s="26"/>
      <c r="BA21" s="26"/>
      <c r="BB21" s="26"/>
      <c r="BC21" s="26"/>
    </row>
    <row r="22" spans="1:55" x14ac:dyDescent="0.3">
      <c r="A22" s="26"/>
      <c r="B22" s="26"/>
      <c r="C22" s="26"/>
      <c r="D22" s="26"/>
      <c r="E22" s="26"/>
      <c r="F22" s="26"/>
      <c r="G22" s="26"/>
      <c r="H22" s="26"/>
      <c r="I22" s="26"/>
      <c r="J22" s="26"/>
      <c r="K22" s="26"/>
      <c r="L22" s="26"/>
      <c r="M22" s="26"/>
      <c r="N22" s="26"/>
      <c r="O22" s="26"/>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26"/>
      <c r="AO22" s="26"/>
      <c r="AP22" s="26"/>
      <c r="AQ22" s="26"/>
      <c r="AR22" s="26"/>
      <c r="AS22" s="26"/>
      <c r="AT22" s="26"/>
      <c r="AU22" s="26"/>
      <c r="AV22" s="26"/>
      <c r="AW22" s="26"/>
      <c r="AX22" s="26"/>
      <c r="AY22" s="26"/>
      <c r="AZ22" s="26"/>
      <c r="BA22" s="26"/>
      <c r="BB22" s="26"/>
      <c r="BC22" s="26"/>
    </row>
    <row r="23" spans="1:55" x14ac:dyDescent="0.3">
      <c r="A23" s="26"/>
      <c r="B23" s="26"/>
      <c r="C23" s="26"/>
      <c r="D23" s="26"/>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26"/>
      <c r="AO23" s="26"/>
      <c r="AP23" s="26"/>
      <c r="AQ23" s="26"/>
      <c r="AR23" s="26"/>
      <c r="AS23" s="26"/>
      <c r="AT23" s="26"/>
      <c r="AU23" s="26"/>
      <c r="AV23" s="26"/>
      <c r="AW23" s="26"/>
      <c r="AX23" s="26"/>
      <c r="AY23" s="26"/>
      <c r="AZ23" s="26"/>
      <c r="BA23" s="26"/>
      <c r="BB23" s="26"/>
      <c r="BC23" s="26"/>
    </row>
    <row r="24" spans="1:55" x14ac:dyDescent="0.3">
      <c r="A24" s="26"/>
      <c r="B24" s="26"/>
      <c r="C24" s="26"/>
      <c r="D24" s="26"/>
      <c r="E24" s="26"/>
      <c r="F24" s="26"/>
      <c r="G24" s="26"/>
      <c r="H24" s="26"/>
      <c r="I24" s="26"/>
      <c r="J24" s="26"/>
      <c r="K24" s="26"/>
      <c r="L24" s="26"/>
      <c r="M24" s="26"/>
      <c r="N24" s="26"/>
      <c r="O24" s="26"/>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26"/>
      <c r="AO24" s="26"/>
      <c r="AP24" s="26"/>
      <c r="AQ24" s="26"/>
      <c r="AR24" s="26"/>
      <c r="AS24" s="26"/>
      <c r="AT24" s="26"/>
      <c r="AU24" s="26"/>
      <c r="AV24" s="26"/>
      <c r="AW24" s="26"/>
      <c r="AX24" s="26"/>
      <c r="AY24" s="26"/>
      <c r="AZ24" s="26"/>
      <c r="BA24" s="26"/>
      <c r="BB24" s="26"/>
      <c r="BC24" s="26"/>
    </row>
    <row r="25" spans="1:55" x14ac:dyDescent="0.3">
      <c r="A25" s="26"/>
      <c r="B25" s="26"/>
      <c r="C25" s="26"/>
      <c r="D25" s="26"/>
      <c r="E25" s="26"/>
      <c r="F25" s="26"/>
      <c r="G25" s="26"/>
      <c r="H25" s="26"/>
      <c r="I25" s="26"/>
      <c r="J25" s="26"/>
      <c r="K25" s="26"/>
      <c r="L25" s="26"/>
      <c r="M25" s="26"/>
      <c r="N25" s="26"/>
      <c r="O25" s="26"/>
      <c r="P25" s="26"/>
      <c r="Q25" s="26"/>
      <c r="R25" s="26"/>
      <c r="S25" s="26"/>
      <c r="T25" s="26"/>
      <c r="U25" s="26"/>
      <c r="V25" s="26"/>
      <c r="W25" s="26"/>
      <c r="X25" s="26"/>
      <c r="Y25" s="26"/>
      <c r="Z25" s="26"/>
      <c r="AA25" s="26"/>
      <c r="AB25" s="26"/>
      <c r="AC25" s="26"/>
      <c r="AD25" s="26"/>
      <c r="AE25" s="26"/>
      <c r="AF25" s="26"/>
      <c r="AG25" s="26"/>
      <c r="AH25" s="26"/>
      <c r="AI25" s="26"/>
      <c r="AJ25" s="26"/>
      <c r="AK25" s="26"/>
      <c r="AL25" s="26"/>
      <c r="AM25" s="26"/>
      <c r="AN25" s="26"/>
      <c r="AO25" s="26"/>
      <c r="AP25" s="26"/>
      <c r="AQ25" s="26"/>
      <c r="AR25" s="26"/>
      <c r="AS25" s="26"/>
      <c r="AT25" s="26"/>
      <c r="AU25" s="26"/>
      <c r="AV25" s="26"/>
      <c r="AW25" s="26"/>
      <c r="AX25" s="26"/>
      <c r="AY25" s="26"/>
      <c r="AZ25" s="26"/>
      <c r="BA25" s="26"/>
      <c r="BB25" s="26"/>
      <c r="BC25" s="26"/>
    </row>
    <row r="26" spans="1:55" x14ac:dyDescent="0.3">
      <c r="A26" s="26"/>
      <c r="B26" s="26"/>
      <c r="C26" s="26"/>
      <c r="D26" s="26"/>
      <c r="E26" s="26"/>
      <c r="F26" s="26"/>
      <c r="G26" s="26"/>
      <c r="H26" s="26"/>
      <c r="I26" s="26"/>
      <c r="J26" s="26"/>
      <c r="K26" s="26"/>
      <c r="L26" s="26"/>
      <c r="M26" s="26"/>
      <c r="N26" s="26"/>
      <c r="O26" s="26"/>
      <c r="P26" s="26"/>
      <c r="Q26" s="26"/>
      <c r="R26" s="26"/>
      <c r="S26" s="26"/>
      <c r="T26" s="26"/>
      <c r="U26" s="26"/>
      <c r="V26" s="26"/>
      <c r="W26" s="26"/>
      <c r="X26" s="26"/>
      <c r="Y26" s="26"/>
      <c r="Z26" s="26"/>
      <c r="AA26" s="26"/>
      <c r="AB26" s="26"/>
      <c r="AC26" s="26"/>
      <c r="AD26" s="26"/>
      <c r="AE26" s="26"/>
      <c r="AF26" s="26"/>
      <c r="AG26" s="26"/>
      <c r="AH26" s="26"/>
      <c r="AI26" s="26"/>
      <c r="AJ26" s="26"/>
      <c r="AK26" s="26"/>
      <c r="AL26" s="26"/>
      <c r="AM26" s="26"/>
      <c r="AN26" s="26"/>
      <c r="AO26" s="26"/>
      <c r="AP26" s="26"/>
      <c r="AQ26" s="26"/>
      <c r="AR26" s="26"/>
      <c r="AS26" s="26"/>
      <c r="AT26" s="26"/>
      <c r="AU26" s="26"/>
      <c r="AV26" s="26"/>
      <c r="AW26" s="26"/>
      <c r="AX26" s="26"/>
      <c r="AY26" s="26"/>
      <c r="AZ26" s="26"/>
      <c r="BA26" s="26"/>
      <c r="BB26" s="26"/>
      <c r="BC26" s="26"/>
    </row>
    <row r="27" spans="1:55" x14ac:dyDescent="0.3">
      <c r="A27" s="26"/>
      <c r="B27" s="26"/>
      <c r="C27" s="26"/>
      <c r="D27" s="26"/>
      <c r="E27" s="26"/>
      <c r="F27" s="26"/>
      <c r="G27" s="26"/>
      <c r="H27" s="26"/>
      <c r="I27" s="26"/>
      <c r="J27" s="26"/>
      <c r="K27" s="26"/>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c r="AQ27" s="26"/>
      <c r="AR27" s="26"/>
      <c r="AS27" s="26"/>
      <c r="AT27" s="26"/>
      <c r="AU27" s="26"/>
      <c r="AV27" s="26"/>
      <c r="AW27" s="26"/>
      <c r="AX27" s="26"/>
      <c r="AY27" s="26"/>
      <c r="AZ27" s="26"/>
      <c r="BA27" s="26"/>
      <c r="BB27" s="26"/>
      <c r="BC27" s="26"/>
    </row>
    <row r="28" spans="1:55" x14ac:dyDescent="0.3">
      <c r="A28" s="26"/>
      <c r="B28" s="26"/>
      <c r="C28" s="26"/>
      <c r="D28" s="26"/>
      <c r="E28" s="26"/>
      <c r="F28" s="26"/>
      <c r="G28" s="26"/>
      <c r="H28" s="26"/>
      <c r="I28" s="26"/>
      <c r="J28" s="26"/>
      <c r="K28" s="26"/>
      <c r="L28" s="26"/>
      <c r="M28" s="26"/>
      <c r="N28" s="26"/>
      <c r="O28" s="26"/>
      <c r="P28" s="26"/>
      <c r="Q28" s="26"/>
      <c r="R28" s="26"/>
      <c r="S28" s="26"/>
      <c r="T28" s="26"/>
      <c r="U28" s="26"/>
      <c r="V28" s="26"/>
      <c r="W28" s="26"/>
      <c r="X28" s="26"/>
      <c r="Y28" s="26"/>
      <c r="Z28" s="26"/>
      <c r="AA28" s="26"/>
      <c r="AB28" s="26"/>
      <c r="AC28" s="26"/>
      <c r="AD28" s="26"/>
      <c r="AE28" s="26"/>
      <c r="AF28" s="26"/>
      <c r="AG28" s="26"/>
      <c r="AH28" s="26"/>
      <c r="AI28" s="26"/>
      <c r="AJ28" s="26"/>
      <c r="AK28" s="26"/>
      <c r="AL28" s="26"/>
      <c r="AM28" s="26"/>
      <c r="AN28" s="26"/>
      <c r="AO28" s="26"/>
      <c r="AP28" s="26"/>
      <c r="AQ28" s="26"/>
      <c r="AR28" s="26"/>
      <c r="AS28" s="26"/>
      <c r="AT28" s="26"/>
      <c r="AU28" s="26"/>
      <c r="AV28" s="26"/>
      <c r="AW28" s="26"/>
      <c r="AX28" s="26"/>
      <c r="AY28" s="26"/>
      <c r="AZ28" s="26"/>
      <c r="BA28" s="26"/>
      <c r="BB28" s="26"/>
      <c r="BC28" s="26"/>
    </row>
    <row r="29" spans="1:55" x14ac:dyDescent="0.3">
      <c r="A29" s="26"/>
      <c r="B29" s="26"/>
      <c r="C29" s="26"/>
      <c r="D29" s="26"/>
      <c r="E29" s="26"/>
      <c r="F29" s="26"/>
      <c r="G29" s="26"/>
      <c r="H29" s="26"/>
      <c r="I29" s="26"/>
      <c r="J29" s="26"/>
      <c r="K29" s="26"/>
      <c r="L29" s="26"/>
      <c r="M29" s="26"/>
      <c r="N29" s="26"/>
      <c r="O29" s="26"/>
      <c r="P29" s="26"/>
      <c r="Q29" s="26"/>
      <c r="R29" s="26"/>
      <c r="S29" s="26"/>
      <c r="T29" s="26"/>
      <c r="U29" s="26"/>
      <c r="V29" s="26"/>
      <c r="W29" s="26"/>
      <c r="X29" s="26"/>
      <c r="Y29" s="26"/>
      <c r="Z29" s="26"/>
      <c r="AA29" s="26"/>
      <c r="AB29" s="26"/>
      <c r="AC29" s="26"/>
      <c r="AD29" s="26"/>
      <c r="AE29" s="26"/>
      <c r="AF29" s="26"/>
      <c r="AG29" s="26"/>
      <c r="AH29" s="26"/>
      <c r="AI29" s="26"/>
      <c r="AJ29" s="26"/>
      <c r="AK29" s="26"/>
      <c r="AL29" s="26"/>
      <c r="AM29" s="26"/>
      <c r="AN29" s="26"/>
      <c r="AO29" s="26"/>
      <c r="AP29" s="26"/>
      <c r="AQ29" s="26"/>
      <c r="AR29" s="26"/>
      <c r="AS29" s="26"/>
      <c r="AT29" s="26"/>
      <c r="AU29" s="26"/>
      <c r="AV29" s="26"/>
      <c r="AW29" s="26"/>
      <c r="AX29" s="26"/>
      <c r="AY29" s="26"/>
      <c r="AZ29" s="26"/>
      <c r="BA29" s="26"/>
      <c r="BB29" s="26"/>
      <c r="BC29" s="26"/>
    </row>
    <row r="30" spans="1:55" x14ac:dyDescent="0.3">
      <c r="A30" s="26"/>
      <c r="B30" s="26"/>
      <c r="C30" s="26"/>
      <c r="D30" s="26"/>
      <c r="E30" s="26"/>
      <c r="F30" s="26"/>
      <c r="G30" s="26"/>
      <c r="H30" s="26"/>
      <c r="I30" s="26"/>
      <c r="J30" s="26"/>
      <c r="K30" s="26"/>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row>
    <row r="31" spans="1:55" x14ac:dyDescent="0.3">
      <c r="A31" s="26"/>
      <c r="B31" s="26"/>
      <c r="C31" s="26"/>
      <c r="D31" s="26"/>
      <c r="E31" s="26"/>
      <c r="F31" s="26"/>
      <c r="G31" s="26"/>
      <c r="H31" s="26"/>
      <c r="I31" s="26"/>
      <c r="J31" s="26"/>
      <c r="K31" s="26"/>
      <c r="L31" s="26"/>
      <c r="M31" s="26"/>
      <c r="N31" s="26"/>
      <c r="O31" s="26"/>
      <c r="P31" s="26"/>
      <c r="Q31" s="26"/>
      <c r="R31" s="26"/>
      <c r="S31" s="26"/>
      <c r="T31" s="26"/>
      <c r="U31" s="26"/>
      <c r="V31" s="26"/>
      <c r="W31" s="26"/>
      <c r="X31" s="26"/>
      <c r="Y31" s="26"/>
      <c r="Z31" s="26"/>
      <c r="AA31" s="26"/>
      <c r="AB31" s="26"/>
      <c r="AC31" s="26"/>
      <c r="AD31" s="26"/>
      <c r="AE31" s="26"/>
      <c r="AF31" s="26"/>
      <c r="AG31" s="26"/>
      <c r="AH31" s="26"/>
      <c r="AI31" s="26"/>
      <c r="AJ31" s="26"/>
      <c r="AK31" s="26"/>
      <c r="AL31" s="26"/>
      <c r="AM31" s="26"/>
      <c r="AN31" s="26"/>
      <c r="AO31" s="26"/>
      <c r="AP31" s="26"/>
      <c r="AQ31" s="26"/>
      <c r="AR31" s="26"/>
      <c r="AS31" s="26"/>
      <c r="AT31" s="26"/>
      <c r="AU31" s="26"/>
      <c r="AV31" s="26"/>
      <c r="AW31" s="26"/>
      <c r="AX31" s="26"/>
      <c r="AY31" s="26"/>
      <c r="AZ31" s="26"/>
      <c r="BA31" s="26"/>
      <c r="BB31" s="26"/>
      <c r="BC31" s="26"/>
    </row>
    <row r="32" spans="1:55" x14ac:dyDescent="0.3">
      <c r="A32" s="26"/>
      <c r="B32" s="26"/>
      <c r="C32" s="26"/>
      <c r="D32" s="26"/>
      <c r="E32" s="26"/>
      <c r="F32" s="26"/>
      <c r="G32" s="26"/>
      <c r="H32" s="26"/>
      <c r="I32" s="26"/>
      <c r="J32" s="26"/>
      <c r="K32" s="26"/>
      <c r="L32" s="26"/>
      <c r="M32" s="26"/>
      <c r="N32" s="26"/>
      <c r="O32" s="26"/>
      <c r="P32" s="26"/>
      <c r="Q32" s="26"/>
      <c r="R32" s="26"/>
      <c r="S32" s="26"/>
      <c r="T32" s="26"/>
      <c r="U32" s="26"/>
      <c r="V32" s="26"/>
      <c r="W32" s="26"/>
      <c r="X32" s="26"/>
      <c r="Y32" s="26"/>
      <c r="Z32" s="26"/>
      <c r="AA32" s="26"/>
      <c r="AB32" s="26"/>
      <c r="AC32" s="26"/>
      <c r="AD32" s="26"/>
      <c r="AE32" s="26"/>
      <c r="AF32" s="26"/>
      <c r="AG32" s="26"/>
      <c r="AH32" s="26"/>
      <c r="AI32" s="26"/>
      <c r="AJ32" s="26"/>
      <c r="AK32" s="26"/>
      <c r="AL32" s="26"/>
      <c r="AM32" s="26"/>
      <c r="AN32" s="26"/>
      <c r="AO32" s="26"/>
      <c r="AP32" s="26"/>
      <c r="AQ32" s="26"/>
      <c r="AR32" s="26"/>
      <c r="AS32" s="26"/>
      <c r="AT32" s="26"/>
      <c r="AU32" s="26"/>
      <c r="AV32" s="26"/>
      <c r="AW32" s="26"/>
      <c r="AX32" s="26"/>
      <c r="AY32" s="26"/>
      <c r="AZ32" s="26"/>
      <c r="BA32" s="26"/>
      <c r="BB32" s="26"/>
      <c r="BC32" s="26"/>
    </row>
    <row r="33" spans="1:55" x14ac:dyDescent="0.3">
      <c r="A33" s="26"/>
      <c r="B33" s="26"/>
      <c r="C33" s="26"/>
      <c r="D33" s="26"/>
      <c r="E33" s="26"/>
      <c r="F33" s="26"/>
      <c r="G33" s="26"/>
      <c r="H33" s="26"/>
      <c r="I33" s="26"/>
      <c r="J33" s="26"/>
      <c r="K33" s="26"/>
      <c r="L33" s="26"/>
      <c r="M33" s="26"/>
      <c r="N33" s="26"/>
      <c r="O33" s="26"/>
      <c r="P33" s="26"/>
      <c r="Q33" s="26"/>
      <c r="R33" s="26"/>
      <c r="S33" s="26"/>
      <c r="T33" s="26"/>
      <c r="U33" s="26"/>
      <c r="V33" s="26"/>
      <c r="W33" s="26"/>
      <c r="X33" s="26"/>
      <c r="Y33" s="26"/>
      <c r="Z33" s="26"/>
      <c r="AA33" s="26"/>
      <c r="AB33" s="26"/>
      <c r="AC33" s="26"/>
      <c r="AD33" s="26"/>
      <c r="AE33" s="26"/>
      <c r="AF33" s="26"/>
      <c r="AG33" s="26"/>
      <c r="AH33" s="26"/>
      <c r="AI33" s="26"/>
      <c r="AJ33" s="26"/>
      <c r="AK33" s="26"/>
      <c r="AL33" s="26"/>
      <c r="AM33" s="26"/>
      <c r="AN33" s="26"/>
      <c r="AO33" s="26"/>
      <c r="AP33" s="26"/>
      <c r="AQ33" s="26"/>
      <c r="AR33" s="26"/>
      <c r="AS33" s="26"/>
      <c r="AT33" s="26"/>
      <c r="AU33" s="26"/>
      <c r="AV33" s="26"/>
      <c r="AW33" s="26"/>
      <c r="AX33" s="26"/>
      <c r="AY33" s="26"/>
      <c r="AZ33" s="26"/>
      <c r="BA33" s="26"/>
      <c r="BB33" s="26"/>
      <c r="BC33" s="26"/>
    </row>
    <row r="34" spans="1:55" x14ac:dyDescent="0.3">
      <c r="A34" s="26"/>
      <c r="B34" s="26"/>
      <c r="C34" s="26"/>
      <c r="D34" s="26"/>
      <c r="E34" s="26"/>
      <c r="F34" s="26"/>
      <c r="G34" s="26"/>
      <c r="H34" s="26"/>
      <c r="I34" s="26"/>
      <c r="J34" s="26"/>
      <c r="K34" s="26"/>
      <c r="L34" s="26"/>
      <c r="M34" s="26"/>
      <c r="N34" s="26"/>
      <c r="O34" s="26"/>
      <c r="P34" s="26"/>
      <c r="Q34" s="26"/>
      <c r="R34" s="26"/>
      <c r="S34" s="26"/>
      <c r="T34" s="26"/>
      <c r="U34" s="26"/>
      <c r="V34" s="26"/>
      <c r="W34" s="26"/>
      <c r="X34" s="26"/>
      <c r="Y34" s="26"/>
      <c r="Z34" s="26"/>
      <c r="AA34" s="26"/>
      <c r="AB34" s="26"/>
      <c r="AC34" s="26"/>
      <c r="AD34" s="26"/>
      <c r="AE34" s="26"/>
      <c r="AF34" s="26"/>
      <c r="AG34" s="26"/>
      <c r="AH34" s="26"/>
      <c r="AI34" s="26"/>
      <c r="AJ34" s="26"/>
      <c r="AK34" s="26"/>
      <c r="AL34" s="26"/>
      <c r="AM34" s="26"/>
      <c r="AN34" s="26"/>
      <c r="AO34" s="26"/>
      <c r="AP34" s="26"/>
      <c r="AQ34" s="26"/>
      <c r="AR34" s="26"/>
      <c r="AS34" s="26"/>
      <c r="AT34" s="26"/>
      <c r="AU34" s="26"/>
      <c r="AV34" s="26"/>
      <c r="AW34" s="26"/>
      <c r="AX34" s="26"/>
      <c r="AY34" s="26"/>
      <c r="AZ34" s="26"/>
      <c r="BA34" s="26"/>
      <c r="BB34" s="26"/>
      <c r="BC34" s="26"/>
    </row>
    <row r="35" spans="1:55" x14ac:dyDescent="0.3">
      <c r="A35" s="26"/>
      <c r="B35" s="26"/>
      <c r="C35" s="26"/>
      <c r="D35" s="26"/>
      <c r="E35" s="26"/>
      <c r="F35" s="26"/>
      <c r="G35" s="26"/>
      <c r="H35" s="26"/>
      <c r="I35" s="26"/>
      <c r="J35" s="26"/>
      <c r="K35" s="26"/>
      <c r="L35" s="26"/>
      <c r="M35" s="26"/>
      <c r="N35" s="26"/>
      <c r="O35" s="26"/>
      <c r="P35" s="26"/>
      <c r="Q35" s="26"/>
      <c r="R35" s="26"/>
      <c r="S35" s="26"/>
      <c r="T35" s="26"/>
      <c r="U35" s="26"/>
      <c r="V35" s="26"/>
      <c r="W35" s="26"/>
      <c r="X35" s="26"/>
      <c r="Y35" s="26"/>
      <c r="Z35" s="26"/>
      <c r="AA35" s="26"/>
      <c r="AB35" s="26"/>
      <c r="AC35" s="26"/>
      <c r="AD35" s="26"/>
      <c r="AE35" s="26"/>
      <c r="AF35" s="26"/>
      <c r="AG35" s="26"/>
      <c r="AH35" s="26"/>
      <c r="AI35" s="26"/>
      <c r="AJ35" s="26"/>
      <c r="AK35" s="26"/>
      <c r="AL35" s="26"/>
      <c r="AM35" s="26"/>
      <c r="AN35" s="26"/>
      <c r="AO35" s="26"/>
      <c r="AP35" s="26"/>
      <c r="AQ35" s="26"/>
      <c r="AR35" s="26"/>
      <c r="AS35" s="26"/>
      <c r="AT35" s="26"/>
      <c r="AU35" s="26"/>
      <c r="AV35" s="26"/>
      <c r="AW35" s="26"/>
      <c r="AX35" s="26"/>
      <c r="AY35" s="26"/>
      <c r="AZ35" s="26"/>
      <c r="BA35" s="26"/>
      <c r="BB35" s="26"/>
      <c r="BC35" s="26"/>
    </row>
    <row r="36" spans="1:55" x14ac:dyDescent="0.3">
      <c r="A36" s="26"/>
      <c r="B36" s="26"/>
      <c r="C36" s="26"/>
      <c r="D36" s="26"/>
      <c r="E36" s="26"/>
      <c r="F36" s="26"/>
      <c r="G36" s="26"/>
      <c r="H36" s="26"/>
      <c r="I36" s="26"/>
      <c r="J36" s="26"/>
      <c r="K36" s="26"/>
      <c r="L36" s="26"/>
      <c r="M36" s="26"/>
      <c r="N36" s="26"/>
      <c r="O36" s="26"/>
      <c r="P36" s="26"/>
      <c r="Q36" s="26"/>
      <c r="R36" s="26"/>
      <c r="S36" s="26"/>
      <c r="T36" s="26"/>
      <c r="U36" s="26"/>
      <c r="V36" s="26"/>
      <c r="W36" s="26"/>
      <c r="X36" s="26"/>
      <c r="Y36" s="26"/>
      <c r="Z36" s="26"/>
      <c r="AA36" s="26"/>
      <c r="AB36" s="26"/>
      <c r="AC36" s="26"/>
      <c r="AD36" s="26"/>
      <c r="AE36" s="26"/>
      <c r="AF36" s="26"/>
      <c r="AG36" s="26"/>
      <c r="AH36" s="26"/>
      <c r="AI36" s="26"/>
      <c r="AJ36" s="26"/>
      <c r="AK36" s="26"/>
      <c r="AL36" s="26"/>
      <c r="AM36" s="26"/>
      <c r="AN36" s="26"/>
      <c r="AO36" s="26"/>
      <c r="AP36" s="26"/>
      <c r="AQ36" s="26"/>
      <c r="AR36" s="26"/>
      <c r="AS36" s="26"/>
      <c r="AT36" s="26"/>
      <c r="AU36" s="26"/>
      <c r="AV36" s="26"/>
      <c r="AW36" s="26"/>
      <c r="AX36" s="26"/>
      <c r="AY36" s="26"/>
      <c r="AZ36" s="26"/>
      <c r="BA36" s="26"/>
      <c r="BB36" s="26"/>
      <c r="BC36" s="26"/>
    </row>
    <row r="37" spans="1:55" x14ac:dyDescent="0.3">
      <c r="A37" s="26"/>
      <c r="B37" s="26"/>
      <c r="C37" s="26"/>
      <c r="D37" s="26"/>
      <c r="E37" s="26"/>
      <c r="F37" s="26"/>
      <c r="G37" s="26"/>
      <c r="H37" s="26"/>
      <c r="I37" s="26"/>
      <c r="J37" s="26"/>
      <c r="K37" s="26"/>
      <c r="L37" s="26"/>
      <c r="M37" s="26"/>
      <c r="N37" s="26"/>
      <c r="O37" s="26"/>
      <c r="P37" s="26"/>
      <c r="Q37" s="26"/>
      <c r="R37" s="26"/>
      <c r="S37" s="26"/>
      <c r="T37" s="26"/>
      <c r="U37" s="26"/>
      <c r="V37" s="26"/>
      <c r="W37" s="26"/>
      <c r="X37" s="26"/>
      <c r="Y37" s="26"/>
      <c r="Z37" s="26"/>
      <c r="AA37" s="26"/>
      <c r="AB37" s="26"/>
      <c r="AC37" s="26"/>
      <c r="AD37" s="26"/>
      <c r="AE37" s="26"/>
      <c r="AF37" s="26"/>
      <c r="AG37" s="26"/>
      <c r="AH37" s="26"/>
      <c r="AI37" s="26"/>
      <c r="AJ37" s="26"/>
      <c r="AK37" s="26"/>
      <c r="AL37" s="26"/>
      <c r="AM37" s="26"/>
      <c r="AN37" s="26"/>
      <c r="AO37" s="26"/>
      <c r="AP37" s="26"/>
      <c r="AQ37" s="26"/>
      <c r="AR37" s="26"/>
      <c r="AS37" s="26"/>
      <c r="AT37" s="26"/>
      <c r="AU37" s="26"/>
      <c r="AV37" s="26"/>
      <c r="AW37" s="26"/>
      <c r="AX37" s="26"/>
      <c r="AY37" s="26"/>
      <c r="AZ37" s="26"/>
      <c r="BA37" s="26"/>
      <c r="BB37" s="26"/>
      <c r="BC37" s="26"/>
    </row>
    <row r="38" spans="1:55" x14ac:dyDescent="0.3">
      <c r="A38" s="26"/>
      <c r="B38" s="26"/>
      <c r="C38" s="26"/>
      <c r="D38" s="26"/>
      <c r="E38" s="26"/>
      <c r="F38" s="26"/>
      <c r="G38" s="26"/>
      <c r="H38" s="26"/>
      <c r="I38" s="26"/>
      <c r="J38" s="26"/>
      <c r="K38" s="26"/>
      <c r="L38" s="26"/>
      <c r="M38" s="26"/>
      <c r="N38" s="26"/>
      <c r="O38" s="26"/>
      <c r="P38" s="26"/>
      <c r="Q38" s="26"/>
      <c r="R38" s="26"/>
      <c r="S38" s="26"/>
      <c r="T38" s="26"/>
      <c r="U38" s="26"/>
      <c r="V38" s="26"/>
      <c r="W38" s="26"/>
      <c r="X38" s="26"/>
      <c r="Y38" s="26"/>
      <c r="Z38" s="26"/>
      <c r="AA38" s="26"/>
      <c r="AB38" s="26"/>
      <c r="AC38" s="26"/>
      <c r="AD38" s="26"/>
      <c r="AE38" s="26"/>
      <c r="AF38" s="26"/>
      <c r="AG38" s="26"/>
      <c r="AH38" s="26"/>
      <c r="AI38" s="26"/>
      <c r="AJ38" s="26"/>
      <c r="AK38" s="26"/>
      <c r="AL38" s="26"/>
      <c r="AM38" s="26"/>
      <c r="AN38" s="26"/>
      <c r="AO38" s="26"/>
      <c r="AP38" s="26"/>
      <c r="AQ38" s="26"/>
      <c r="AR38" s="26"/>
      <c r="AS38" s="26"/>
      <c r="AT38" s="26"/>
      <c r="AU38" s="26"/>
      <c r="AV38" s="26"/>
      <c r="AW38" s="26"/>
      <c r="AX38" s="26"/>
      <c r="AY38" s="26"/>
      <c r="AZ38" s="26"/>
      <c r="BA38" s="26"/>
      <c r="BB38" s="26"/>
      <c r="BC38" s="26"/>
    </row>
    <row r="39" spans="1:55" x14ac:dyDescent="0.3">
      <c r="A39" s="26"/>
      <c r="B39" s="26"/>
      <c r="C39" s="26"/>
      <c r="D39" s="26"/>
      <c r="E39" s="26"/>
      <c r="F39" s="26"/>
      <c r="G39" s="26"/>
      <c r="H39" s="26"/>
      <c r="I39" s="26"/>
      <c r="J39" s="26"/>
      <c r="K39" s="26"/>
      <c r="L39" s="26"/>
      <c r="M39" s="26"/>
      <c r="N39" s="26"/>
      <c r="O39" s="26"/>
      <c r="P39" s="26"/>
      <c r="Q39" s="26"/>
      <c r="R39" s="26"/>
      <c r="S39" s="26"/>
      <c r="T39" s="26"/>
      <c r="U39" s="26"/>
      <c r="V39" s="26"/>
      <c r="W39" s="26"/>
      <c r="X39" s="26"/>
      <c r="Y39" s="26"/>
      <c r="Z39" s="26"/>
      <c r="AA39" s="26"/>
      <c r="AB39" s="26"/>
      <c r="AC39" s="26"/>
      <c r="AD39" s="26"/>
      <c r="AE39" s="26"/>
      <c r="AF39" s="26"/>
      <c r="AG39" s="26"/>
      <c r="AH39" s="26"/>
      <c r="AI39" s="26"/>
      <c r="AJ39" s="26"/>
      <c r="AK39" s="26"/>
      <c r="AL39" s="26"/>
      <c r="AM39" s="26"/>
      <c r="AN39" s="26"/>
      <c r="AO39" s="26"/>
      <c r="AP39" s="26"/>
      <c r="AQ39" s="26"/>
      <c r="AR39" s="26"/>
      <c r="AS39" s="26"/>
      <c r="AT39" s="26"/>
      <c r="AU39" s="26"/>
      <c r="AV39" s="26"/>
      <c r="AW39" s="26"/>
      <c r="AX39" s="26"/>
      <c r="AY39" s="26"/>
      <c r="AZ39" s="26"/>
      <c r="BA39" s="26"/>
      <c r="BB39" s="26"/>
      <c r="BC39" s="26"/>
    </row>
    <row r="40" spans="1:55" x14ac:dyDescent="0.3">
      <c r="A40" s="26"/>
      <c r="B40" s="26"/>
      <c r="C40" s="26"/>
      <c r="D40" s="26"/>
      <c r="E40" s="26"/>
      <c r="F40" s="26"/>
      <c r="G40" s="26"/>
      <c r="H40" s="26"/>
      <c r="I40" s="26"/>
      <c r="J40" s="26"/>
      <c r="K40" s="26"/>
      <c r="L40" s="26"/>
      <c r="M40" s="26"/>
      <c r="N40" s="26"/>
      <c r="O40" s="26"/>
      <c r="P40" s="26"/>
      <c r="Q40" s="26"/>
      <c r="R40" s="26"/>
      <c r="S40" s="26"/>
      <c r="T40" s="26"/>
      <c r="U40" s="26"/>
      <c r="V40" s="26"/>
      <c r="W40" s="26"/>
      <c r="X40" s="26"/>
      <c r="Y40" s="26"/>
      <c r="Z40" s="26"/>
      <c r="AA40" s="26"/>
      <c r="AB40" s="26"/>
      <c r="AC40" s="26"/>
      <c r="AD40" s="26"/>
      <c r="AE40" s="26"/>
      <c r="AF40" s="26"/>
      <c r="AG40" s="26"/>
      <c r="AH40" s="26"/>
      <c r="AI40" s="26"/>
      <c r="AJ40" s="26"/>
      <c r="AK40" s="26"/>
      <c r="AL40" s="26"/>
      <c r="AM40" s="26"/>
      <c r="AN40" s="26"/>
      <c r="AO40" s="26"/>
      <c r="AP40" s="26"/>
      <c r="AQ40" s="26"/>
      <c r="AR40" s="26"/>
      <c r="AS40" s="26"/>
      <c r="AT40" s="26"/>
      <c r="AU40" s="26"/>
      <c r="AV40" s="26"/>
      <c r="AW40" s="26"/>
      <c r="AX40" s="26"/>
      <c r="AY40" s="26"/>
      <c r="AZ40" s="26"/>
      <c r="BA40" s="26"/>
      <c r="BB40" s="26"/>
      <c r="BC40" s="26"/>
    </row>
    <row r="41" spans="1:55" x14ac:dyDescent="0.3">
      <c r="A41" s="26"/>
      <c r="B41" s="26"/>
      <c r="C41" s="26"/>
      <c r="D41" s="26"/>
      <c r="E41" s="26"/>
      <c r="F41" s="26"/>
      <c r="G41" s="26"/>
      <c r="H41" s="26"/>
      <c r="I41" s="26"/>
      <c r="J41" s="26"/>
      <c r="K41" s="26"/>
      <c r="L41" s="26"/>
      <c r="M41" s="26"/>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c r="BA41" s="26"/>
      <c r="BB41" s="26"/>
      <c r="BC41" s="26"/>
    </row>
    <row r="42" spans="1:55" x14ac:dyDescent="0.3">
      <c r="A42" s="26"/>
      <c r="B42" s="26"/>
      <c r="C42" s="26"/>
      <c r="D42" s="26"/>
      <c r="E42" s="26"/>
      <c r="F42" s="26"/>
      <c r="G42" s="26"/>
      <c r="H42" s="26"/>
      <c r="I42" s="26"/>
      <c r="J42" s="26"/>
      <c r="K42" s="26"/>
      <c r="L42" s="26"/>
      <c r="M42" s="26"/>
      <c r="N42" s="26"/>
      <c r="O42" s="26"/>
      <c r="P42" s="26"/>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c r="BA42" s="26"/>
      <c r="BB42" s="26"/>
      <c r="BC42" s="26"/>
    </row>
    <row r="43" spans="1:55" x14ac:dyDescent="0.3">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c r="BA43" s="26"/>
      <c r="BB43" s="26"/>
      <c r="BC43" s="26"/>
    </row>
    <row r="44" spans="1:55" x14ac:dyDescent="0.3">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c r="BA44" s="26"/>
      <c r="BB44" s="26"/>
      <c r="BC44" s="26"/>
    </row>
    <row r="45" spans="1:55" x14ac:dyDescent="0.3">
      <c r="A45" s="26"/>
      <c r="B45" s="26"/>
      <c r="C45" s="26"/>
      <c r="D45" s="26"/>
      <c r="E45" s="26"/>
      <c r="F45" s="26"/>
      <c r="G45" s="26"/>
      <c r="H45" s="26"/>
      <c r="I45" s="26"/>
      <c r="J45" s="26"/>
      <c r="K45" s="26"/>
      <c r="L45" s="26"/>
      <c r="M45" s="26"/>
      <c r="N45" s="26"/>
      <c r="O45" s="26"/>
      <c r="P45" s="26"/>
      <c r="Q45" s="26"/>
      <c r="R45" s="26"/>
      <c r="S45" s="26"/>
      <c r="T45" s="26"/>
      <c r="U45" s="26"/>
      <c r="V45" s="26"/>
      <c r="W45" s="26"/>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c r="BA45" s="26"/>
      <c r="BB45" s="26"/>
      <c r="BC45" s="26"/>
    </row>
    <row r="46" spans="1:55" x14ac:dyDescent="0.3">
      <c r="A46" s="26"/>
      <c r="B46" s="26"/>
      <c r="C46" s="26"/>
      <c r="D46" s="26"/>
      <c r="E46" s="26"/>
      <c r="F46" s="26"/>
      <c r="G46" s="26"/>
      <c r="H46" s="26"/>
      <c r="I46" s="26"/>
      <c r="J46" s="26"/>
      <c r="K46" s="26"/>
      <c r="L46" s="26"/>
      <c r="M46" s="26"/>
      <c r="N46" s="26"/>
      <c r="O46" s="26"/>
      <c r="P46" s="26"/>
      <c r="Q46" s="26"/>
      <c r="R46" s="26"/>
      <c r="S46" s="26"/>
      <c r="T46" s="26"/>
      <c r="U46" s="26"/>
      <c r="V46" s="26"/>
      <c r="W46" s="26"/>
      <c r="X46" s="26"/>
      <c r="Y46" s="26"/>
      <c r="Z46" s="26"/>
      <c r="AA46" s="26"/>
      <c r="AB46" s="26"/>
      <c r="AC46" s="26"/>
      <c r="AD46" s="26"/>
      <c r="AE46" s="26"/>
      <c r="AF46" s="26"/>
      <c r="AG46" s="26"/>
      <c r="AH46" s="26"/>
      <c r="AI46" s="26"/>
      <c r="AJ46" s="26"/>
      <c r="AK46" s="26"/>
      <c r="AL46" s="26"/>
      <c r="AM46" s="26"/>
      <c r="AN46" s="26"/>
      <c r="AO46" s="26"/>
      <c r="AP46" s="26"/>
      <c r="AQ46" s="26"/>
      <c r="AR46" s="26"/>
      <c r="AS46" s="26"/>
      <c r="AT46" s="26"/>
      <c r="AU46" s="26"/>
      <c r="AV46" s="26"/>
      <c r="AW46" s="26"/>
      <c r="AX46" s="26"/>
      <c r="AY46" s="26"/>
      <c r="AZ46" s="26"/>
      <c r="BA46" s="26"/>
      <c r="BB46" s="26"/>
      <c r="BC46" s="26"/>
    </row>
    <row r="47" spans="1:55" x14ac:dyDescent="0.3">
      <c r="A47" s="26"/>
      <c r="B47" s="26"/>
      <c r="D47" s="26"/>
      <c r="E47" s="26"/>
      <c r="F47" s="26"/>
      <c r="G47" s="26"/>
      <c r="H47" s="26"/>
      <c r="I47" s="26"/>
      <c r="J47" s="26"/>
      <c r="K47" s="26"/>
      <c r="L47" s="26"/>
      <c r="M47" s="26"/>
      <c r="N47" s="26"/>
      <c r="O47" s="26"/>
      <c r="P47" s="26"/>
      <c r="Q47" s="26"/>
      <c r="R47" s="26"/>
      <c r="S47" s="26"/>
      <c r="T47" s="26"/>
      <c r="U47" s="26"/>
      <c r="V47" s="26"/>
      <c r="W47" s="26"/>
      <c r="X47" s="26"/>
      <c r="Y47" s="26"/>
      <c r="Z47" s="26"/>
      <c r="AA47" s="26"/>
      <c r="AB47" s="26"/>
      <c r="AC47" s="26"/>
      <c r="AD47" s="26"/>
      <c r="AE47" s="26"/>
      <c r="AF47" s="26"/>
      <c r="AG47" s="26"/>
      <c r="AH47" s="26"/>
      <c r="AI47" s="26"/>
      <c r="AJ47" s="26"/>
      <c r="AK47" s="26"/>
      <c r="AL47" s="26"/>
      <c r="AM47" s="26"/>
      <c r="AN47" s="26"/>
      <c r="AO47" s="26"/>
      <c r="AP47" s="26"/>
      <c r="AQ47" s="26"/>
      <c r="AR47" s="26"/>
      <c r="AS47" s="26"/>
      <c r="AT47" s="26"/>
      <c r="AU47" s="26"/>
      <c r="AV47" s="26"/>
      <c r="AW47" s="26"/>
      <c r="AX47" s="26"/>
      <c r="AY47" s="26"/>
      <c r="AZ47" s="26"/>
      <c r="BA47" s="26"/>
      <c r="BB47" s="26"/>
      <c r="BC47" s="26"/>
    </row>
    <row r="48" spans="1:55" x14ac:dyDescent="0.3">
      <c r="A48" s="26"/>
      <c r="B48" s="26"/>
      <c r="C48" s="26"/>
      <c r="D48" s="26"/>
      <c r="E48" s="26"/>
      <c r="F48" s="26"/>
      <c r="G48" s="26"/>
      <c r="H48" s="26"/>
      <c r="I48" s="26"/>
      <c r="J48" s="26"/>
      <c r="K48" s="26"/>
      <c r="L48" s="26"/>
      <c r="M48" s="26"/>
      <c r="N48" s="26"/>
      <c r="O48" s="26"/>
      <c r="P48" s="26"/>
      <c r="Q48" s="26"/>
      <c r="R48" s="26"/>
      <c r="S48" s="26"/>
      <c r="T48" s="26"/>
      <c r="U48" s="26"/>
      <c r="V48" s="26"/>
      <c r="W48" s="26"/>
      <c r="X48" s="26"/>
      <c r="Y48" s="26"/>
      <c r="Z48" s="26"/>
      <c r="AA48" s="26"/>
      <c r="AB48" s="26"/>
      <c r="AC48" s="26"/>
      <c r="AD48" s="26"/>
      <c r="AE48" s="26"/>
      <c r="AF48" s="26"/>
      <c r="AG48" s="26"/>
      <c r="AH48" s="26"/>
      <c r="AI48" s="26"/>
      <c r="AJ48" s="26"/>
      <c r="AK48" s="26"/>
      <c r="AL48" s="26"/>
      <c r="AM48" s="26"/>
      <c r="AN48" s="26"/>
      <c r="AO48" s="26"/>
      <c r="AP48" s="26"/>
      <c r="AQ48" s="26"/>
      <c r="AR48" s="26"/>
      <c r="AS48" s="26"/>
      <c r="AT48" s="26"/>
      <c r="AU48" s="26"/>
      <c r="AV48" s="26"/>
      <c r="AW48" s="26"/>
      <c r="AX48" s="26"/>
      <c r="AY48" s="26"/>
      <c r="AZ48" s="26"/>
      <c r="BA48" s="26"/>
      <c r="BB48" s="26"/>
      <c r="BC48" s="26"/>
    </row>
    <row r="49" spans="1:55" x14ac:dyDescent="0.3">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c r="AA49" s="26"/>
      <c r="AB49" s="26"/>
      <c r="AC49" s="26"/>
      <c r="AD49" s="26"/>
      <c r="AE49" s="26"/>
      <c r="AF49" s="26"/>
      <c r="AG49" s="26"/>
      <c r="AH49" s="26"/>
      <c r="AI49" s="26"/>
      <c r="AJ49" s="26"/>
      <c r="AK49" s="26"/>
      <c r="AL49" s="26"/>
      <c r="AM49" s="26"/>
      <c r="AN49" s="26"/>
      <c r="AO49" s="26"/>
      <c r="AP49" s="26"/>
      <c r="AQ49" s="26"/>
      <c r="AR49" s="26"/>
      <c r="AS49" s="26"/>
      <c r="AT49" s="26"/>
      <c r="AU49" s="26"/>
      <c r="AV49" s="26"/>
      <c r="AW49" s="26"/>
      <c r="AX49" s="26"/>
      <c r="AY49" s="26"/>
      <c r="AZ49" s="26"/>
      <c r="BA49" s="26"/>
      <c r="BB49" s="26"/>
      <c r="BC49" s="26"/>
    </row>
    <row r="50" spans="1:55" x14ac:dyDescent="0.3">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c r="AA50" s="26"/>
      <c r="AB50" s="26"/>
      <c r="AC50" s="26"/>
      <c r="AD50" s="26"/>
      <c r="AE50" s="26"/>
      <c r="AF50" s="26"/>
      <c r="AG50" s="26"/>
      <c r="AH50" s="26"/>
      <c r="AI50" s="26"/>
      <c r="AJ50" s="26"/>
      <c r="AK50" s="26"/>
      <c r="AL50" s="26"/>
      <c r="AM50" s="26"/>
      <c r="AN50" s="26"/>
      <c r="AO50" s="26"/>
      <c r="AP50" s="26"/>
      <c r="AQ50" s="26"/>
      <c r="AR50" s="26"/>
      <c r="AS50" s="26"/>
      <c r="AT50" s="26"/>
      <c r="AU50" s="26"/>
      <c r="AV50" s="26"/>
      <c r="AW50" s="26"/>
      <c r="AX50" s="26"/>
      <c r="AY50" s="26"/>
      <c r="AZ50" s="26"/>
      <c r="BA50" s="26"/>
      <c r="BB50" s="26"/>
      <c r="BC50" s="26"/>
    </row>
    <row r="51" spans="1:55" x14ac:dyDescent="0.3">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c r="AA51" s="26"/>
      <c r="AB51" s="26"/>
      <c r="AC51" s="26"/>
      <c r="AD51" s="26"/>
      <c r="AE51" s="26"/>
      <c r="AF51" s="26"/>
      <c r="AG51" s="26"/>
      <c r="AH51" s="26"/>
      <c r="AI51" s="26"/>
      <c r="AJ51" s="26"/>
      <c r="AK51" s="26"/>
      <c r="AL51" s="26"/>
      <c r="AM51" s="26"/>
      <c r="AN51" s="26"/>
      <c r="AO51" s="26"/>
      <c r="AP51" s="26"/>
      <c r="AQ51" s="26"/>
      <c r="AR51" s="26"/>
      <c r="AS51" s="26"/>
      <c r="AT51" s="26"/>
      <c r="AU51" s="26"/>
      <c r="AV51" s="26"/>
      <c r="AW51" s="26"/>
      <c r="AX51" s="26"/>
      <c r="AY51" s="26"/>
      <c r="AZ51" s="26"/>
      <c r="BA51" s="26"/>
      <c r="BB51" s="26"/>
      <c r="BC51" s="26"/>
    </row>
    <row r="52" spans="1:55" x14ac:dyDescent="0.3">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c r="AA52" s="26"/>
      <c r="AB52" s="26"/>
      <c r="AC52" s="26"/>
      <c r="AD52" s="26"/>
      <c r="AE52" s="26"/>
      <c r="AF52" s="26"/>
      <c r="AG52" s="26"/>
      <c r="AH52" s="26"/>
      <c r="AI52" s="26"/>
      <c r="AJ52" s="26"/>
      <c r="AK52" s="26"/>
      <c r="AL52" s="26"/>
      <c r="AM52" s="26"/>
      <c r="AN52" s="26"/>
      <c r="AO52" s="26"/>
      <c r="AP52" s="26"/>
      <c r="AQ52" s="26"/>
      <c r="AR52" s="26"/>
      <c r="AS52" s="26"/>
      <c r="AT52" s="26"/>
      <c r="AU52" s="26"/>
      <c r="AV52" s="26"/>
      <c r="AW52" s="26"/>
      <c r="AX52" s="26"/>
      <c r="AY52" s="26"/>
      <c r="AZ52" s="26"/>
      <c r="BA52" s="26"/>
      <c r="BB52" s="26"/>
      <c r="BC52" s="26"/>
    </row>
    <row r="53" spans="1:55" x14ac:dyDescent="0.3">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c r="AA53" s="26"/>
      <c r="AB53" s="26"/>
      <c r="AC53" s="26"/>
      <c r="AD53" s="26"/>
      <c r="AE53" s="26"/>
      <c r="AF53" s="26"/>
      <c r="AG53" s="26"/>
      <c r="AH53" s="26"/>
      <c r="AI53" s="26"/>
      <c r="AJ53" s="26"/>
      <c r="AK53" s="26"/>
      <c r="AL53" s="26"/>
      <c r="AM53" s="26"/>
      <c r="AN53" s="26"/>
      <c r="AO53" s="26"/>
      <c r="AP53" s="26"/>
      <c r="AQ53" s="26"/>
      <c r="AR53" s="26"/>
      <c r="AS53" s="26"/>
      <c r="AT53" s="26"/>
      <c r="AU53" s="26"/>
      <c r="AV53" s="26"/>
      <c r="AW53" s="26"/>
      <c r="AX53" s="26"/>
      <c r="AY53" s="26"/>
      <c r="AZ53" s="26"/>
      <c r="BA53" s="26"/>
      <c r="BB53" s="26"/>
      <c r="BC53" s="26"/>
    </row>
    <row r="54" spans="1:55" x14ac:dyDescent="0.3">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c r="AA54" s="26"/>
      <c r="AB54" s="26"/>
      <c r="AC54" s="26"/>
      <c r="AD54" s="26"/>
      <c r="AE54" s="26"/>
      <c r="AF54" s="26"/>
      <c r="AG54" s="26"/>
      <c r="AH54" s="26"/>
      <c r="AI54" s="26"/>
      <c r="AJ54" s="26"/>
      <c r="AK54" s="26"/>
      <c r="AL54" s="26"/>
      <c r="AM54" s="26"/>
      <c r="AN54" s="26"/>
      <c r="AO54" s="26"/>
      <c r="AP54" s="26"/>
      <c r="AQ54" s="26"/>
      <c r="AR54" s="26"/>
      <c r="AS54" s="26"/>
      <c r="AT54" s="26"/>
      <c r="AU54" s="26"/>
      <c r="AV54" s="26"/>
      <c r="AW54" s="26"/>
      <c r="AX54" s="26"/>
      <c r="AY54" s="26"/>
      <c r="AZ54" s="26"/>
      <c r="BA54" s="26"/>
      <c r="BB54" s="26"/>
      <c r="BC54" s="26"/>
    </row>
    <row r="55" spans="1:55" x14ac:dyDescent="0.3">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c r="AA55" s="26"/>
      <c r="AB55" s="26"/>
      <c r="AC55" s="26"/>
      <c r="AD55" s="26"/>
      <c r="AE55" s="26"/>
      <c r="AF55" s="26"/>
      <c r="AG55" s="26"/>
      <c r="AH55" s="26"/>
      <c r="AI55" s="26"/>
      <c r="AJ55" s="26"/>
      <c r="AK55" s="26"/>
      <c r="AL55" s="26"/>
      <c r="AM55" s="26"/>
      <c r="AN55" s="26"/>
      <c r="AO55" s="26"/>
      <c r="AP55" s="26"/>
      <c r="AQ55" s="26"/>
      <c r="AR55" s="26"/>
      <c r="AS55" s="26"/>
      <c r="AT55" s="26"/>
      <c r="AU55" s="26"/>
      <c r="AV55" s="26"/>
      <c r="AW55" s="26"/>
      <c r="AX55" s="26"/>
      <c r="AY55" s="26"/>
      <c r="AZ55" s="26"/>
      <c r="BA55" s="26"/>
      <c r="BB55" s="26"/>
      <c r="BC55" s="26"/>
    </row>
    <row r="56" spans="1:55" x14ac:dyDescent="0.3">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c r="AA56" s="26"/>
      <c r="AB56" s="26"/>
      <c r="AC56" s="26"/>
      <c r="AD56" s="26"/>
      <c r="AE56" s="26"/>
      <c r="AF56" s="26"/>
      <c r="AG56" s="26"/>
      <c r="AH56" s="26"/>
      <c r="AI56" s="26"/>
      <c r="AJ56" s="26"/>
      <c r="AK56" s="26"/>
      <c r="AL56" s="26"/>
      <c r="AM56" s="26"/>
      <c r="AN56" s="26"/>
      <c r="AO56" s="26"/>
      <c r="AP56" s="26"/>
      <c r="AQ56" s="26"/>
      <c r="AR56" s="26"/>
      <c r="AS56" s="26"/>
      <c r="AT56" s="26"/>
      <c r="AU56" s="26"/>
      <c r="AV56" s="26"/>
      <c r="AW56" s="26"/>
      <c r="AX56" s="26"/>
      <c r="AY56" s="26"/>
      <c r="AZ56" s="26"/>
      <c r="BA56" s="26"/>
      <c r="BB56" s="26"/>
      <c r="BC56" s="26"/>
    </row>
    <row r="57" spans="1:55" x14ac:dyDescent="0.3">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c r="AA57" s="26"/>
      <c r="AB57" s="26"/>
      <c r="AC57" s="26"/>
      <c r="AD57" s="26"/>
      <c r="AE57" s="26"/>
      <c r="AF57" s="26"/>
      <c r="AG57" s="26"/>
      <c r="AH57" s="26"/>
      <c r="AI57" s="26"/>
      <c r="AJ57" s="26"/>
      <c r="AK57" s="26"/>
      <c r="AL57" s="26"/>
      <c r="AM57" s="26"/>
      <c r="AN57" s="26"/>
      <c r="AO57" s="26"/>
      <c r="AP57" s="26"/>
      <c r="AQ57" s="26"/>
      <c r="AR57" s="26"/>
      <c r="AS57" s="26"/>
      <c r="AT57" s="26"/>
      <c r="AU57" s="26"/>
      <c r="AV57" s="26"/>
      <c r="AW57" s="26"/>
      <c r="AX57" s="26"/>
      <c r="AY57" s="26"/>
      <c r="AZ57" s="26"/>
      <c r="BA57" s="26"/>
      <c r="BB57" s="26"/>
      <c r="BC57" s="26"/>
    </row>
    <row r="58" spans="1:55" x14ac:dyDescent="0.3">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c r="AA58" s="26"/>
      <c r="AB58" s="26"/>
      <c r="AC58" s="26"/>
      <c r="AD58" s="26"/>
      <c r="AE58" s="26"/>
      <c r="AF58" s="26"/>
      <c r="AG58" s="26"/>
      <c r="AH58" s="26"/>
      <c r="AI58" s="26"/>
      <c r="AJ58" s="26"/>
      <c r="AK58" s="26"/>
      <c r="AL58" s="26"/>
      <c r="AM58" s="26"/>
      <c r="AN58" s="26"/>
      <c r="AO58" s="26"/>
      <c r="AP58" s="26"/>
      <c r="AQ58" s="26"/>
      <c r="AR58" s="26"/>
      <c r="AS58" s="26"/>
      <c r="AT58" s="26"/>
      <c r="AU58" s="26"/>
      <c r="AV58" s="26"/>
      <c r="AW58" s="26"/>
      <c r="AX58" s="26"/>
      <c r="AY58" s="26"/>
      <c r="AZ58" s="26"/>
      <c r="BA58" s="26"/>
      <c r="BB58" s="26"/>
      <c r="BC58" s="26"/>
    </row>
    <row r="59" spans="1:55" x14ac:dyDescent="0.3">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c r="AA59" s="26"/>
      <c r="AB59" s="26"/>
      <c r="AC59" s="26"/>
      <c r="AD59" s="26"/>
      <c r="AE59" s="26"/>
      <c r="AF59" s="26"/>
      <c r="AG59" s="26"/>
      <c r="AH59" s="26"/>
      <c r="AI59" s="26"/>
      <c r="AJ59" s="26"/>
      <c r="AK59" s="26"/>
      <c r="AL59" s="26"/>
      <c r="AM59" s="26"/>
      <c r="AN59" s="26"/>
      <c r="AO59" s="26"/>
      <c r="AP59" s="26"/>
      <c r="AQ59" s="26"/>
      <c r="AR59" s="26"/>
      <c r="AS59" s="26"/>
      <c r="AT59" s="26"/>
      <c r="AU59" s="26"/>
      <c r="AV59" s="26"/>
      <c r="AW59" s="26"/>
      <c r="AX59" s="26"/>
      <c r="AY59" s="26"/>
      <c r="AZ59" s="26"/>
      <c r="BA59" s="26"/>
      <c r="BB59" s="26"/>
      <c r="BC59" s="26"/>
    </row>
    <row r="60" spans="1:55" x14ac:dyDescent="0.3">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c r="AA60" s="26"/>
      <c r="AB60" s="26"/>
      <c r="AC60" s="26"/>
      <c r="AD60" s="26"/>
      <c r="AE60" s="26"/>
      <c r="AF60" s="26"/>
      <c r="AG60" s="26"/>
      <c r="AH60" s="26"/>
      <c r="AI60" s="26"/>
      <c r="AJ60" s="26"/>
      <c r="AK60" s="26"/>
      <c r="AL60" s="26"/>
      <c r="AM60" s="26"/>
      <c r="AN60" s="26"/>
      <c r="AO60" s="26"/>
      <c r="AP60" s="26"/>
      <c r="AQ60" s="26"/>
      <c r="AR60" s="26"/>
      <c r="AS60" s="26"/>
      <c r="AT60" s="26"/>
      <c r="AU60" s="26"/>
      <c r="AV60" s="26"/>
      <c r="AW60" s="26"/>
      <c r="AX60" s="26"/>
      <c r="AY60" s="26"/>
      <c r="AZ60" s="26"/>
      <c r="BA60" s="26"/>
      <c r="BB60" s="26"/>
      <c r="BC60" s="26"/>
    </row>
    <row r="61" spans="1:55" x14ac:dyDescent="0.3">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c r="AA61" s="26"/>
      <c r="AB61" s="26"/>
      <c r="AC61" s="26"/>
      <c r="AD61" s="26"/>
      <c r="AE61" s="26"/>
      <c r="AF61" s="26"/>
      <c r="AG61" s="26"/>
      <c r="AH61" s="26"/>
      <c r="AI61" s="26"/>
      <c r="AJ61" s="26"/>
      <c r="AK61" s="26"/>
      <c r="AL61" s="26"/>
      <c r="AM61" s="26"/>
      <c r="AN61" s="26"/>
      <c r="AO61" s="26"/>
      <c r="AP61" s="26"/>
      <c r="AQ61" s="26"/>
      <c r="AR61" s="26"/>
      <c r="AS61" s="26"/>
      <c r="AT61" s="26"/>
      <c r="AU61" s="26"/>
      <c r="AV61" s="26"/>
      <c r="AW61" s="26"/>
      <c r="AX61" s="26"/>
      <c r="AY61" s="26"/>
      <c r="AZ61" s="26"/>
      <c r="BA61" s="26"/>
      <c r="BB61" s="26"/>
      <c r="BC61" s="26"/>
    </row>
    <row r="62" spans="1:55" x14ac:dyDescent="0.3">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c r="AA62" s="26"/>
      <c r="AB62" s="26"/>
      <c r="AC62" s="26"/>
      <c r="AD62" s="26"/>
      <c r="AE62" s="26"/>
      <c r="AF62" s="26"/>
      <c r="AG62" s="26"/>
      <c r="AH62" s="26"/>
      <c r="AI62" s="26"/>
      <c r="AJ62" s="26"/>
      <c r="AK62" s="26"/>
      <c r="AL62" s="26"/>
      <c r="AM62" s="26"/>
      <c r="AN62" s="26"/>
      <c r="AO62" s="26"/>
      <c r="AP62" s="26"/>
      <c r="AQ62" s="26"/>
      <c r="AR62" s="26"/>
      <c r="AS62" s="26"/>
      <c r="AT62" s="26"/>
      <c r="AU62" s="26"/>
      <c r="AV62" s="26"/>
      <c r="AW62" s="26"/>
      <c r="AX62" s="26"/>
      <c r="AY62" s="26"/>
      <c r="AZ62" s="26"/>
      <c r="BA62" s="26"/>
      <c r="BB62" s="26"/>
      <c r="BC62" s="26"/>
    </row>
    <row r="63" spans="1:55" x14ac:dyDescent="0.3">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c r="AA63" s="26"/>
      <c r="AB63" s="26"/>
      <c r="AC63" s="26"/>
      <c r="AD63" s="26"/>
      <c r="AE63" s="26"/>
      <c r="AF63" s="26"/>
      <c r="AG63" s="26"/>
      <c r="AH63" s="26"/>
      <c r="AI63" s="26"/>
      <c r="AJ63" s="26"/>
      <c r="AK63" s="26"/>
      <c r="AL63" s="26"/>
      <c r="AM63" s="26"/>
      <c r="AN63" s="26"/>
      <c r="AO63" s="26"/>
      <c r="AP63" s="26"/>
      <c r="AQ63" s="26"/>
      <c r="AR63" s="26"/>
      <c r="AS63" s="26"/>
      <c r="AT63" s="26"/>
      <c r="AU63" s="26"/>
      <c r="AV63" s="26"/>
      <c r="AW63" s="26"/>
      <c r="AX63" s="26"/>
      <c r="AY63" s="26"/>
      <c r="AZ63" s="26"/>
      <c r="BA63" s="26"/>
      <c r="BB63" s="26"/>
      <c r="BC63" s="26"/>
    </row>
    <row r="64" spans="1:55" x14ac:dyDescent="0.3">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c r="AA64" s="26"/>
      <c r="AB64" s="26"/>
      <c r="AC64" s="26"/>
      <c r="AD64" s="26"/>
      <c r="AE64" s="26"/>
      <c r="AF64" s="26"/>
      <c r="AG64" s="26"/>
      <c r="AH64" s="26"/>
      <c r="AI64" s="26"/>
      <c r="AJ64" s="26"/>
      <c r="AK64" s="26"/>
      <c r="AL64" s="26"/>
      <c r="AM64" s="26"/>
      <c r="AN64" s="26"/>
      <c r="AO64" s="26"/>
      <c r="AP64" s="26"/>
      <c r="AQ64" s="26"/>
      <c r="AR64" s="26"/>
      <c r="AS64" s="26"/>
      <c r="AT64" s="26"/>
      <c r="AU64" s="26"/>
      <c r="AV64" s="26"/>
      <c r="AW64" s="26"/>
      <c r="AX64" s="26"/>
      <c r="AY64" s="26"/>
      <c r="AZ64" s="26"/>
      <c r="BA64" s="26"/>
      <c r="BB64" s="26"/>
      <c r="BC64" s="26"/>
    </row>
    <row r="65" spans="1:55" x14ac:dyDescent="0.3">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c r="AA65" s="26"/>
      <c r="AB65" s="26"/>
      <c r="AC65" s="26"/>
      <c r="AD65" s="26"/>
      <c r="AE65" s="26"/>
      <c r="AF65" s="26"/>
      <c r="AG65" s="26"/>
      <c r="AH65" s="26"/>
      <c r="AI65" s="26"/>
      <c r="AJ65" s="26"/>
      <c r="AK65" s="26"/>
      <c r="AL65" s="26"/>
      <c r="AM65" s="26"/>
      <c r="AN65" s="26"/>
      <c r="AO65" s="26"/>
      <c r="AP65" s="26"/>
      <c r="AQ65" s="26"/>
      <c r="AR65" s="26"/>
      <c r="AS65" s="26"/>
      <c r="AT65" s="26"/>
      <c r="AU65" s="26"/>
      <c r="AV65" s="26"/>
      <c r="AW65" s="26"/>
      <c r="AX65" s="26"/>
      <c r="AY65" s="26"/>
      <c r="AZ65" s="26"/>
      <c r="BA65" s="26"/>
      <c r="BB65" s="26"/>
      <c r="BC65" s="26"/>
    </row>
    <row r="66" spans="1:55" x14ac:dyDescent="0.3">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c r="AA66" s="26"/>
      <c r="AB66" s="26"/>
      <c r="AC66" s="26"/>
      <c r="AD66" s="26"/>
      <c r="AE66" s="26"/>
      <c r="AF66" s="26"/>
      <c r="AG66" s="26"/>
      <c r="AH66" s="26"/>
      <c r="AI66" s="26"/>
      <c r="AJ66" s="26"/>
      <c r="AK66" s="26"/>
      <c r="AL66" s="26"/>
      <c r="AM66" s="26"/>
      <c r="AN66" s="26"/>
      <c r="AO66" s="26"/>
      <c r="AP66" s="26"/>
      <c r="AQ66" s="26"/>
      <c r="AR66" s="26"/>
      <c r="AS66" s="26"/>
      <c r="AT66" s="26"/>
      <c r="AU66" s="26"/>
      <c r="AV66" s="26"/>
      <c r="AW66" s="26"/>
      <c r="AX66" s="26"/>
      <c r="AY66" s="26"/>
      <c r="AZ66" s="26"/>
      <c r="BA66" s="26"/>
      <c r="BB66" s="26"/>
      <c r="BC66" s="26"/>
    </row>
    <row r="67" spans="1:55" x14ac:dyDescent="0.3">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c r="AA67" s="26"/>
      <c r="AB67" s="26"/>
      <c r="AC67" s="26"/>
      <c r="AD67" s="26"/>
      <c r="AE67" s="26"/>
      <c r="AF67" s="26"/>
      <c r="AG67" s="26"/>
      <c r="AH67" s="26"/>
      <c r="AI67" s="26"/>
      <c r="AJ67" s="26"/>
      <c r="AK67" s="26"/>
      <c r="AL67" s="26"/>
      <c r="AM67" s="26"/>
      <c r="AN67" s="26"/>
      <c r="AO67" s="26"/>
      <c r="AP67" s="26"/>
      <c r="AQ67" s="26"/>
      <c r="AR67" s="26"/>
      <c r="AS67" s="26"/>
      <c r="AT67" s="26"/>
      <c r="AU67" s="26"/>
      <c r="AV67" s="26"/>
      <c r="AW67" s="26"/>
      <c r="AX67" s="26"/>
      <c r="AY67" s="26"/>
      <c r="AZ67" s="26"/>
      <c r="BA67" s="26"/>
      <c r="BB67" s="26"/>
      <c r="BC67" s="26"/>
    </row>
    <row r="68" spans="1:55" x14ac:dyDescent="0.3">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c r="AA68" s="26"/>
      <c r="AB68" s="26"/>
      <c r="AC68" s="26"/>
      <c r="AD68" s="26"/>
      <c r="AE68" s="26"/>
      <c r="AF68" s="26"/>
      <c r="AG68" s="26"/>
      <c r="AH68" s="26"/>
      <c r="AI68" s="26"/>
      <c r="AJ68" s="26"/>
      <c r="AK68" s="26"/>
      <c r="AL68" s="26"/>
      <c r="AM68" s="26"/>
      <c r="AN68" s="26"/>
      <c r="AO68" s="26"/>
      <c r="AP68" s="26"/>
      <c r="AQ68" s="26"/>
      <c r="AR68" s="26"/>
      <c r="AS68" s="26"/>
      <c r="AT68" s="26"/>
      <c r="AU68" s="26"/>
      <c r="AV68" s="26"/>
      <c r="AW68" s="26"/>
      <c r="AX68" s="26"/>
      <c r="AY68" s="26"/>
      <c r="AZ68" s="26"/>
      <c r="BA68" s="26"/>
      <c r="BB68" s="26"/>
      <c r="BC68" s="26"/>
    </row>
    <row r="69" spans="1:55" x14ac:dyDescent="0.3">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c r="AA69" s="26"/>
      <c r="AB69" s="26"/>
      <c r="AC69" s="26"/>
      <c r="AD69" s="26"/>
      <c r="AE69" s="26"/>
      <c r="AF69" s="26"/>
      <c r="AG69" s="26"/>
      <c r="AH69" s="26"/>
      <c r="AI69" s="26"/>
      <c r="AJ69" s="26"/>
      <c r="AK69" s="26"/>
      <c r="AL69" s="26"/>
      <c r="AM69" s="26"/>
      <c r="AN69" s="26"/>
      <c r="AO69" s="26"/>
      <c r="AP69" s="26"/>
      <c r="AQ69" s="26"/>
      <c r="AR69" s="26"/>
      <c r="AS69" s="26"/>
      <c r="AT69" s="26"/>
      <c r="AU69" s="26"/>
      <c r="AV69" s="26"/>
      <c r="AW69" s="26"/>
      <c r="AX69" s="26"/>
      <c r="AY69" s="26"/>
      <c r="AZ69" s="26"/>
      <c r="BA69" s="26"/>
      <c r="BB69" s="26"/>
      <c r="BC69" s="26"/>
    </row>
    <row r="70" spans="1:55" x14ac:dyDescent="0.3">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c r="AA70" s="26"/>
      <c r="AB70" s="26"/>
      <c r="AC70" s="26"/>
      <c r="AD70" s="26"/>
      <c r="AE70" s="26"/>
      <c r="AF70" s="26"/>
      <c r="AG70" s="26"/>
      <c r="AH70" s="26"/>
      <c r="AI70" s="26"/>
      <c r="AJ70" s="26"/>
      <c r="AK70" s="26"/>
      <c r="AL70" s="26"/>
      <c r="AM70" s="26"/>
      <c r="AN70" s="26"/>
      <c r="AO70" s="26"/>
      <c r="AP70" s="26"/>
      <c r="AQ70" s="26"/>
      <c r="AR70" s="26"/>
      <c r="AS70" s="26"/>
      <c r="AT70" s="26"/>
      <c r="AU70" s="26"/>
      <c r="AV70" s="26"/>
      <c r="AW70" s="26"/>
      <c r="AX70" s="26"/>
      <c r="AY70" s="26"/>
      <c r="AZ70" s="26"/>
      <c r="BA70" s="26"/>
      <c r="BB70" s="26"/>
      <c r="BC70" s="26"/>
    </row>
    <row r="71" spans="1:55" x14ac:dyDescent="0.3">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c r="AA71" s="26"/>
      <c r="AB71" s="26"/>
      <c r="AC71" s="26"/>
      <c r="AD71" s="26"/>
      <c r="AE71" s="26"/>
      <c r="AF71" s="26"/>
      <c r="AG71" s="26"/>
      <c r="AH71" s="26"/>
      <c r="AI71" s="26"/>
      <c r="AJ71" s="26"/>
      <c r="AK71" s="26"/>
      <c r="AL71" s="26"/>
      <c r="AM71" s="26"/>
      <c r="AN71" s="26"/>
      <c r="AO71" s="26"/>
      <c r="AP71" s="26"/>
      <c r="AQ71" s="26"/>
      <c r="AR71" s="26"/>
      <c r="AS71" s="26"/>
      <c r="AT71" s="26"/>
      <c r="AU71" s="26"/>
      <c r="AV71" s="26"/>
      <c r="AW71" s="26"/>
      <c r="AX71" s="26"/>
      <c r="AY71" s="26"/>
      <c r="AZ71" s="26"/>
      <c r="BA71" s="26"/>
      <c r="BB71" s="26"/>
      <c r="BC71" s="26"/>
    </row>
    <row r="72" spans="1:55" x14ac:dyDescent="0.3">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c r="AA72" s="26"/>
      <c r="AB72" s="26"/>
      <c r="AC72" s="26"/>
      <c r="AD72" s="26"/>
      <c r="AE72" s="26"/>
      <c r="AF72" s="26"/>
      <c r="AG72" s="26"/>
      <c r="AH72" s="26"/>
      <c r="AI72" s="26"/>
      <c r="AJ72" s="26"/>
      <c r="AK72" s="26"/>
      <c r="AL72" s="26"/>
      <c r="AM72" s="26"/>
      <c r="AN72" s="26"/>
      <c r="AO72" s="26"/>
      <c r="AP72" s="26"/>
      <c r="AQ72" s="26"/>
      <c r="AR72" s="26"/>
      <c r="AS72" s="26"/>
      <c r="AT72" s="26"/>
      <c r="AU72" s="26"/>
      <c r="AV72" s="26"/>
      <c r="AW72" s="26"/>
      <c r="AX72" s="26"/>
      <c r="AY72" s="26"/>
      <c r="AZ72" s="26"/>
      <c r="BA72" s="26"/>
      <c r="BB72" s="26"/>
      <c r="BC72" s="26"/>
    </row>
    <row r="73" spans="1:55" x14ac:dyDescent="0.3">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c r="AA73" s="26"/>
      <c r="AB73" s="26"/>
      <c r="AC73" s="26"/>
      <c r="AD73" s="26"/>
      <c r="AE73" s="26"/>
      <c r="AF73" s="26"/>
      <c r="AG73" s="26"/>
      <c r="AH73" s="26"/>
      <c r="AI73" s="26"/>
      <c r="AJ73" s="26"/>
      <c r="AK73" s="26"/>
      <c r="AL73" s="26"/>
      <c r="AM73" s="26"/>
      <c r="AN73" s="26"/>
      <c r="AO73" s="26"/>
      <c r="AP73" s="26"/>
      <c r="AQ73" s="26"/>
      <c r="AR73" s="26"/>
      <c r="AS73" s="26"/>
      <c r="AT73" s="26"/>
      <c r="AU73" s="26"/>
      <c r="AV73" s="26"/>
      <c r="AW73" s="26"/>
      <c r="AX73" s="26"/>
      <c r="AY73" s="26"/>
      <c r="AZ73" s="26"/>
      <c r="BA73" s="26"/>
      <c r="BB73" s="26"/>
      <c r="BC73" s="26"/>
    </row>
    <row r="74" spans="1:55" x14ac:dyDescent="0.3">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c r="AA74" s="26"/>
      <c r="AB74" s="26"/>
      <c r="AC74" s="26"/>
      <c r="AD74" s="26"/>
      <c r="AE74" s="26"/>
      <c r="AF74" s="26"/>
      <c r="AG74" s="26"/>
      <c r="AH74" s="26"/>
      <c r="AI74" s="26"/>
      <c r="AJ74" s="26"/>
      <c r="AK74" s="26"/>
      <c r="AL74" s="26"/>
      <c r="AM74" s="26"/>
      <c r="AN74" s="26"/>
      <c r="AO74" s="26"/>
      <c r="AP74" s="26"/>
      <c r="AQ74" s="26"/>
      <c r="AR74" s="26"/>
      <c r="AS74" s="26"/>
      <c r="AT74" s="26"/>
      <c r="AU74" s="26"/>
      <c r="AV74" s="26"/>
      <c r="AW74" s="26"/>
      <c r="AX74" s="26"/>
      <c r="AY74" s="26"/>
      <c r="AZ74" s="26"/>
      <c r="BA74" s="26"/>
      <c r="BB74" s="26"/>
      <c r="BC74" s="26"/>
    </row>
    <row r="75" spans="1:55" x14ac:dyDescent="0.3">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c r="AA75" s="26"/>
      <c r="AB75" s="26"/>
      <c r="AC75" s="26"/>
      <c r="AD75" s="26"/>
      <c r="AE75" s="26"/>
      <c r="AF75" s="26"/>
      <c r="AG75" s="26"/>
      <c r="AH75" s="26"/>
      <c r="AI75" s="26"/>
      <c r="AJ75" s="26"/>
      <c r="AK75" s="26"/>
      <c r="AL75" s="26"/>
      <c r="AM75" s="26"/>
      <c r="AN75" s="26"/>
      <c r="AO75" s="26"/>
      <c r="AP75" s="26"/>
      <c r="AQ75" s="26"/>
      <c r="AR75" s="26"/>
      <c r="AS75" s="26"/>
      <c r="AT75" s="26"/>
      <c r="AU75" s="26"/>
      <c r="AV75" s="26"/>
      <c r="AW75" s="26"/>
      <c r="AX75" s="26"/>
      <c r="AY75" s="26"/>
      <c r="AZ75" s="26"/>
      <c r="BA75" s="26"/>
      <c r="BB75" s="26"/>
      <c r="BC75" s="26"/>
    </row>
    <row r="76" spans="1:55" x14ac:dyDescent="0.3">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c r="AA76" s="26"/>
      <c r="AB76" s="26"/>
      <c r="AC76" s="26"/>
      <c r="AD76" s="26"/>
      <c r="AE76" s="26"/>
      <c r="AF76" s="26"/>
      <c r="AG76" s="26"/>
      <c r="AH76" s="26"/>
      <c r="AI76" s="26"/>
      <c r="AJ76" s="26"/>
      <c r="AK76" s="26"/>
      <c r="AL76" s="26"/>
      <c r="AM76" s="26"/>
      <c r="AN76" s="26"/>
      <c r="AO76" s="26"/>
      <c r="AP76" s="26"/>
      <c r="AQ76" s="26"/>
      <c r="AR76" s="26"/>
      <c r="AS76" s="26"/>
      <c r="AT76" s="26"/>
      <c r="AU76" s="26"/>
      <c r="AV76" s="26"/>
      <c r="AW76" s="26"/>
      <c r="AX76" s="26"/>
      <c r="AY76" s="26"/>
      <c r="AZ76" s="26"/>
      <c r="BA76" s="26"/>
      <c r="BB76" s="26"/>
      <c r="BC76" s="26"/>
    </row>
    <row r="77" spans="1:55" x14ac:dyDescent="0.3">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c r="AA77" s="26"/>
      <c r="AB77" s="26"/>
      <c r="AC77" s="26"/>
      <c r="AD77" s="26"/>
      <c r="AE77" s="26"/>
      <c r="AF77" s="26"/>
      <c r="AG77" s="26"/>
      <c r="AH77" s="26"/>
      <c r="AI77" s="26"/>
      <c r="AJ77" s="26"/>
      <c r="AK77" s="26"/>
      <c r="AL77" s="26"/>
      <c r="AM77" s="26"/>
      <c r="AN77" s="26"/>
      <c r="AO77" s="26"/>
      <c r="AP77" s="26"/>
      <c r="AQ77" s="26"/>
      <c r="AR77" s="26"/>
      <c r="AS77" s="26"/>
      <c r="AT77" s="26"/>
      <c r="AU77" s="26"/>
      <c r="AV77" s="26"/>
      <c r="AW77" s="26"/>
      <c r="AX77" s="26"/>
      <c r="AY77" s="26"/>
      <c r="AZ77" s="26"/>
      <c r="BA77" s="26"/>
      <c r="BB77" s="26"/>
      <c r="BC77" s="26"/>
    </row>
    <row r="78" spans="1:55" x14ac:dyDescent="0.3">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c r="AA78" s="26"/>
      <c r="AB78" s="26"/>
      <c r="AC78" s="26"/>
      <c r="AD78" s="26"/>
      <c r="AE78" s="26"/>
      <c r="AF78" s="26"/>
      <c r="AG78" s="26"/>
      <c r="AH78" s="26"/>
      <c r="AI78" s="26"/>
      <c r="AJ78" s="26"/>
      <c r="AK78" s="26"/>
      <c r="AL78" s="26"/>
      <c r="AM78" s="26"/>
      <c r="AN78" s="26"/>
      <c r="AO78" s="26"/>
      <c r="AP78" s="26"/>
      <c r="AQ78" s="26"/>
      <c r="AR78" s="26"/>
      <c r="AS78" s="26"/>
      <c r="AT78" s="26"/>
      <c r="AU78" s="26"/>
      <c r="AV78" s="26"/>
      <c r="AW78" s="26"/>
      <c r="AX78" s="26"/>
      <c r="AY78" s="26"/>
      <c r="AZ78" s="26"/>
      <c r="BA78" s="26"/>
      <c r="BB78" s="26"/>
      <c r="BC78" s="26"/>
    </row>
    <row r="79" spans="1:55" x14ac:dyDescent="0.3">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c r="AA79" s="26"/>
      <c r="AB79" s="26"/>
      <c r="AC79" s="26"/>
      <c r="AD79" s="26"/>
      <c r="AE79" s="26"/>
      <c r="AF79" s="26"/>
      <c r="AG79" s="26"/>
      <c r="AH79" s="26"/>
      <c r="AI79" s="26"/>
      <c r="AJ79" s="26"/>
      <c r="AK79" s="26"/>
      <c r="AL79" s="26"/>
      <c r="AM79" s="26"/>
      <c r="AN79" s="26"/>
      <c r="AO79" s="26"/>
      <c r="AP79" s="26"/>
      <c r="AQ79" s="26"/>
      <c r="AR79" s="26"/>
      <c r="AS79" s="26"/>
      <c r="AT79" s="26"/>
      <c r="AU79" s="26"/>
      <c r="AV79" s="26"/>
      <c r="AW79" s="26"/>
      <c r="AX79" s="26"/>
      <c r="AY79" s="26"/>
      <c r="AZ79" s="26"/>
      <c r="BA79" s="26"/>
      <c r="BB79" s="26"/>
      <c r="BC79" s="26"/>
    </row>
    <row r="80" spans="1:55" x14ac:dyDescent="0.3">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c r="AA80" s="26"/>
      <c r="AB80" s="26"/>
      <c r="AC80" s="26"/>
      <c r="AD80" s="26"/>
      <c r="AE80" s="26"/>
      <c r="AF80" s="26"/>
      <c r="AG80" s="26"/>
      <c r="AH80" s="26"/>
      <c r="AI80" s="26"/>
      <c r="AJ80" s="26"/>
      <c r="AK80" s="26"/>
      <c r="AL80" s="26"/>
      <c r="AM80" s="26"/>
      <c r="AN80" s="26"/>
      <c r="AO80" s="26"/>
      <c r="AP80" s="26"/>
      <c r="AQ80" s="26"/>
      <c r="AR80" s="26"/>
      <c r="AS80" s="26"/>
      <c r="AT80" s="26"/>
      <c r="AU80" s="26"/>
      <c r="AV80" s="26"/>
      <c r="AW80" s="26"/>
      <c r="AX80" s="26"/>
      <c r="AY80" s="26"/>
      <c r="AZ80" s="26"/>
      <c r="BA80" s="26"/>
      <c r="BB80" s="26"/>
      <c r="BC80" s="26"/>
    </row>
    <row r="81" spans="1:55" x14ac:dyDescent="0.3">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c r="AA81" s="26"/>
      <c r="AB81" s="26"/>
      <c r="AC81" s="26"/>
      <c r="AD81" s="26"/>
      <c r="AE81" s="26"/>
      <c r="AF81" s="26"/>
      <c r="AG81" s="26"/>
      <c r="AH81" s="26"/>
      <c r="AI81" s="26"/>
      <c r="AJ81" s="26"/>
      <c r="AK81" s="26"/>
      <c r="AL81" s="26"/>
      <c r="AM81" s="26"/>
      <c r="AN81" s="26"/>
      <c r="AO81" s="26"/>
      <c r="AP81" s="26"/>
      <c r="AQ81" s="26"/>
      <c r="AR81" s="26"/>
      <c r="AS81" s="26"/>
      <c r="AT81" s="26"/>
      <c r="AU81" s="26"/>
      <c r="AV81" s="26"/>
      <c r="AW81" s="26"/>
      <c r="AX81" s="26"/>
      <c r="AY81" s="26"/>
      <c r="AZ81" s="26"/>
      <c r="BA81" s="26"/>
      <c r="BB81" s="26"/>
      <c r="BC81" s="26"/>
    </row>
    <row r="82" spans="1:55" x14ac:dyDescent="0.3">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c r="AA82" s="26"/>
      <c r="AB82" s="26"/>
      <c r="AC82" s="26"/>
      <c r="AD82" s="26"/>
      <c r="AE82" s="26"/>
      <c r="AF82" s="26"/>
      <c r="AG82" s="26"/>
      <c r="AH82" s="26"/>
      <c r="AI82" s="26"/>
      <c r="AJ82" s="26"/>
      <c r="AK82" s="26"/>
      <c r="AL82" s="26"/>
      <c r="AM82" s="26"/>
      <c r="AN82" s="26"/>
      <c r="AO82" s="26"/>
      <c r="AP82" s="26"/>
      <c r="AQ82" s="26"/>
      <c r="AR82" s="26"/>
      <c r="AS82" s="26"/>
      <c r="AT82" s="26"/>
      <c r="AU82" s="26"/>
      <c r="AV82" s="26"/>
      <c r="AW82" s="26"/>
      <c r="AX82" s="26"/>
      <c r="AY82" s="26"/>
      <c r="AZ82" s="26"/>
      <c r="BA82" s="26"/>
      <c r="BB82" s="26"/>
      <c r="BC82" s="26"/>
    </row>
    <row r="83" spans="1:55" x14ac:dyDescent="0.3">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c r="AA83" s="26"/>
      <c r="AB83" s="26"/>
      <c r="AC83" s="26"/>
      <c r="AD83" s="26"/>
      <c r="AE83" s="26"/>
      <c r="AF83" s="26"/>
      <c r="AG83" s="26"/>
      <c r="AH83" s="26"/>
      <c r="AI83" s="26"/>
      <c r="AJ83" s="26"/>
      <c r="AK83" s="26"/>
      <c r="AL83" s="26"/>
      <c r="AM83" s="26"/>
      <c r="AN83" s="26"/>
      <c r="AO83" s="26"/>
      <c r="AP83" s="26"/>
      <c r="AQ83" s="26"/>
      <c r="AR83" s="26"/>
      <c r="AS83" s="26"/>
      <c r="AT83" s="26"/>
      <c r="AU83" s="26"/>
      <c r="AV83" s="26"/>
      <c r="AW83" s="26"/>
      <c r="AX83" s="26"/>
      <c r="AY83" s="26"/>
      <c r="AZ83" s="26"/>
      <c r="BA83" s="26"/>
      <c r="BB83" s="26"/>
      <c r="BC83" s="26"/>
    </row>
    <row r="84" spans="1:55" x14ac:dyDescent="0.3">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c r="AA84" s="26"/>
      <c r="AB84" s="26"/>
      <c r="AC84" s="26"/>
      <c r="AD84" s="26"/>
      <c r="AE84" s="26"/>
      <c r="AF84" s="26"/>
      <c r="AG84" s="26"/>
      <c r="AH84" s="26"/>
      <c r="AI84" s="26"/>
      <c r="AJ84" s="26"/>
      <c r="AK84" s="26"/>
      <c r="AL84" s="26"/>
      <c r="AM84" s="26"/>
      <c r="AN84" s="26"/>
      <c r="AO84" s="26"/>
      <c r="AP84" s="26"/>
      <c r="AQ84" s="26"/>
      <c r="AR84" s="26"/>
      <c r="AS84" s="26"/>
      <c r="AT84" s="26"/>
      <c r="AU84" s="26"/>
      <c r="AV84" s="26"/>
      <c r="AW84" s="26"/>
      <c r="AX84" s="26"/>
      <c r="AY84" s="26"/>
      <c r="AZ84" s="26"/>
      <c r="BA84" s="26"/>
      <c r="BB84" s="26"/>
      <c r="BC84" s="26"/>
    </row>
    <row r="85" spans="1:55" x14ac:dyDescent="0.3">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c r="AA85" s="26"/>
      <c r="AB85" s="26"/>
      <c r="AC85" s="26"/>
      <c r="AD85" s="26"/>
      <c r="AE85" s="26"/>
      <c r="AF85" s="26"/>
      <c r="AG85" s="26"/>
      <c r="AH85" s="26"/>
      <c r="AI85" s="26"/>
      <c r="AJ85" s="26"/>
      <c r="AK85" s="26"/>
      <c r="AL85" s="26"/>
      <c r="AM85" s="26"/>
      <c r="AN85" s="26"/>
      <c r="AO85" s="26"/>
      <c r="AP85" s="26"/>
      <c r="AQ85" s="26"/>
      <c r="AR85" s="26"/>
      <c r="AS85" s="26"/>
      <c r="AT85" s="26"/>
      <c r="AU85" s="26"/>
      <c r="AV85" s="26"/>
      <c r="AW85" s="26"/>
      <c r="AX85" s="26"/>
      <c r="AY85" s="26"/>
      <c r="AZ85" s="26"/>
      <c r="BA85" s="26"/>
      <c r="BB85" s="26"/>
      <c r="BC85" s="26"/>
    </row>
    <row r="86" spans="1:55" x14ac:dyDescent="0.3">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c r="AA86" s="26"/>
      <c r="AB86" s="26"/>
      <c r="AC86" s="26"/>
      <c r="AD86" s="26"/>
      <c r="AE86" s="26"/>
      <c r="AF86" s="26"/>
      <c r="AG86" s="26"/>
      <c r="AH86" s="26"/>
      <c r="AI86" s="26"/>
      <c r="AJ86" s="26"/>
      <c r="AK86" s="26"/>
      <c r="AL86" s="26"/>
      <c r="AM86" s="26"/>
      <c r="AN86" s="26"/>
      <c r="AO86" s="26"/>
      <c r="AP86" s="26"/>
      <c r="AQ86" s="26"/>
      <c r="AR86" s="26"/>
      <c r="AS86" s="26"/>
      <c r="AT86" s="26"/>
      <c r="AU86" s="26"/>
      <c r="AV86" s="26"/>
      <c r="AW86" s="26"/>
      <c r="AX86" s="26"/>
      <c r="AY86" s="26"/>
      <c r="AZ86" s="26"/>
      <c r="BA86" s="26"/>
      <c r="BB86" s="26"/>
      <c r="BC86" s="26"/>
    </row>
    <row r="87" spans="1:55" x14ac:dyDescent="0.3">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c r="AA87" s="26"/>
      <c r="AB87" s="26"/>
      <c r="AC87" s="26"/>
      <c r="AD87" s="26"/>
      <c r="AE87" s="26"/>
      <c r="AF87" s="26"/>
      <c r="AG87" s="26"/>
      <c r="AH87" s="26"/>
      <c r="AI87" s="26"/>
      <c r="AJ87" s="26"/>
      <c r="AK87" s="26"/>
      <c r="AL87" s="26"/>
      <c r="AM87" s="26"/>
      <c r="AN87" s="26"/>
      <c r="AO87" s="26"/>
      <c r="AP87" s="26"/>
      <c r="AQ87" s="26"/>
      <c r="AR87" s="26"/>
      <c r="AS87" s="26"/>
      <c r="AT87" s="26"/>
      <c r="AU87" s="26"/>
      <c r="AV87" s="26"/>
      <c r="AW87" s="26"/>
      <c r="AX87" s="26"/>
      <c r="AY87" s="26"/>
      <c r="AZ87" s="26"/>
      <c r="BA87" s="26"/>
      <c r="BB87" s="26"/>
      <c r="BC87" s="26"/>
    </row>
    <row r="88" spans="1:55" x14ac:dyDescent="0.3">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c r="AA88" s="26"/>
      <c r="AB88" s="26"/>
      <c r="AC88" s="26"/>
      <c r="AD88" s="26"/>
      <c r="AE88" s="26"/>
      <c r="AF88" s="26"/>
      <c r="AG88" s="26"/>
      <c r="AH88" s="26"/>
      <c r="AI88" s="26"/>
      <c r="AJ88" s="26"/>
      <c r="AK88" s="26"/>
      <c r="AL88" s="26"/>
      <c r="AM88" s="26"/>
      <c r="AN88" s="26"/>
      <c r="AO88" s="26"/>
      <c r="AP88" s="26"/>
      <c r="AQ88" s="26"/>
      <c r="AR88" s="26"/>
      <c r="AS88" s="26"/>
      <c r="AT88" s="26"/>
      <c r="AU88" s="26"/>
      <c r="AV88" s="26"/>
      <c r="AW88" s="26"/>
      <c r="AX88" s="26"/>
      <c r="AY88" s="26"/>
      <c r="AZ88" s="26"/>
      <c r="BA88" s="26"/>
      <c r="BB88" s="26"/>
      <c r="BC88" s="26"/>
    </row>
    <row r="89" spans="1:55" x14ac:dyDescent="0.3">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c r="AA89" s="26"/>
      <c r="AB89" s="26"/>
      <c r="AC89" s="26"/>
      <c r="AD89" s="26"/>
      <c r="AE89" s="26"/>
      <c r="AF89" s="26"/>
      <c r="AG89" s="26"/>
      <c r="AH89" s="26"/>
      <c r="AI89" s="26"/>
      <c r="AJ89" s="26"/>
      <c r="AK89" s="26"/>
      <c r="AL89" s="26"/>
      <c r="AM89" s="26"/>
      <c r="AN89" s="26"/>
      <c r="AO89" s="26"/>
      <c r="AP89" s="26"/>
      <c r="AQ89" s="26"/>
      <c r="AR89" s="26"/>
      <c r="AS89" s="26"/>
      <c r="AT89" s="26"/>
      <c r="AU89" s="26"/>
      <c r="AV89" s="26"/>
      <c r="AW89" s="26"/>
      <c r="AX89" s="26"/>
      <c r="AY89" s="26"/>
      <c r="AZ89" s="26"/>
      <c r="BA89" s="26"/>
      <c r="BB89" s="26"/>
      <c r="BC89" s="26"/>
    </row>
    <row r="90" spans="1:55" x14ac:dyDescent="0.3">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c r="AA90" s="26"/>
      <c r="AB90" s="26"/>
      <c r="AC90" s="26"/>
      <c r="AD90" s="26"/>
      <c r="AE90" s="26"/>
      <c r="AF90" s="26"/>
      <c r="AG90" s="26"/>
      <c r="AH90" s="26"/>
      <c r="AI90" s="26"/>
      <c r="AJ90" s="26"/>
      <c r="AK90" s="26"/>
      <c r="AL90" s="26"/>
      <c r="AM90" s="26"/>
      <c r="AN90" s="26"/>
      <c r="AO90" s="26"/>
      <c r="AP90" s="26"/>
      <c r="AQ90" s="26"/>
      <c r="AR90" s="26"/>
      <c r="AS90" s="26"/>
      <c r="AT90" s="26"/>
      <c r="AU90" s="26"/>
      <c r="AV90" s="26"/>
      <c r="AW90" s="26"/>
      <c r="AX90" s="26"/>
      <c r="AY90" s="26"/>
      <c r="AZ90" s="26"/>
      <c r="BA90" s="26"/>
      <c r="BB90" s="26"/>
      <c r="BC90" s="26"/>
    </row>
    <row r="91" spans="1:55" x14ac:dyDescent="0.3">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c r="AA91" s="26"/>
      <c r="AB91" s="26"/>
      <c r="AC91" s="26"/>
      <c r="AD91" s="26"/>
      <c r="AE91" s="26"/>
      <c r="AF91" s="26"/>
      <c r="AG91" s="26"/>
      <c r="AH91" s="26"/>
      <c r="AI91" s="26"/>
      <c r="AJ91" s="26"/>
      <c r="AK91" s="26"/>
      <c r="AL91" s="26"/>
      <c r="AM91" s="26"/>
      <c r="AN91" s="26"/>
      <c r="AO91" s="26"/>
      <c r="AP91" s="26"/>
      <c r="AQ91" s="26"/>
      <c r="AR91" s="26"/>
      <c r="AS91" s="26"/>
      <c r="AT91" s="26"/>
      <c r="AU91" s="26"/>
      <c r="AV91" s="26"/>
      <c r="AW91" s="26"/>
      <c r="AX91" s="26"/>
      <c r="AY91" s="26"/>
      <c r="AZ91" s="26"/>
      <c r="BA91" s="26"/>
      <c r="BB91" s="26"/>
      <c r="BC91" s="26"/>
    </row>
    <row r="92" spans="1:55" x14ac:dyDescent="0.3">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c r="AA92" s="26"/>
      <c r="AB92" s="26"/>
      <c r="AC92" s="26"/>
      <c r="AD92" s="26"/>
      <c r="AE92" s="26"/>
      <c r="AF92" s="26"/>
      <c r="AG92" s="26"/>
      <c r="AH92" s="26"/>
      <c r="AI92" s="26"/>
      <c r="AJ92" s="26"/>
      <c r="AK92" s="26"/>
      <c r="AL92" s="26"/>
      <c r="AM92" s="26"/>
      <c r="AN92" s="26"/>
      <c r="AO92" s="26"/>
      <c r="AP92" s="26"/>
      <c r="AQ92" s="26"/>
      <c r="AR92" s="26"/>
      <c r="AS92" s="26"/>
      <c r="AT92" s="26"/>
      <c r="AU92" s="26"/>
      <c r="AV92" s="26"/>
      <c r="AW92" s="26"/>
      <c r="AX92" s="26"/>
      <c r="AY92" s="26"/>
      <c r="AZ92" s="26"/>
      <c r="BA92" s="26"/>
      <c r="BB92" s="26"/>
      <c r="BC92" s="26"/>
    </row>
    <row r="93" spans="1:55" x14ac:dyDescent="0.3">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c r="AA93" s="26"/>
      <c r="AB93" s="26"/>
      <c r="AC93" s="26"/>
      <c r="AD93" s="26"/>
      <c r="AE93" s="26"/>
      <c r="AF93" s="26"/>
      <c r="AG93" s="26"/>
      <c r="AH93" s="26"/>
      <c r="AI93" s="26"/>
      <c r="AJ93" s="26"/>
      <c r="AK93" s="26"/>
      <c r="AL93" s="26"/>
      <c r="AM93" s="26"/>
      <c r="AN93" s="26"/>
      <c r="AO93" s="26"/>
      <c r="AP93" s="26"/>
      <c r="AQ93" s="26"/>
      <c r="AR93" s="26"/>
      <c r="AS93" s="26"/>
      <c r="AT93" s="26"/>
      <c r="AU93" s="26"/>
      <c r="AV93" s="26"/>
      <c r="AW93" s="26"/>
      <c r="AX93" s="26"/>
      <c r="AY93" s="26"/>
      <c r="AZ93" s="26"/>
      <c r="BA93" s="26"/>
      <c r="BB93" s="26"/>
      <c r="BC93" s="26"/>
    </row>
    <row r="94" spans="1:55" x14ac:dyDescent="0.3">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c r="AA94" s="26"/>
      <c r="AB94" s="26"/>
      <c r="AC94" s="26"/>
      <c r="AD94" s="26"/>
      <c r="AE94" s="26"/>
      <c r="AF94" s="26"/>
      <c r="AG94" s="26"/>
      <c r="AH94" s="26"/>
      <c r="AI94" s="26"/>
      <c r="AJ94" s="26"/>
      <c r="AK94" s="26"/>
      <c r="AL94" s="26"/>
      <c r="AM94" s="26"/>
      <c r="AN94" s="26"/>
      <c r="AO94" s="26"/>
      <c r="AP94" s="26"/>
      <c r="AQ94" s="26"/>
      <c r="AR94" s="26"/>
      <c r="AS94" s="26"/>
      <c r="AT94" s="26"/>
      <c r="AU94" s="26"/>
      <c r="AV94" s="26"/>
      <c r="AW94" s="26"/>
      <c r="AX94" s="26"/>
      <c r="AY94" s="26"/>
      <c r="AZ94" s="26"/>
      <c r="BA94" s="26"/>
      <c r="BB94" s="26"/>
      <c r="BC94" s="26"/>
    </row>
    <row r="95" spans="1:55" x14ac:dyDescent="0.3">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c r="AA95" s="26"/>
      <c r="AB95" s="26"/>
      <c r="AC95" s="26"/>
      <c r="AD95" s="26"/>
      <c r="AE95" s="26"/>
      <c r="AF95" s="26"/>
      <c r="AG95" s="26"/>
      <c r="AH95" s="26"/>
      <c r="AI95" s="26"/>
      <c r="AJ95" s="26"/>
      <c r="AK95" s="26"/>
      <c r="AL95" s="26"/>
      <c r="AM95" s="26"/>
      <c r="AN95" s="26"/>
      <c r="AO95" s="26"/>
      <c r="AP95" s="26"/>
      <c r="AQ95" s="26"/>
      <c r="AR95" s="26"/>
      <c r="AS95" s="26"/>
      <c r="AT95" s="26"/>
      <c r="AU95" s="26"/>
      <c r="AV95" s="26"/>
      <c r="AW95" s="26"/>
      <c r="AX95" s="26"/>
      <c r="AY95" s="26"/>
      <c r="AZ95" s="26"/>
      <c r="BA95" s="26"/>
      <c r="BB95" s="26"/>
      <c r="BC95" s="26"/>
    </row>
    <row r="96" spans="1:55" x14ac:dyDescent="0.3">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c r="AA96" s="26"/>
      <c r="AB96" s="26"/>
      <c r="AC96" s="26"/>
      <c r="AD96" s="26"/>
      <c r="AE96" s="26"/>
      <c r="AF96" s="26"/>
      <c r="AG96" s="26"/>
      <c r="AH96" s="26"/>
      <c r="AI96" s="26"/>
      <c r="AJ96" s="26"/>
      <c r="AK96" s="26"/>
      <c r="AL96" s="26"/>
      <c r="AM96" s="26"/>
      <c r="AN96" s="26"/>
      <c r="AO96" s="26"/>
      <c r="AP96" s="26"/>
      <c r="AQ96" s="26"/>
      <c r="AR96" s="26"/>
      <c r="AS96" s="26"/>
      <c r="AT96" s="26"/>
      <c r="AU96" s="26"/>
      <c r="AV96" s="26"/>
      <c r="AW96" s="26"/>
      <c r="AX96" s="26"/>
      <c r="AY96" s="26"/>
      <c r="AZ96" s="26"/>
      <c r="BA96" s="26"/>
      <c r="BB96" s="26"/>
      <c r="BC96" s="26"/>
    </row>
    <row r="97" spans="1:55" x14ac:dyDescent="0.3">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c r="AA97" s="26"/>
      <c r="AB97" s="26"/>
      <c r="AC97" s="26"/>
      <c r="AD97" s="26"/>
      <c r="AE97" s="26"/>
      <c r="AF97" s="26"/>
      <c r="AG97" s="26"/>
      <c r="AH97" s="26"/>
      <c r="AI97" s="26"/>
      <c r="AJ97" s="26"/>
      <c r="AK97" s="26"/>
      <c r="AL97" s="26"/>
      <c r="AM97" s="26"/>
      <c r="AN97" s="26"/>
      <c r="AO97" s="26"/>
      <c r="AP97" s="26"/>
      <c r="AQ97" s="26"/>
      <c r="AR97" s="26"/>
      <c r="AS97" s="26"/>
      <c r="AT97" s="26"/>
      <c r="AU97" s="26"/>
      <c r="AV97" s="26"/>
      <c r="AW97" s="26"/>
      <c r="AX97" s="26"/>
      <c r="AY97" s="26"/>
      <c r="AZ97" s="26"/>
      <c r="BA97" s="26"/>
      <c r="BB97" s="26"/>
      <c r="BC97" s="26"/>
    </row>
    <row r="98" spans="1:55" x14ac:dyDescent="0.3">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c r="AA98" s="26"/>
      <c r="AB98" s="26"/>
      <c r="AC98" s="26"/>
      <c r="AD98" s="26"/>
      <c r="AE98" s="26"/>
      <c r="AF98" s="26"/>
      <c r="AG98" s="26"/>
      <c r="AH98" s="26"/>
      <c r="AI98" s="26"/>
      <c r="AJ98" s="26"/>
      <c r="AK98" s="26"/>
      <c r="AL98" s="26"/>
      <c r="AM98" s="26"/>
      <c r="AN98" s="26"/>
      <c r="AO98" s="26"/>
      <c r="AP98" s="26"/>
      <c r="AQ98" s="26"/>
      <c r="AR98" s="26"/>
      <c r="AS98" s="26"/>
      <c r="AT98" s="26"/>
      <c r="AU98" s="26"/>
      <c r="AV98" s="26"/>
      <c r="AW98" s="26"/>
      <c r="AX98" s="26"/>
      <c r="AY98" s="26"/>
      <c r="AZ98" s="26"/>
      <c r="BA98" s="26"/>
      <c r="BB98" s="26"/>
      <c r="BC98" s="26"/>
    </row>
    <row r="99" spans="1:55" x14ac:dyDescent="0.3">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c r="AA99" s="26"/>
      <c r="AB99" s="26"/>
      <c r="AC99" s="26"/>
      <c r="AD99" s="26"/>
      <c r="AE99" s="26"/>
      <c r="AF99" s="26"/>
      <c r="AG99" s="26"/>
      <c r="AH99" s="26"/>
      <c r="AI99" s="26"/>
      <c r="AJ99" s="26"/>
      <c r="AK99" s="26"/>
      <c r="AL99" s="26"/>
      <c r="AM99" s="26"/>
      <c r="AN99" s="26"/>
      <c r="AO99" s="26"/>
      <c r="AP99" s="26"/>
      <c r="AQ99" s="26"/>
      <c r="AR99" s="26"/>
      <c r="AS99" s="26"/>
      <c r="AT99" s="26"/>
      <c r="AU99" s="26"/>
      <c r="AV99" s="26"/>
      <c r="AW99" s="26"/>
      <c r="AX99" s="26"/>
      <c r="AY99" s="26"/>
      <c r="AZ99" s="26"/>
      <c r="BA99" s="26"/>
      <c r="BB99" s="26"/>
      <c r="BC99" s="26"/>
    </row>
    <row r="100" spans="1:55" x14ac:dyDescent="0.3">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c r="AA100" s="26"/>
      <c r="AB100" s="26"/>
      <c r="AC100" s="26"/>
      <c r="AD100" s="26"/>
      <c r="AE100" s="26"/>
      <c r="AF100" s="26"/>
      <c r="AG100" s="26"/>
      <c r="AH100" s="26"/>
      <c r="AI100" s="26"/>
      <c r="AJ100" s="26"/>
      <c r="AK100" s="26"/>
      <c r="AL100" s="26"/>
      <c r="AM100" s="26"/>
      <c r="AN100" s="26"/>
      <c r="AO100" s="26"/>
      <c r="AP100" s="26"/>
      <c r="AQ100" s="26"/>
      <c r="AR100" s="26"/>
      <c r="AS100" s="26"/>
      <c r="AT100" s="26"/>
      <c r="AU100" s="26"/>
      <c r="AV100" s="26"/>
      <c r="AW100" s="26"/>
      <c r="AX100" s="26"/>
      <c r="AY100" s="26"/>
      <c r="AZ100" s="26"/>
      <c r="BA100" s="26"/>
      <c r="BB100" s="26"/>
      <c r="BC100" s="26"/>
    </row>
    <row r="101" spans="1:55" x14ac:dyDescent="0.3">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c r="AA101" s="26"/>
      <c r="AB101" s="26"/>
      <c r="AC101" s="26"/>
      <c r="AD101" s="26"/>
      <c r="AE101" s="26"/>
      <c r="AF101" s="26"/>
      <c r="AG101" s="26"/>
      <c r="AH101" s="26"/>
      <c r="AI101" s="26"/>
      <c r="AJ101" s="26"/>
      <c r="AK101" s="26"/>
      <c r="AL101" s="26"/>
      <c r="AM101" s="26"/>
      <c r="AN101" s="26"/>
      <c r="AO101" s="26"/>
      <c r="AP101" s="26"/>
      <c r="AQ101" s="26"/>
      <c r="AR101" s="26"/>
      <c r="AS101" s="26"/>
      <c r="AT101" s="26"/>
      <c r="AU101" s="26"/>
      <c r="AV101" s="26"/>
      <c r="AW101" s="26"/>
      <c r="AX101" s="26"/>
      <c r="AY101" s="26"/>
      <c r="AZ101" s="26"/>
      <c r="BA101" s="26"/>
      <c r="BB101" s="26"/>
      <c r="BC101" s="26"/>
    </row>
    <row r="102" spans="1:55" x14ac:dyDescent="0.3">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c r="AA102" s="26"/>
      <c r="AB102" s="26"/>
      <c r="AC102" s="26"/>
      <c r="AD102" s="26"/>
      <c r="AE102" s="26"/>
      <c r="AF102" s="26"/>
      <c r="AG102" s="26"/>
      <c r="AH102" s="26"/>
      <c r="AI102" s="26"/>
      <c r="AJ102" s="26"/>
      <c r="AK102" s="26"/>
      <c r="AL102" s="26"/>
      <c r="AM102" s="26"/>
      <c r="AN102" s="26"/>
      <c r="AO102" s="26"/>
      <c r="AP102" s="26"/>
      <c r="AQ102" s="26"/>
      <c r="AR102" s="26"/>
      <c r="AS102" s="26"/>
      <c r="AT102" s="26"/>
      <c r="AU102" s="26"/>
      <c r="AV102" s="26"/>
      <c r="AW102" s="26"/>
      <c r="AX102" s="26"/>
      <c r="AY102" s="26"/>
      <c r="AZ102" s="26"/>
      <c r="BA102" s="26"/>
      <c r="BB102" s="26"/>
      <c r="BC102" s="26"/>
    </row>
    <row r="103" spans="1:55" x14ac:dyDescent="0.3">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c r="AA103" s="26"/>
      <c r="AB103" s="26"/>
      <c r="AC103" s="26"/>
      <c r="AD103" s="26"/>
      <c r="AE103" s="26"/>
      <c r="AF103" s="26"/>
      <c r="AG103" s="26"/>
      <c r="AH103" s="26"/>
      <c r="AI103" s="26"/>
      <c r="AJ103" s="26"/>
      <c r="AK103" s="26"/>
      <c r="AL103" s="26"/>
      <c r="AM103" s="26"/>
      <c r="AN103" s="26"/>
      <c r="AO103" s="26"/>
      <c r="AP103" s="26"/>
      <c r="AQ103" s="26"/>
      <c r="AR103" s="26"/>
      <c r="AS103" s="26"/>
      <c r="AT103" s="26"/>
      <c r="AU103" s="26"/>
      <c r="AV103" s="26"/>
      <c r="AW103" s="26"/>
      <c r="AX103" s="26"/>
      <c r="AY103" s="26"/>
      <c r="AZ103" s="26"/>
      <c r="BA103" s="26"/>
      <c r="BB103" s="26"/>
      <c r="BC103" s="26"/>
    </row>
    <row r="104" spans="1:55" x14ac:dyDescent="0.3">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c r="AA104" s="26"/>
      <c r="AB104" s="26"/>
      <c r="AC104" s="26"/>
      <c r="AD104" s="26"/>
      <c r="AE104" s="26"/>
      <c r="AF104" s="26"/>
      <c r="AG104" s="26"/>
      <c r="AH104" s="26"/>
      <c r="AI104" s="26"/>
      <c r="AJ104" s="26"/>
      <c r="AK104" s="26"/>
      <c r="AL104" s="26"/>
      <c r="AM104" s="26"/>
      <c r="AN104" s="26"/>
      <c r="AO104" s="26"/>
      <c r="AP104" s="26"/>
      <c r="AQ104" s="26"/>
      <c r="AR104" s="26"/>
      <c r="AS104" s="26"/>
      <c r="AT104" s="26"/>
      <c r="AU104" s="26"/>
      <c r="AV104" s="26"/>
      <c r="AW104" s="26"/>
      <c r="AX104" s="26"/>
      <c r="AY104" s="26"/>
      <c r="AZ104" s="26"/>
      <c r="BA104" s="26"/>
      <c r="BB104" s="26"/>
      <c r="BC104" s="26"/>
    </row>
    <row r="105" spans="1:55" x14ac:dyDescent="0.3">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c r="AA105" s="26"/>
      <c r="AB105" s="26"/>
      <c r="AC105" s="26"/>
      <c r="AD105" s="26"/>
      <c r="AE105" s="26"/>
      <c r="AF105" s="26"/>
      <c r="AG105" s="26"/>
      <c r="AH105" s="26"/>
      <c r="AI105" s="26"/>
      <c r="AJ105" s="26"/>
      <c r="AK105" s="26"/>
      <c r="AL105" s="26"/>
      <c r="AM105" s="26"/>
      <c r="AN105" s="26"/>
      <c r="AO105" s="26"/>
      <c r="AP105" s="26"/>
      <c r="AQ105" s="26"/>
      <c r="AR105" s="26"/>
      <c r="AS105" s="26"/>
      <c r="AT105" s="26"/>
      <c r="AU105" s="26"/>
      <c r="AV105" s="26"/>
      <c r="AW105" s="26"/>
      <c r="AX105" s="26"/>
      <c r="AY105" s="26"/>
      <c r="AZ105" s="26"/>
      <c r="BA105" s="26"/>
      <c r="BB105" s="26"/>
      <c r="BC105" s="26"/>
    </row>
    <row r="106" spans="1:55" x14ac:dyDescent="0.3">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c r="AA106" s="26"/>
      <c r="AB106" s="26"/>
      <c r="AC106" s="26"/>
      <c r="AD106" s="26"/>
      <c r="AE106" s="26"/>
      <c r="AF106" s="26"/>
      <c r="AG106" s="26"/>
      <c r="AH106" s="26"/>
      <c r="AI106" s="26"/>
      <c r="AJ106" s="26"/>
      <c r="AK106" s="26"/>
      <c r="AL106" s="26"/>
      <c r="AM106" s="26"/>
      <c r="AN106" s="26"/>
      <c r="AO106" s="26"/>
      <c r="AP106" s="26"/>
      <c r="AQ106" s="26"/>
      <c r="AR106" s="26"/>
      <c r="AS106" s="26"/>
      <c r="AT106" s="26"/>
      <c r="AU106" s="26"/>
      <c r="AV106" s="26"/>
      <c r="AW106" s="26"/>
      <c r="AX106" s="26"/>
      <c r="AY106" s="26"/>
      <c r="AZ106" s="26"/>
      <c r="BA106" s="26"/>
      <c r="BB106" s="26"/>
      <c r="BC106" s="26"/>
    </row>
    <row r="107" spans="1:55" x14ac:dyDescent="0.3">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c r="AA107" s="26"/>
      <c r="AB107" s="26"/>
      <c r="AC107" s="26"/>
      <c r="AD107" s="26"/>
      <c r="AE107" s="26"/>
      <c r="AF107" s="26"/>
      <c r="AG107" s="26"/>
      <c r="AH107" s="26"/>
      <c r="AI107" s="26"/>
      <c r="AJ107" s="26"/>
      <c r="AK107" s="26"/>
      <c r="AL107" s="26"/>
      <c r="AM107" s="26"/>
      <c r="AN107" s="26"/>
      <c r="AO107" s="26"/>
      <c r="AP107" s="26"/>
      <c r="AQ107" s="26"/>
      <c r="AR107" s="26"/>
      <c r="AS107" s="26"/>
      <c r="AT107" s="26"/>
      <c r="AU107" s="26"/>
      <c r="AV107" s="26"/>
      <c r="AW107" s="26"/>
      <c r="AX107" s="26"/>
      <c r="AY107" s="26"/>
      <c r="AZ107" s="26"/>
      <c r="BA107" s="26"/>
      <c r="BB107" s="26"/>
      <c r="BC107" s="26"/>
    </row>
    <row r="108" spans="1:55" x14ac:dyDescent="0.3">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c r="AA108" s="26"/>
      <c r="AB108" s="26"/>
      <c r="AC108" s="26"/>
      <c r="AD108" s="26"/>
      <c r="AE108" s="26"/>
      <c r="AF108" s="26"/>
      <c r="AG108" s="26"/>
      <c r="AH108" s="26"/>
      <c r="AI108" s="26"/>
      <c r="AJ108" s="26"/>
      <c r="AK108" s="26"/>
      <c r="AL108" s="26"/>
      <c r="AM108" s="26"/>
      <c r="AN108" s="26"/>
      <c r="AO108" s="26"/>
      <c r="AP108" s="26"/>
      <c r="AQ108" s="26"/>
      <c r="AR108" s="26"/>
      <c r="AS108" s="26"/>
      <c r="AT108" s="26"/>
      <c r="AU108" s="26"/>
      <c r="AV108" s="26"/>
      <c r="AW108" s="26"/>
      <c r="AX108" s="26"/>
      <c r="AY108" s="26"/>
      <c r="AZ108" s="26"/>
      <c r="BA108" s="26"/>
      <c r="BB108" s="26"/>
      <c r="BC108" s="26"/>
    </row>
    <row r="109" spans="1:55" x14ac:dyDescent="0.3">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c r="AA109" s="26"/>
      <c r="AB109" s="26"/>
      <c r="AC109" s="26"/>
      <c r="AD109" s="26"/>
      <c r="AE109" s="26"/>
      <c r="AF109" s="26"/>
      <c r="AG109" s="26"/>
      <c r="AH109" s="26"/>
      <c r="AI109" s="26"/>
      <c r="AJ109" s="26"/>
      <c r="AK109" s="26"/>
      <c r="AL109" s="26"/>
      <c r="AM109" s="26"/>
      <c r="AN109" s="26"/>
      <c r="AO109" s="26"/>
      <c r="AP109" s="26"/>
      <c r="AQ109" s="26"/>
      <c r="AR109" s="26"/>
      <c r="AS109" s="26"/>
      <c r="AT109" s="26"/>
      <c r="AU109" s="26"/>
      <c r="AV109" s="26"/>
      <c r="AW109" s="26"/>
      <c r="AX109" s="26"/>
      <c r="AY109" s="26"/>
      <c r="AZ109" s="26"/>
      <c r="BA109" s="26"/>
      <c r="BB109" s="26"/>
      <c r="BC109" s="26"/>
    </row>
    <row r="110" spans="1:55" x14ac:dyDescent="0.3">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c r="AA110" s="26"/>
      <c r="AB110" s="26"/>
      <c r="AC110" s="26"/>
      <c r="AD110" s="26"/>
      <c r="AE110" s="26"/>
      <c r="AF110" s="26"/>
      <c r="AG110" s="26"/>
      <c r="AH110" s="26"/>
      <c r="AI110" s="26"/>
      <c r="AJ110" s="26"/>
      <c r="AK110" s="26"/>
      <c r="AL110" s="26"/>
      <c r="AM110" s="26"/>
      <c r="AN110" s="26"/>
      <c r="AO110" s="26"/>
      <c r="AP110" s="26"/>
      <c r="AQ110" s="26"/>
      <c r="AR110" s="26"/>
      <c r="AS110" s="26"/>
      <c r="AT110" s="26"/>
      <c r="AU110" s="26"/>
      <c r="AV110" s="26"/>
      <c r="AW110" s="26"/>
      <c r="AX110" s="26"/>
      <c r="AY110" s="26"/>
      <c r="AZ110" s="26"/>
      <c r="BA110" s="26"/>
      <c r="BB110" s="26"/>
      <c r="BC110" s="26"/>
    </row>
    <row r="111" spans="1:55" x14ac:dyDescent="0.3">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c r="AA111" s="26"/>
      <c r="AB111" s="26"/>
      <c r="AC111" s="26"/>
      <c r="AD111" s="26"/>
      <c r="AE111" s="26"/>
      <c r="AF111" s="26"/>
      <c r="AG111" s="26"/>
      <c r="AH111" s="26"/>
      <c r="AI111" s="26"/>
      <c r="AJ111" s="26"/>
      <c r="AK111" s="26"/>
      <c r="AL111" s="26"/>
      <c r="AM111" s="26"/>
      <c r="AN111" s="26"/>
      <c r="AO111" s="26"/>
      <c r="AP111" s="26"/>
      <c r="AQ111" s="26"/>
      <c r="AR111" s="26"/>
      <c r="AS111" s="26"/>
      <c r="AT111" s="26"/>
      <c r="AU111" s="26"/>
      <c r="AV111" s="26"/>
      <c r="AW111" s="26"/>
      <c r="AX111" s="26"/>
      <c r="AY111" s="26"/>
      <c r="AZ111" s="26"/>
      <c r="BA111" s="26"/>
      <c r="BB111" s="26"/>
      <c r="BC111" s="26"/>
    </row>
    <row r="112" spans="1:55" x14ac:dyDescent="0.3">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c r="AA112" s="26"/>
      <c r="AB112" s="26"/>
      <c r="AC112" s="26"/>
      <c r="AD112" s="26"/>
      <c r="AE112" s="26"/>
      <c r="AF112" s="26"/>
      <c r="AG112" s="26"/>
      <c r="AH112" s="26"/>
      <c r="AI112" s="26"/>
      <c r="AJ112" s="26"/>
      <c r="AK112" s="26"/>
      <c r="AL112" s="26"/>
      <c r="AM112" s="26"/>
      <c r="AN112" s="26"/>
      <c r="AO112" s="26"/>
      <c r="AP112" s="26"/>
      <c r="AQ112" s="26"/>
      <c r="AR112" s="26"/>
      <c r="AS112" s="26"/>
      <c r="AT112" s="26"/>
      <c r="AU112" s="26"/>
      <c r="AV112" s="26"/>
      <c r="AW112" s="26"/>
      <c r="AX112" s="26"/>
      <c r="AY112" s="26"/>
      <c r="AZ112" s="26"/>
      <c r="BA112" s="26"/>
      <c r="BB112" s="26"/>
      <c r="BC112" s="26"/>
    </row>
    <row r="113" spans="1:55" x14ac:dyDescent="0.3">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c r="AA113" s="26"/>
      <c r="AB113" s="26"/>
      <c r="AC113" s="26"/>
      <c r="AD113" s="26"/>
      <c r="AE113" s="26"/>
      <c r="AF113" s="26"/>
      <c r="AG113" s="26"/>
      <c r="AH113" s="26"/>
      <c r="AI113" s="26"/>
      <c r="AJ113" s="26"/>
      <c r="AK113" s="26"/>
      <c r="AL113" s="26"/>
      <c r="AM113" s="26"/>
      <c r="AN113" s="26"/>
      <c r="AO113" s="26"/>
      <c r="AP113" s="26"/>
      <c r="AQ113" s="26"/>
      <c r="AR113" s="26"/>
      <c r="AS113" s="26"/>
      <c r="AT113" s="26"/>
      <c r="AU113" s="26"/>
      <c r="AV113" s="26"/>
      <c r="AW113" s="26"/>
      <c r="AX113" s="26"/>
      <c r="AY113" s="26"/>
      <c r="AZ113" s="26"/>
      <c r="BA113" s="26"/>
      <c r="BB113" s="26"/>
      <c r="BC113" s="26"/>
    </row>
    <row r="114" spans="1:55" x14ac:dyDescent="0.3">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c r="AA114" s="26"/>
      <c r="AB114" s="26"/>
      <c r="AC114" s="26"/>
      <c r="AD114" s="26"/>
      <c r="AE114" s="26"/>
      <c r="AF114" s="26"/>
      <c r="AG114" s="26"/>
      <c r="AH114" s="26"/>
      <c r="AI114" s="26"/>
      <c r="AJ114" s="26"/>
      <c r="AK114" s="26"/>
      <c r="AL114" s="26"/>
      <c r="AM114" s="26"/>
      <c r="AN114" s="26"/>
      <c r="AO114" s="26"/>
      <c r="AP114" s="26"/>
      <c r="AQ114" s="26"/>
      <c r="AR114" s="26"/>
      <c r="AS114" s="26"/>
      <c r="AT114" s="26"/>
      <c r="AU114" s="26"/>
      <c r="AV114" s="26"/>
      <c r="AW114" s="26"/>
      <c r="AX114" s="26"/>
      <c r="AY114" s="26"/>
      <c r="AZ114" s="26"/>
      <c r="BA114" s="26"/>
      <c r="BB114" s="26"/>
      <c r="BC114" s="26"/>
    </row>
    <row r="115" spans="1:55" x14ac:dyDescent="0.3">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c r="AA115" s="26"/>
      <c r="AB115" s="26"/>
      <c r="AC115" s="26"/>
      <c r="AD115" s="26"/>
      <c r="AE115" s="26"/>
      <c r="AF115" s="26"/>
      <c r="AG115" s="26"/>
      <c r="AH115" s="26"/>
      <c r="AI115" s="26"/>
      <c r="AJ115" s="26"/>
      <c r="AK115" s="26"/>
      <c r="AL115" s="26"/>
      <c r="AM115" s="26"/>
      <c r="AN115" s="26"/>
      <c r="AO115" s="26"/>
      <c r="AP115" s="26"/>
      <c r="AQ115" s="26"/>
      <c r="AR115" s="26"/>
      <c r="AS115" s="26"/>
      <c r="AT115" s="26"/>
      <c r="AU115" s="26"/>
      <c r="AV115" s="26"/>
      <c r="AW115" s="26"/>
      <c r="AX115" s="26"/>
      <c r="AY115" s="26"/>
      <c r="AZ115" s="26"/>
      <c r="BA115" s="26"/>
      <c r="BB115" s="26"/>
      <c r="BC115" s="26"/>
    </row>
    <row r="116" spans="1:55" x14ac:dyDescent="0.3">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c r="AA116" s="26"/>
      <c r="AB116" s="26"/>
      <c r="AC116" s="26"/>
      <c r="AD116" s="26"/>
      <c r="AE116" s="26"/>
      <c r="AF116" s="26"/>
      <c r="AG116" s="26"/>
      <c r="AH116" s="26"/>
      <c r="AI116" s="26"/>
      <c r="AJ116" s="26"/>
      <c r="AK116" s="26"/>
      <c r="AL116" s="26"/>
      <c r="AM116" s="26"/>
      <c r="AN116" s="26"/>
      <c r="AO116" s="26"/>
      <c r="AP116" s="26"/>
      <c r="AQ116" s="26"/>
      <c r="AR116" s="26"/>
      <c r="AS116" s="26"/>
      <c r="AT116" s="26"/>
      <c r="AU116" s="26"/>
      <c r="AV116" s="26"/>
      <c r="AW116" s="26"/>
      <c r="AX116" s="26"/>
      <c r="AY116" s="26"/>
      <c r="AZ116" s="26"/>
      <c r="BA116" s="26"/>
      <c r="BB116" s="26"/>
      <c r="BC116" s="26"/>
    </row>
    <row r="117" spans="1:55" x14ac:dyDescent="0.3">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c r="AA117" s="26"/>
      <c r="AB117" s="26"/>
      <c r="AC117" s="26"/>
      <c r="AD117" s="26"/>
      <c r="AE117" s="26"/>
      <c r="AF117" s="26"/>
      <c r="AG117" s="26"/>
      <c r="AH117" s="26"/>
      <c r="AI117" s="26"/>
      <c r="AJ117" s="26"/>
      <c r="AK117" s="26"/>
      <c r="AL117" s="26"/>
      <c r="AM117" s="26"/>
      <c r="AN117" s="26"/>
      <c r="AO117" s="26"/>
      <c r="AP117" s="26"/>
      <c r="AQ117" s="26"/>
      <c r="AR117" s="26"/>
      <c r="AS117" s="26"/>
      <c r="AT117" s="26"/>
      <c r="AU117" s="26"/>
      <c r="AV117" s="26"/>
      <c r="AW117" s="26"/>
      <c r="AX117" s="26"/>
      <c r="AY117" s="26"/>
      <c r="AZ117" s="26"/>
      <c r="BA117" s="26"/>
      <c r="BB117" s="26"/>
      <c r="BC117" s="26"/>
    </row>
    <row r="118" spans="1:55" x14ac:dyDescent="0.3">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c r="AA118" s="26"/>
      <c r="AB118" s="26"/>
      <c r="AC118" s="26"/>
      <c r="AD118" s="26"/>
      <c r="AE118" s="26"/>
      <c r="AF118" s="26"/>
      <c r="AG118" s="26"/>
      <c r="AH118" s="26"/>
      <c r="AI118" s="26"/>
      <c r="AJ118" s="26"/>
      <c r="AK118" s="26"/>
      <c r="AL118" s="26"/>
      <c r="AM118" s="26"/>
      <c r="AN118" s="26"/>
      <c r="AO118" s="26"/>
      <c r="AP118" s="26"/>
      <c r="AQ118" s="26"/>
      <c r="AR118" s="26"/>
      <c r="AS118" s="26"/>
      <c r="AT118" s="26"/>
      <c r="AU118" s="26"/>
      <c r="AV118" s="26"/>
      <c r="AW118" s="26"/>
      <c r="AX118" s="26"/>
      <c r="AY118" s="26"/>
      <c r="AZ118" s="26"/>
      <c r="BA118" s="26"/>
      <c r="BB118" s="26"/>
      <c r="BC118" s="26"/>
    </row>
    <row r="119" spans="1:55" x14ac:dyDescent="0.3">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c r="AA119" s="26"/>
      <c r="AB119" s="26"/>
      <c r="AC119" s="26"/>
      <c r="AD119" s="26"/>
      <c r="AE119" s="26"/>
      <c r="AF119" s="26"/>
      <c r="AG119" s="26"/>
      <c r="AH119" s="26"/>
      <c r="AI119" s="26"/>
      <c r="AJ119" s="26"/>
      <c r="AK119" s="26"/>
      <c r="AL119" s="26"/>
      <c r="AM119" s="26"/>
      <c r="AN119" s="26"/>
      <c r="AO119" s="26"/>
      <c r="AP119" s="26"/>
      <c r="AQ119" s="26"/>
      <c r="AR119" s="26"/>
      <c r="AS119" s="26"/>
      <c r="AT119" s="26"/>
      <c r="AU119" s="26"/>
      <c r="AV119" s="26"/>
      <c r="AW119" s="26"/>
      <c r="AX119" s="26"/>
      <c r="AY119" s="26"/>
      <c r="AZ119" s="26"/>
      <c r="BA119" s="26"/>
      <c r="BB119" s="26"/>
      <c r="BC119" s="26"/>
    </row>
    <row r="120" spans="1:55" x14ac:dyDescent="0.3">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c r="AA120" s="26"/>
      <c r="AB120" s="26"/>
      <c r="AC120" s="26"/>
      <c r="AD120" s="26"/>
      <c r="AE120" s="26"/>
      <c r="AF120" s="26"/>
      <c r="AG120" s="26"/>
      <c r="AH120" s="26"/>
      <c r="AI120" s="26"/>
      <c r="AJ120" s="26"/>
      <c r="AK120" s="26"/>
      <c r="AL120" s="26"/>
      <c r="AM120" s="26"/>
      <c r="AN120" s="26"/>
      <c r="AO120" s="26"/>
      <c r="AP120" s="26"/>
      <c r="AQ120" s="26"/>
      <c r="AR120" s="26"/>
      <c r="AS120" s="26"/>
      <c r="AT120" s="26"/>
      <c r="AU120" s="26"/>
      <c r="AV120" s="26"/>
      <c r="AW120" s="26"/>
      <c r="AX120" s="26"/>
      <c r="AY120" s="26"/>
      <c r="AZ120" s="26"/>
      <c r="BA120" s="26"/>
      <c r="BB120" s="26"/>
      <c r="BC120" s="26"/>
    </row>
    <row r="121" spans="1:55" x14ac:dyDescent="0.3">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c r="AA121" s="26"/>
      <c r="AB121" s="26"/>
      <c r="AC121" s="26"/>
      <c r="AD121" s="26"/>
      <c r="AE121" s="26"/>
      <c r="AF121" s="26"/>
      <c r="AG121" s="26"/>
      <c r="AH121" s="26"/>
      <c r="AI121" s="26"/>
      <c r="AJ121" s="26"/>
      <c r="AK121" s="26"/>
      <c r="AL121" s="26"/>
      <c r="AM121" s="26"/>
      <c r="AN121" s="26"/>
      <c r="AO121" s="26"/>
      <c r="AP121" s="26"/>
      <c r="AQ121" s="26"/>
      <c r="AR121" s="26"/>
      <c r="AS121" s="26"/>
      <c r="AT121" s="26"/>
      <c r="AU121" s="26"/>
      <c r="AV121" s="26"/>
      <c r="AW121" s="26"/>
      <c r="AX121" s="26"/>
      <c r="AY121" s="26"/>
      <c r="AZ121" s="26"/>
      <c r="BA121" s="26"/>
      <c r="BB121" s="26"/>
      <c r="BC121" s="26"/>
    </row>
    <row r="122" spans="1:55" x14ac:dyDescent="0.3">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c r="AA122" s="26"/>
      <c r="AB122" s="26"/>
      <c r="AC122" s="26"/>
      <c r="AD122" s="26"/>
      <c r="AE122" s="26"/>
      <c r="AF122" s="26"/>
      <c r="AG122" s="26"/>
      <c r="AH122" s="26"/>
      <c r="AI122" s="26"/>
      <c r="AJ122" s="26"/>
      <c r="AK122" s="26"/>
      <c r="AL122" s="26"/>
      <c r="AM122" s="26"/>
      <c r="AN122" s="26"/>
      <c r="AO122" s="26"/>
      <c r="AP122" s="26"/>
      <c r="AQ122" s="26"/>
      <c r="AR122" s="26"/>
      <c r="AS122" s="26"/>
      <c r="AT122" s="26"/>
      <c r="AU122" s="26"/>
      <c r="AV122" s="26"/>
      <c r="AW122" s="26"/>
      <c r="AX122" s="26"/>
      <c r="AY122" s="26"/>
      <c r="AZ122" s="26"/>
      <c r="BA122" s="26"/>
      <c r="BB122" s="26"/>
      <c r="BC122" s="26"/>
    </row>
    <row r="123" spans="1:55" x14ac:dyDescent="0.3">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c r="AA123" s="26"/>
      <c r="AB123" s="26"/>
      <c r="AC123" s="26"/>
      <c r="AD123" s="26"/>
      <c r="AE123" s="26"/>
      <c r="AF123" s="26"/>
      <c r="AG123" s="26"/>
      <c r="AH123" s="26"/>
      <c r="AI123" s="26"/>
      <c r="AJ123" s="26"/>
      <c r="AK123" s="26"/>
      <c r="AL123" s="26"/>
      <c r="AM123" s="26"/>
      <c r="AN123" s="26"/>
      <c r="AO123" s="26"/>
      <c r="AP123" s="26"/>
      <c r="AQ123" s="26"/>
      <c r="AR123" s="26"/>
      <c r="AS123" s="26"/>
      <c r="AT123" s="26"/>
      <c r="AU123" s="26"/>
      <c r="AV123" s="26"/>
      <c r="AW123" s="26"/>
      <c r="AX123" s="26"/>
      <c r="AY123" s="26"/>
      <c r="AZ123" s="26"/>
      <c r="BA123" s="26"/>
      <c r="BB123" s="26"/>
      <c r="BC123" s="26"/>
    </row>
    <row r="124" spans="1:55" x14ac:dyDescent="0.3">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c r="AA124" s="26"/>
      <c r="AB124" s="26"/>
      <c r="AC124" s="26"/>
      <c r="AD124" s="26"/>
      <c r="AE124" s="26"/>
      <c r="AF124" s="26"/>
      <c r="AG124" s="26"/>
      <c r="AH124" s="26"/>
      <c r="AI124" s="26"/>
      <c r="AJ124" s="26"/>
      <c r="AK124" s="26"/>
      <c r="AL124" s="26"/>
      <c r="AM124" s="26"/>
      <c r="AN124" s="26"/>
      <c r="AO124" s="26"/>
      <c r="AP124" s="26"/>
      <c r="AQ124" s="26"/>
      <c r="AR124" s="26"/>
      <c r="AS124" s="26"/>
      <c r="AT124" s="26"/>
      <c r="AU124" s="26"/>
      <c r="AV124" s="26"/>
      <c r="AW124" s="26"/>
      <c r="AX124" s="26"/>
      <c r="AY124" s="26"/>
      <c r="AZ124" s="26"/>
      <c r="BA124" s="26"/>
      <c r="BB124" s="26"/>
      <c r="BC124" s="26"/>
    </row>
    <row r="125" spans="1:55" x14ac:dyDescent="0.3">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c r="AA125" s="26"/>
      <c r="AB125" s="26"/>
      <c r="AC125" s="26"/>
      <c r="AD125" s="26"/>
      <c r="AE125" s="26"/>
      <c r="AF125" s="26"/>
      <c r="AG125" s="26"/>
      <c r="AH125" s="26"/>
      <c r="AI125" s="26"/>
      <c r="AJ125" s="26"/>
      <c r="AK125" s="26"/>
      <c r="AL125" s="26"/>
      <c r="AM125" s="26"/>
      <c r="AN125" s="26"/>
      <c r="AO125" s="26"/>
      <c r="AP125" s="26"/>
      <c r="AQ125" s="26"/>
      <c r="AR125" s="26"/>
      <c r="AS125" s="26"/>
      <c r="AT125" s="26"/>
      <c r="AU125" s="26"/>
      <c r="AV125" s="26"/>
      <c r="AW125" s="26"/>
      <c r="AX125" s="26"/>
      <c r="AY125" s="26"/>
      <c r="AZ125" s="26"/>
      <c r="BA125" s="26"/>
      <c r="BB125" s="26"/>
      <c r="BC125" s="26"/>
    </row>
    <row r="126" spans="1:55" x14ac:dyDescent="0.3">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c r="AA126" s="26"/>
      <c r="AB126" s="26"/>
      <c r="AC126" s="26"/>
      <c r="AD126" s="26"/>
      <c r="AE126" s="26"/>
      <c r="AF126" s="26"/>
      <c r="AG126" s="26"/>
      <c r="AH126" s="26"/>
      <c r="AI126" s="26"/>
      <c r="AJ126" s="26"/>
      <c r="AK126" s="26"/>
      <c r="AL126" s="26"/>
      <c r="AM126" s="26"/>
      <c r="AN126" s="26"/>
      <c r="AO126" s="26"/>
      <c r="AP126" s="26"/>
      <c r="AQ126" s="26"/>
      <c r="AR126" s="26"/>
      <c r="AS126" s="26"/>
      <c r="AT126" s="26"/>
      <c r="AU126" s="26"/>
      <c r="AV126" s="26"/>
      <c r="AW126" s="26"/>
      <c r="AX126" s="26"/>
      <c r="AY126" s="26"/>
      <c r="AZ126" s="26"/>
      <c r="BA126" s="26"/>
      <c r="BB126" s="26"/>
      <c r="BC126" s="26"/>
    </row>
    <row r="127" spans="1:55" x14ac:dyDescent="0.3">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c r="AA127" s="26"/>
      <c r="AB127" s="26"/>
      <c r="AC127" s="26"/>
      <c r="AD127" s="26"/>
      <c r="AE127" s="26"/>
      <c r="AF127" s="26"/>
      <c r="AG127" s="26"/>
      <c r="AH127" s="26"/>
      <c r="AI127" s="26"/>
      <c r="AJ127" s="26"/>
      <c r="AK127" s="26"/>
      <c r="AL127" s="26"/>
      <c r="AM127" s="26"/>
      <c r="AN127" s="26"/>
      <c r="AO127" s="26"/>
      <c r="AP127" s="26"/>
      <c r="AQ127" s="26"/>
      <c r="AR127" s="26"/>
      <c r="AS127" s="26"/>
      <c r="AT127" s="26"/>
      <c r="AU127" s="26"/>
      <c r="AV127" s="26"/>
      <c r="AW127" s="26"/>
      <c r="AX127" s="26"/>
      <c r="AY127" s="26"/>
      <c r="AZ127" s="26"/>
      <c r="BA127" s="26"/>
      <c r="BB127" s="26"/>
      <c r="BC127" s="26"/>
    </row>
    <row r="128" spans="1:55" x14ac:dyDescent="0.3">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c r="AA128" s="26"/>
      <c r="AB128" s="26"/>
      <c r="AC128" s="26"/>
      <c r="AD128" s="26"/>
      <c r="AE128" s="26"/>
      <c r="AF128" s="26"/>
      <c r="AG128" s="26"/>
      <c r="AH128" s="26"/>
      <c r="AI128" s="26"/>
      <c r="AJ128" s="26"/>
      <c r="AK128" s="26"/>
      <c r="AL128" s="26"/>
      <c r="AM128" s="26"/>
      <c r="AN128" s="26"/>
      <c r="AO128" s="26"/>
      <c r="AP128" s="26"/>
      <c r="AQ128" s="26"/>
      <c r="AR128" s="26"/>
      <c r="AS128" s="26"/>
      <c r="AT128" s="26"/>
      <c r="AU128" s="26"/>
      <c r="AV128" s="26"/>
      <c r="AW128" s="26"/>
      <c r="AX128" s="26"/>
      <c r="AY128" s="26"/>
      <c r="AZ128" s="26"/>
      <c r="BA128" s="26"/>
      <c r="BB128" s="26"/>
      <c r="BC128" s="26"/>
    </row>
    <row r="129" spans="1:55" x14ac:dyDescent="0.3">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c r="AA129" s="26"/>
      <c r="AB129" s="26"/>
      <c r="AC129" s="26"/>
      <c r="AD129" s="26"/>
      <c r="AE129" s="26"/>
      <c r="AF129" s="26"/>
      <c r="AG129" s="26"/>
      <c r="AH129" s="26"/>
      <c r="AI129" s="26"/>
      <c r="AJ129" s="26"/>
      <c r="AK129" s="26"/>
      <c r="AL129" s="26"/>
      <c r="AM129" s="26"/>
      <c r="AN129" s="26"/>
      <c r="AO129" s="26"/>
      <c r="AP129" s="26"/>
      <c r="AQ129" s="26"/>
      <c r="AR129" s="26"/>
      <c r="AS129" s="26"/>
      <c r="AT129" s="26"/>
      <c r="AU129" s="26"/>
      <c r="AV129" s="26"/>
      <c r="AW129" s="26"/>
      <c r="AX129" s="26"/>
      <c r="AY129" s="26"/>
      <c r="AZ129" s="26"/>
      <c r="BA129" s="26"/>
      <c r="BB129" s="26"/>
      <c r="BC129" s="26"/>
    </row>
    <row r="130" spans="1:55" x14ac:dyDescent="0.3">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c r="AA130" s="26"/>
      <c r="AB130" s="26"/>
      <c r="AC130" s="26"/>
      <c r="AD130" s="26"/>
      <c r="AE130" s="26"/>
      <c r="AF130" s="26"/>
      <c r="AG130" s="26"/>
      <c r="AH130" s="26"/>
      <c r="AI130" s="26"/>
      <c r="AJ130" s="26"/>
      <c r="AK130" s="26"/>
      <c r="AL130" s="26"/>
      <c r="AM130" s="26"/>
      <c r="AN130" s="26"/>
      <c r="AO130" s="26"/>
      <c r="AP130" s="26"/>
      <c r="AQ130" s="26"/>
      <c r="AR130" s="26"/>
      <c r="AS130" s="26"/>
      <c r="AT130" s="26"/>
      <c r="AU130" s="26"/>
      <c r="AV130" s="26"/>
      <c r="AW130" s="26"/>
      <c r="AX130" s="26"/>
      <c r="AY130" s="26"/>
      <c r="AZ130" s="26"/>
      <c r="BA130" s="26"/>
      <c r="BB130" s="26"/>
      <c r="BC130" s="26"/>
    </row>
    <row r="131" spans="1:55" x14ac:dyDescent="0.3">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c r="AA131" s="26"/>
      <c r="AB131" s="26"/>
      <c r="AC131" s="26"/>
      <c r="AD131" s="26"/>
      <c r="AE131" s="26"/>
      <c r="AF131" s="26"/>
      <c r="AG131" s="26"/>
      <c r="AH131" s="26"/>
      <c r="AI131" s="26"/>
      <c r="AJ131" s="26"/>
      <c r="AK131" s="26"/>
      <c r="AL131" s="26"/>
      <c r="AM131" s="26"/>
      <c r="AN131" s="26"/>
      <c r="AO131" s="26"/>
      <c r="AP131" s="26"/>
      <c r="AQ131" s="26"/>
      <c r="AR131" s="26"/>
      <c r="AS131" s="26"/>
      <c r="AT131" s="26"/>
      <c r="AU131" s="26"/>
      <c r="AV131" s="26"/>
      <c r="AW131" s="26"/>
      <c r="AX131" s="26"/>
      <c r="AY131" s="26"/>
      <c r="AZ131" s="26"/>
      <c r="BA131" s="26"/>
      <c r="BB131" s="26"/>
      <c r="BC131" s="26"/>
    </row>
    <row r="132" spans="1:55" x14ac:dyDescent="0.3">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c r="AA132" s="26"/>
      <c r="AB132" s="26"/>
      <c r="AC132" s="26"/>
      <c r="AD132" s="26"/>
      <c r="AE132" s="26"/>
      <c r="AF132" s="26"/>
      <c r="AG132" s="26"/>
      <c r="AH132" s="26"/>
      <c r="AI132" s="26"/>
      <c r="AJ132" s="26"/>
      <c r="AK132" s="26"/>
      <c r="AL132" s="26"/>
      <c r="AM132" s="26"/>
      <c r="AN132" s="26"/>
      <c r="AO132" s="26"/>
      <c r="AP132" s="26"/>
      <c r="AQ132" s="26"/>
      <c r="AR132" s="26"/>
      <c r="AS132" s="26"/>
      <c r="AT132" s="26"/>
      <c r="AU132" s="26"/>
      <c r="AV132" s="26"/>
      <c r="AW132" s="26"/>
      <c r="AX132" s="26"/>
      <c r="AY132" s="26"/>
      <c r="AZ132" s="26"/>
      <c r="BA132" s="26"/>
      <c r="BB132" s="26"/>
      <c r="BC132" s="26"/>
    </row>
    <row r="133" spans="1:55" x14ac:dyDescent="0.3">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c r="AA133" s="26"/>
      <c r="AB133" s="26"/>
      <c r="AC133" s="26"/>
      <c r="AD133" s="26"/>
      <c r="AE133" s="26"/>
      <c r="AF133" s="26"/>
      <c r="AG133" s="26"/>
      <c r="AH133" s="26"/>
      <c r="AI133" s="26"/>
      <c r="AJ133" s="26"/>
      <c r="AK133" s="26"/>
      <c r="AL133" s="26"/>
      <c r="AM133" s="26"/>
      <c r="AN133" s="26"/>
      <c r="AO133" s="26"/>
      <c r="AP133" s="26"/>
      <c r="AQ133" s="26"/>
      <c r="AR133" s="26"/>
      <c r="AS133" s="26"/>
      <c r="AT133" s="26"/>
      <c r="AU133" s="26"/>
      <c r="AV133" s="26"/>
      <c r="AW133" s="26"/>
      <c r="AX133" s="26"/>
      <c r="AY133" s="26"/>
      <c r="AZ133" s="26"/>
      <c r="BA133" s="26"/>
      <c r="BB133" s="26"/>
      <c r="BC133" s="26"/>
    </row>
    <row r="134" spans="1:55" x14ac:dyDescent="0.3">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c r="AA134" s="26"/>
      <c r="AB134" s="26"/>
      <c r="AC134" s="26"/>
      <c r="AD134" s="26"/>
      <c r="AE134" s="26"/>
      <c r="AF134" s="26"/>
      <c r="AG134" s="26"/>
      <c r="AH134" s="26"/>
      <c r="AI134" s="26"/>
      <c r="AJ134" s="26"/>
      <c r="AK134" s="26"/>
      <c r="AL134" s="26"/>
      <c r="AM134" s="26"/>
      <c r="AN134" s="26"/>
      <c r="AO134" s="26"/>
      <c r="AP134" s="26"/>
      <c r="AQ134" s="26"/>
      <c r="AR134" s="26"/>
      <c r="AS134" s="26"/>
      <c r="AT134" s="26"/>
      <c r="AU134" s="26"/>
      <c r="AV134" s="26"/>
      <c r="AW134" s="26"/>
      <c r="AX134" s="26"/>
      <c r="AY134" s="26"/>
      <c r="AZ134" s="26"/>
      <c r="BA134" s="26"/>
      <c r="BB134" s="26"/>
      <c r="BC134" s="26"/>
    </row>
    <row r="135" spans="1:55" x14ac:dyDescent="0.3">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c r="AA135" s="26"/>
      <c r="AB135" s="26"/>
      <c r="AC135" s="26"/>
      <c r="AD135" s="26"/>
      <c r="AE135" s="26"/>
      <c r="AF135" s="26"/>
      <c r="AG135" s="26"/>
      <c r="AH135" s="26"/>
      <c r="AI135" s="26"/>
      <c r="AJ135" s="26"/>
      <c r="AK135" s="26"/>
      <c r="AL135" s="26"/>
      <c r="AM135" s="26"/>
      <c r="AN135" s="26"/>
      <c r="AO135" s="26"/>
      <c r="AP135" s="26"/>
      <c r="AQ135" s="26"/>
      <c r="AR135" s="26"/>
      <c r="AS135" s="26"/>
      <c r="AT135" s="26"/>
      <c r="AU135" s="26"/>
      <c r="AV135" s="26"/>
      <c r="AW135" s="26"/>
      <c r="AX135" s="26"/>
      <c r="AY135" s="26"/>
      <c r="AZ135" s="26"/>
      <c r="BA135" s="26"/>
      <c r="BB135" s="26"/>
      <c r="BC135" s="26"/>
    </row>
    <row r="136" spans="1:55" x14ac:dyDescent="0.3">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c r="AA136" s="26"/>
      <c r="AB136" s="26"/>
      <c r="AC136" s="26"/>
      <c r="AD136" s="26"/>
      <c r="AE136" s="26"/>
      <c r="AF136" s="26"/>
      <c r="AG136" s="26"/>
      <c r="AH136" s="26"/>
      <c r="AI136" s="26"/>
      <c r="AJ136" s="26"/>
      <c r="AK136" s="26"/>
      <c r="AL136" s="26"/>
      <c r="AM136" s="26"/>
      <c r="AN136" s="26"/>
      <c r="AO136" s="26"/>
      <c r="AP136" s="26"/>
      <c r="AQ136" s="26"/>
      <c r="AR136" s="26"/>
      <c r="AS136" s="26"/>
      <c r="AT136" s="26"/>
      <c r="AU136" s="26"/>
      <c r="AV136" s="26"/>
      <c r="AW136" s="26"/>
      <c r="AX136" s="26"/>
      <c r="AY136" s="26"/>
      <c r="AZ136" s="26"/>
      <c r="BA136" s="26"/>
      <c r="BB136" s="26"/>
      <c r="BC136" s="26"/>
    </row>
    <row r="137" spans="1:55" x14ac:dyDescent="0.3">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c r="AA137" s="26"/>
      <c r="AB137" s="26"/>
      <c r="AC137" s="26"/>
      <c r="AD137" s="26"/>
      <c r="AE137" s="26"/>
      <c r="AF137" s="26"/>
      <c r="AG137" s="26"/>
      <c r="AH137" s="26"/>
      <c r="AI137" s="26"/>
      <c r="AJ137" s="26"/>
      <c r="AK137" s="26"/>
      <c r="AL137" s="26"/>
      <c r="AM137" s="26"/>
      <c r="AN137" s="26"/>
      <c r="AO137" s="26"/>
      <c r="AP137" s="26"/>
      <c r="AQ137" s="26"/>
      <c r="AR137" s="26"/>
      <c r="AS137" s="26"/>
      <c r="AT137" s="26"/>
      <c r="AU137" s="26"/>
      <c r="AV137" s="26"/>
      <c r="AW137" s="26"/>
      <c r="AX137" s="26"/>
      <c r="AY137" s="26"/>
      <c r="AZ137" s="26"/>
      <c r="BA137" s="26"/>
      <c r="BB137" s="26"/>
      <c r="BC137" s="26"/>
    </row>
    <row r="138" spans="1:55" x14ac:dyDescent="0.3">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c r="AA138" s="26"/>
      <c r="AB138" s="26"/>
      <c r="AC138" s="26"/>
      <c r="AD138" s="26"/>
      <c r="AE138" s="26"/>
      <c r="AF138" s="26"/>
      <c r="AG138" s="26"/>
      <c r="AH138" s="26"/>
      <c r="AI138" s="26"/>
      <c r="AJ138" s="26"/>
      <c r="AK138" s="26"/>
      <c r="AL138" s="26"/>
      <c r="AM138" s="26"/>
      <c r="AN138" s="26"/>
      <c r="AO138" s="26"/>
      <c r="AP138" s="26"/>
      <c r="AQ138" s="26"/>
      <c r="AR138" s="26"/>
      <c r="AS138" s="26"/>
      <c r="AT138" s="26"/>
      <c r="AU138" s="26"/>
      <c r="AV138" s="26"/>
      <c r="AW138" s="26"/>
      <c r="AX138" s="26"/>
      <c r="AY138" s="26"/>
      <c r="AZ138" s="26"/>
      <c r="BA138" s="26"/>
      <c r="BB138" s="26"/>
      <c r="BC138" s="26"/>
    </row>
    <row r="139" spans="1:55" x14ac:dyDescent="0.3">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c r="AA139" s="26"/>
      <c r="AB139" s="26"/>
      <c r="AC139" s="26"/>
      <c r="AD139" s="26"/>
      <c r="AE139" s="26"/>
      <c r="AF139" s="26"/>
      <c r="AG139" s="26"/>
      <c r="AH139" s="26"/>
      <c r="AI139" s="26"/>
      <c r="AJ139" s="26"/>
      <c r="AK139" s="26"/>
      <c r="AL139" s="26"/>
      <c r="AM139" s="26"/>
      <c r="AN139" s="26"/>
      <c r="AO139" s="26"/>
      <c r="AP139" s="26"/>
      <c r="AQ139" s="26"/>
      <c r="AR139" s="26"/>
      <c r="AS139" s="26"/>
      <c r="AT139" s="26"/>
      <c r="AU139" s="26"/>
      <c r="AV139" s="26"/>
      <c r="AW139" s="26"/>
      <c r="AX139" s="26"/>
      <c r="AY139" s="26"/>
      <c r="AZ139" s="26"/>
      <c r="BA139" s="26"/>
      <c r="BB139" s="26"/>
      <c r="BC139" s="26"/>
    </row>
    <row r="140" spans="1:55" x14ac:dyDescent="0.3">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c r="AA140" s="26"/>
      <c r="AB140" s="26"/>
      <c r="AC140" s="26"/>
      <c r="AD140" s="26"/>
      <c r="AE140" s="26"/>
      <c r="AF140" s="26"/>
      <c r="AG140" s="26"/>
      <c r="AH140" s="26"/>
      <c r="AI140" s="26"/>
      <c r="AJ140" s="26"/>
      <c r="AK140" s="26"/>
      <c r="AL140" s="26"/>
      <c r="AM140" s="26"/>
      <c r="AN140" s="26"/>
      <c r="AO140" s="26"/>
      <c r="AP140" s="26"/>
      <c r="AQ140" s="26"/>
      <c r="AR140" s="26"/>
      <c r="AS140" s="26"/>
      <c r="AT140" s="26"/>
      <c r="AU140" s="26"/>
      <c r="AV140" s="26"/>
      <c r="AW140" s="26"/>
      <c r="AX140" s="26"/>
      <c r="AY140" s="26"/>
      <c r="AZ140" s="26"/>
      <c r="BA140" s="26"/>
      <c r="BB140" s="26"/>
      <c r="BC140" s="26"/>
    </row>
    <row r="141" spans="1:55" x14ac:dyDescent="0.3">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c r="AA141" s="26"/>
      <c r="AB141" s="26"/>
      <c r="AC141" s="26"/>
      <c r="AD141" s="26"/>
      <c r="AE141" s="26"/>
      <c r="AF141" s="26"/>
      <c r="AG141" s="26"/>
      <c r="AH141" s="26"/>
      <c r="AI141" s="26"/>
      <c r="AJ141" s="26"/>
      <c r="AK141" s="26"/>
      <c r="AL141" s="26"/>
      <c r="AM141" s="26"/>
      <c r="AN141" s="26"/>
      <c r="AO141" s="26"/>
      <c r="AP141" s="26"/>
      <c r="AQ141" s="26"/>
      <c r="AR141" s="26"/>
      <c r="AS141" s="26"/>
      <c r="AT141" s="26"/>
      <c r="AU141" s="26"/>
      <c r="AV141" s="26"/>
      <c r="AW141" s="26"/>
      <c r="AX141" s="26"/>
      <c r="AY141" s="26"/>
      <c r="AZ141" s="26"/>
      <c r="BA141" s="26"/>
      <c r="BB141" s="26"/>
      <c r="BC141" s="26"/>
    </row>
    <row r="142" spans="1:55" x14ac:dyDescent="0.3">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c r="AA142" s="26"/>
      <c r="AB142" s="26"/>
      <c r="AC142" s="26"/>
      <c r="AD142" s="26"/>
      <c r="AE142" s="26"/>
      <c r="AF142" s="26"/>
      <c r="AG142" s="26"/>
      <c r="AH142" s="26"/>
      <c r="AI142" s="26"/>
      <c r="AJ142" s="26"/>
      <c r="AK142" s="26"/>
      <c r="AL142" s="26"/>
      <c r="AM142" s="26"/>
      <c r="AN142" s="26"/>
      <c r="AO142" s="26"/>
      <c r="AP142" s="26"/>
      <c r="AQ142" s="26"/>
      <c r="AR142" s="26"/>
      <c r="AS142" s="26"/>
      <c r="AT142" s="26"/>
      <c r="AU142" s="26"/>
      <c r="AV142" s="26"/>
      <c r="AW142" s="26"/>
      <c r="AX142" s="26"/>
      <c r="AY142" s="26"/>
      <c r="AZ142" s="26"/>
      <c r="BA142" s="26"/>
      <c r="BB142" s="26"/>
      <c r="BC142" s="26"/>
    </row>
    <row r="143" spans="1:55" x14ac:dyDescent="0.3">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c r="AA143" s="26"/>
      <c r="AB143" s="26"/>
      <c r="AC143" s="26"/>
      <c r="AD143" s="26"/>
      <c r="AE143" s="26"/>
      <c r="AF143" s="26"/>
      <c r="AG143" s="26"/>
      <c r="AH143" s="26"/>
      <c r="AI143" s="26"/>
      <c r="AJ143" s="26"/>
      <c r="AK143" s="26"/>
      <c r="AL143" s="26"/>
      <c r="AM143" s="26"/>
      <c r="AN143" s="26"/>
      <c r="AO143" s="26"/>
      <c r="AP143" s="26"/>
      <c r="AQ143" s="26"/>
      <c r="AR143" s="26"/>
      <c r="AS143" s="26"/>
      <c r="AT143" s="26"/>
      <c r="AU143" s="26"/>
      <c r="AV143" s="26"/>
      <c r="AW143" s="26"/>
      <c r="AX143" s="26"/>
      <c r="AY143" s="26"/>
      <c r="AZ143" s="26"/>
      <c r="BA143" s="26"/>
      <c r="BB143" s="26"/>
      <c r="BC143" s="26"/>
    </row>
    <row r="144" spans="1:55" x14ac:dyDescent="0.3">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c r="AA144" s="26"/>
      <c r="AB144" s="26"/>
      <c r="AC144" s="26"/>
      <c r="AD144" s="26"/>
      <c r="AE144" s="26"/>
      <c r="AF144" s="26"/>
      <c r="AG144" s="26"/>
      <c r="AH144" s="26"/>
      <c r="AI144" s="26"/>
      <c r="AJ144" s="26"/>
      <c r="AK144" s="26"/>
      <c r="AL144" s="26"/>
      <c r="AM144" s="26"/>
      <c r="AN144" s="26"/>
      <c r="AO144" s="26"/>
      <c r="AP144" s="26"/>
      <c r="AQ144" s="26"/>
      <c r="AR144" s="26"/>
      <c r="AS144" s="26"/>
      <c r="AT144" s="26"/>
      <c r="AU144" s="26"/>
      <c r="AV144" s="26"/>
      <c r="AW144" s="26"/>
      <c r="AX144" s="26"/>
      <c r="AY144" s="26"/>
      <c r="AZ144" s="26"/>
      <c r="BA144" s="26"/>
      <c r="BB144" s="26"/>
      <c r="BC144" s="26"/>
    </row>
    <row r="145" spans="1:55" x14ac:dyDescent="0.3">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c r="AA145" s="26"/>
      <c r="AB145" s="26"/>
      <c r="AC145" s="26"/>
      <c r="AD145" s="26"/>
      <c r="AE145" s="26"/>
      <c r="AF145" s="26"/>
      <c r="AG145" s="26"/>
      <c r="AH145" s="26"/>
      <c r="AI145" s="26"/>
      <c r="AJ145" s="26"/>
      <c r="AK145" s="26"/>
      <c r="AL145" s="26"/>
      <c r="AM145" s="26"/>
      <c r="AN145" s="26"/>
      <c r="AO145" s="26"/>
      <c r="AP145" s="26"/>
      <c r="AQ145" s="26"/>
      <c r="AR145" s="26"/>
      <c r="AS145" s="26"/>
      <c r="AT145" s="26"/>
      <c r="AU145" s="26"/>
      <c r="AV145" s="26"/>
      <c r="AW145" s="26"/>
      <c r="AX145" s="26"/>
      <c r="AY145" s="26"/>
      <c r="AZ145" s="26"/>
      <c r="BA145" s="26"/>
      <c r="BB145" s="26"/>
      <c r="BC145" s="26"/>
    </row>
    <row r="146" spans="1:55" x14ac:dyDescent="0.3">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c r="AA146" s="26"/>
      <c r="AB146" s="26"/>
      <c r="AC146" s="26"/>
      <c r="AD146" s="26"/>
      <c r="AE146" s="26"/>
      <c r="AF146" s="26"/>
      <c r="AG146" s="26"/>
      <c r="AH146" s="26"/>
      <c r="AI146" s="26"/>
      <c r="AJ146" s="26"/>
      <c r="AK146" s="26"/>
      <c r="AL146" s="26"/>
      <c r="AM146" s="26"/>
      <c r="AN146" s="26"/>
      <c r="AO146" s="26"/>
      <c r="AP146" s="26"/>
      <c r="AQ146" s="26"/>
      <c r="AR146" s="26"/>
      <c r="AS146" s="26"/>
      <c r="AT146" s="26"/>
      <c r="AU146" s="26"/>
      <c r="AV146" s="26"/>
      <c r="AW146" s="26"/>
      <c r="AX146" s="26"/>
      <c r="AY146" s="26"/>
      <c r="AZ146" s="26"/>
      <c r="BA146" s="26"/>
      <c r="BB146" s="26"/>
      <c r="BC146" s="26"/>
    </row>
    <row r="147" spans="1:55" x14ac:dyDescent="0.3">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c r="AA147" s="26"/>
      <c r="AB147" s="26"/>
      <c r="AC147" s="26"/>
      <c r="AD147" s="26"/>
      <c r="AE147" s="26"/>
      <c r="AF147" s="26"/>
      <c r="AG147" s="26"/>
      <c r="AH147" s="26"/>
      <c r="AI147" s="26"/>
      <c r="AJ147" s="26"/>
      <c r="AK147" s="26"/>
      <c r="AL147" s="26"/>
      <c r="AM147" s="26"/>
      <c r="AN147" s="26"/>
      <c r="AO147" s="26"/>
      <c r="AP147" s="26"/>
      <c r="AQ147" s="26"/>
      <c r="AR147" s="26"/>
      <c r="AS147" s="26"/>
      <c r="AT147" s="26"/>
      <c r="AU147" s="26"/>
      <c r="AV147" s="26"/>
      <c r="AW147" s="26"/>
      <c r="AX147" s="26"/>
      <c r="AY147" s="26"/>
      <c r="AZ147" s="26"/>
      <c r="BA147" s="26"/>
      <c r="BB147" s="26"/>
      <c r="BC147" s="26"/>
    </row>
    <row r="148" spans="1:55" x14ac:dyDescent="0.3">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c r="AA148" s="26"/>
      <c r="AB148" s="26"/>
      <c r="AC148" s="26"/>
      <c r="AD148" s="26"/>
      <c r="AE148" s="26"/>
      <c r="AF148" s="26"/>
      <c r="AG148" s="26"/>
      <c r="AH148" s="26"/>
      <c r="AI148" s="26"/>
      <c r="AJ148" s="26"/>
      <c r="AK148" s="26"/>
      <c r="AL148" s="26"/>
      <c r="AM148" s="26"/>
      <c r="AN148" s="26"/>
      <c r="AO148" s="26"/>
      <c r="AP148" s="26"/>
      <c r="AQ148" s="26"/>
      <c r="AR148" s="26"/>
      <c r="AS148" s="26"/>
      <c r="AT148" s="26"/>
      <c r="AU148" s="26"/>
      <c r="AV148" s="26"/>
      <c r="AW148" s="26"/>
      <c r="AX148" s="26"/>
      <c r="AY148" s="26"/>
      <c r="AZ148" s="26"/>
      <c r="BA148" s="26"/>
      <c r="BB148" s="26"/>
      <c r="BC148" s="26"/>
    </row>
    <row r="149" spans="1:55" x14ac:dyDescent="0.3">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c r="AA149" s="26"/>
      <c r="AB149" s="26"/>
      <c r="AC149" s="26"/>
      <c r="AD149" s="26"/>
      <c r="AE149" s="26"/>
      <c r="AF149" s="26"/>
      <c r="AG149" s="26"/>
      <c r="AH149" s="26"/>
      <c r="AI149" s="26"/>
      <c r="AJ149" s="26"/>
      <c r="AK149" s="26"/>
      <c r="AL149" s="26"/>
      <c r="AM149" s="26"/>
      <c r="AN149" s="26"/>
      <c r="AO149" s="26"/>
      <c r="AP149" s="26"/>
      <c r="AQ149" s="26"/>
      <c r="AR149" s="26"/>
      <c r="AS149" s="26"/>
      <c r="AT149" s="26"/>
      <c r="AU149" s="26"/>
      <c r="AV149" s="26"/>
      <c r="AW149" s="26"/>
      <c r="AX149" s="26"/>
      <c r="AY149" s="26"/>
      <c r="AZ149" s="26"/>
      <c r="BA149" s="26"/>
      <c r="BB149" s="26"/>
      <c r="BC149" s="26"/>
    </row>
    <row r="150" spans="1:55" x14ac:dyDescent="0.3">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c r="AA150" s="26"/>
      <c r="AB150" s="26"/>
      <c r="AC150" s="26"/>
      <c r="AD150" s="26"/>
      <c r="AE150" s="26"/>
      <c r="AF150" s="26"/>
      <c r="AG150" s="26"/>
      <c r="AH150" s="26"/>
      <c r="AI150" s="26"/>
      <c r="AJ150" s="26"/>
      <c r="AK150" s="26"/>
      <c r="AL150" s="26"/>
      <c r="AM150" s="26"/>
      <c r="AN150" s="26"/>
      <c r="AO150" s="26"/>
      <c r="AP150" s="26"/>
      <c r="AQ150" s="26"/>
      <c r="AR150" s="26"/>
      <c r="AS150" s="26"/>
      <c r="AT150" s="26"/>
      <c r="AU150" s="26"/>
      <c r="AV150" s="26"/>
      <c r="AW150" s="26"/>
      <c r="AX150" s="26"/>
      <c r="AY150" s="26"/>
      <c r="AZ150" s="26"/>
      <c r="BA150" s="26"/>
      <c r="BB150" s="26"/>
      <c r="BC150" s="26"/>
    </row>
    <row r="151" spans="1:55" x14ac:dyDescent="0.3">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c r="AA151" s="26"/>
      <c r="AB151" s="26"/>
      <c r="AC151" s="26"/>
      <c r="AD151" s="26"/>
      <c r="AE151" s="26"/>
      <c r="AF151" s="26"/>
      <c r="AG151" s="26"/>
      <c r="AH151" s="26"/>
      <c r="AI151" s="26"/>
      <c r="AJ151" s="26"/>
      <c r="AK151" s="26"/>
      <c r="AL151" s="26"/>
      <c r="AM151" s="26"/>
      <c r="AN151" s="26"/>
      <c r="AO151" s="26"/>
      <c r="AP151" s="26"/>
      <c r="AQ151" s="26"/>
      <c r="AR151" s="26"/>
      <c r="AS151" s="26"/>
      <c r="AT151" s="26"/>
      <c r="AU151" s="26"/>
      <c r="AV151" s="26"/>
      <c r="AW151" s="26"/>
      <c r="AX151" s="26"/>
      <c r="AY151" s="26"/>
      <c r="AZ151" s="26"/>
      <c r="BA151" s="26"/>
      <c r="BB151" s="26"/>
      <c r="BC151" s="26"/>
    </row>
    <row r="152" spans="1:55" x14ac:dyDescent="0.3">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c r="AA152" s="26"/>
      <c r="AB152" s="26"/>
      <c r="AC152" s="26"/>
      <c r="AD152" s="26"/>
      <c r="AE152" s="26"/>
      <c r="AF152" s="26"/>
      <c r="AG152" s="26"/>
      <c r="AH152" s="26"/>
      <c r="AI152" s="26"/>
      <c r="AJ152" s="26"/>
      <c r="AK152" s="26"/>
      <c r="AL152" s="26"/>
      <c r="AM152" s="26"/>
      <c r="AN152" s="26"/>
      <c r="AO152" s="26"/>
      <c r="AP152" s="26"/>
      <c r="AQ152" s="26"/>
      <c r="AR152" s="26"/>
      <c r="AS152" s="26"/>
      <c r="AT152" s="26"/>
      <c r="AU152" s="26"/>
      <c r="AV152" s="26"/>
      <c r="AW152" s="26"/>
      <c r="AX152" s="26"/>
      <c r="AY152" s="26"/>
      <c r="AZ152" s="26"/>
      <c r="BA152" s="26"/>
      <c r="BB152" s="26"/>
      <c r="BC152" s="26"/>
    </row>
    <row r="153" spans="1:55" x14ac:dyDescent="0.3">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c r="AA153" s="26"/>
      <c r="AB153" s="26"/>
      <c r="AC153" s="26"/>
      <c r="AD153" s="26"/>
      <c r="AE153" s="26"/>
      <c r="AF153" s="26"/>
      <c r="AG153" s="26"/>
      <c r="AH153" s="26"/>
      <c r="AI153" s="26"/>
      <c r="AJ153" s="26"/>
      <c r="AK153" s="26"/>
      <c r="AL153" s="26"/>
      <c r="AM153" s="26"/>
      <c r="AN153" s="26"/>
      <c r="AO153" s="26"/>
      <c r="AP153" s="26"/>
      <c r="AQ153" s="26"/>
      <c r="AR153" s="26"/>
      <c r="AS153" s="26"/>
      <c r="AT153" s="26"/>
      <c r="AU153" s="26"/>
      <c r="AV153" s="26"/>
      <c r="AW153" s="26"/>
      <c r="AX153" s="26"/>
      <c r="AY153" s="26"/>
      <c r="AZ153" s="26"/>
      <c r="BA153" s="26"/>
      <c r="BB153" s="26"/>
      <c r="BC153" s="26"/>
    </row>
    <row r="154" spans="1:55" x14ac:dyDescent="0.3">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c r="AA154" s="26"/>
      <c r="AB154" s="26"/>
      <c r="AC154" s="26"/>
      <c r="AD154" s="26"/>
      <c r="AE154" s="26"/>
      <c r="AF154" s="26"/>
      <c r="AG154" s="26"/>
      <c r="AH154" s="26"/>
      <c r="AI154" s="26"/>
      <c r="AJ154" s="26"/>
      <c r="AK154" s="26"/>
      <c r="AL154" s="26"/>
      <c r="AM154" s="26"/>
      <c r="AN154" s="26"/>
      <c r="AO154" s="26"/>
      <c r="AP154" s="26"/>
      <c r="AQ154" s="26"/>
      <c r="AR154" s="26"/>
      <c r="AS154" s="26"/>
      <c r="AT154" s="26"/>
      <c r="AU154" s="26"/>
      <c r="AV154" s="26"/>
      <c r="AW154" s="26"/>
      <c r="AX154" s="26"/>
      <c r="AY154" s="26"/>
      <c r="AZ154" s="26"/>
      <c r="BA154" s="26"/>
      <c r="BB154" s="26"/>
      <c r="BC154" s="26"/>
    </row>
    <row r="155" spans="1:55" x14ac:dyDescent="0.3">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c r="AA155" s="26"/>
      <c r="AB155" s="26"/>
      <c r="AC155" s="26"/>
      <c r="AD155" s="26"/>
      <c r="AE155" s="26"/>
      <c r="AF155" s="26"/>
      <c r="AG155" s="26"/>
      <c r="AH155" s="26"/>
      <c r="AI155" s="26"/>
      <c r="AJ155" s="26"/>
      <c r="AK155" s="26"/>
      <c r="AL155" s="26"/>
      <c r="AM155" s="26"/>
      <c r="AN155" s="26"/>
      <c r="AO155" s="26"/>
      <c r="AP155" s="26"/>
      <c r="AQ155" s="26"/>
      <c r="AR155" s="26"/>
      <c r="AS155" s="26"/>
      <c r="AT155" s="26"/>
      <c r="AU155" s="26"/>
      <c r="AV155" s="26"/>
      <c r="AW155" s="26"/>
      <c r="AX155" s="26"/>
      <c r="AY155" s="26"/>
      <c r="AZ155" s="26"/>
      <c r="BA155" s="26"/>
      <c r="BB155" s="26"/>
      <c r="BC155" s="26"/>
    </row>
    <row r="156" spans="1:55" x14ac:dyDescent="0.3">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c r="AA156" s="26"/>
      <c r="AB156" s="26"/>
      <c r="AC156" s="26"/>
      <c r="AD156" s="26"/>
      <c r="AE156" s="26"/>
      <c r="AF156" s="26"/>
      <c r="AG156" s="26"/>
      <c r="AH156" s="26"/>
      <c r="AI156" s="26"/>
      <c r="AJ156" s="26"/>
      <c r="AK156" s="26"/>
      <c r="AL156" s="26"/>
      <c r="AM156" s="26"/>
      <c r="AN156" s="26"/>
      <c r="AO156" s="26"/>
      <c r="AP156" s="26"/>
      <c r="AQ156" s="26"/>
      <c r="AR156" s="26"/>
      <c r="AS156" s="26"/>
      <c r="AT156" s="26"/>
      <c r="AU156" s="26"/>
      <c r="AV156" s="26"/>
      <c r="AW156" s="26"/>
      <c r="AX156" s="26"/>
      <c r="AY156" s="26"/>
      <c r="AZ156" s="26"/>
      <c r="BA156" s="26"/>
      <c r="BB156" s="26"/>
      <c r="BC156" s="26"/>
    </row>
    <row r="157" spans="1:55" x14ac:dyDescent="0.3">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c r="AA157" s="26"/>
      <c r="AB157" s="26"/>
      <c r="AC157" s="26"/>
      <c r="AD157" s="26"/>
      <c r="AE157" s="26"/>
      <c r="AF157" s="26"/>
      <c r="AG157" s="26"/>
      <c r="AH157" s="26"/>
      <c r="AI157" s="26"/>
      <c r="AJ157" s="26"/>
      <c r="AK157" s="26"/>
      <c r="AL157" s="26"/>
      <c r="AM157" s="26"/>
      <c r="AN157" s="26"/>
      <c r="AO157" s="26"/>
      <c r="AP157" s="26"/>
      <c r="AQ157" s="26"/>
      <c r="AR157" s="26"/>
      <c r="AS157" s="26"/>
      <c r="AT157" s="26"/>
      <c r="AU157" s="26"/>
      <c r="AV157" s="26"/>
      <c r="AW157" s="26"/>
      <c r="AX157" s="26"/>
      <c r="AY157" s="26"/>
      <c r="AZ157" s="26"/>
      <c r="BA157" s="26"/>
      <c r="BB157" s="26"/>
      <c r="BC157" s="26"/>
    </row>
    <row r="158" spans="1:55" x14ac:dyDescent="0.3">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c r="AA158" s="26"/>
      <c r="AB158" s="26"/>
      <c r="AC158" s="26"/>
      <c r="AD158" s="26"/>
      <c r="AE158" s="26"/>
      <c r="AF158" s="26"/>
      <c r="AG158" s="26"/>
      <c r="AH158" s="26"/>
      <c r="AI158" s="26"/>
      <c r="AJ158" s="26"/>
      <c r="AK158" s="26"/>
      <c r="AL158" s="26"/>
      <c r="AM158" s="26"/>
      <c r="AN158" s="26"/>
      <c r="AO158" s="26"/>
      <c r="AP158" s="26"/>
      <c r="AQ158" s="26"/>
      <c r="AR158" s="26"/>
      <c r="AS158" s="26"/>
      <c r="AT158" s="26"/>
      <c r="AU158" s="26"/>
      <c r="AV158" s="26"/>
      <c r="AW158" s="26"/>
      <c r="AX158" s="26"/>
      <c r="AY158" s="26"/>
      <c r="AZ158" s="26"/>
      <c r="BA158" s="26"/>
      <c r="BB158" s="26"/>
      <c r="BC158" s="26"/>
    </row>
    <row r="159" spans="1:55" x14ac:dyDescent="0.3">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c r="AA159" s="26"/>
      <c r="AB159" s="26"/>
      <c r="AC159" s="26"/>
      <c r="AD159" s="26"/>
      <c r="AE159" s="26"/>
      <c r="AF159" s="26"/>
      <c r="AG159" s="26"/>
      <c r="AH159" s="26"/>
      <c r="AI159" s="26"/>
      <c r="AJ159" s="26"/>
      <c r="AK159" s="26"/>
      <c r="AL159" s="26"/>
      <c r="AM159" s="26"/>
      <c r="AN159" s="26"/>
      <c r="AO159" s="26"/>
      <c r="AP159" s="26"/>
      <c r="AQ159" s="26"/>
      <c r="AR159" s="26"/>
      <c r="AS159" s="26"/>
      <c r="AT159" s="26"/>
      <c r="AU159" s="26"/>
      <c r="AV159" s="26"/>
      <c r="AW159" s="26"/>
      <c r="AX159" s="26"/>
      <c r="AY159" s="26"/>
      <c r="AZ159" s="26"/>
      <c r="BA159" s="26"/>
      <c r="BB159" s="26"/>
      <c r="BC159" s="26"/>
    </row>
    <row r="160" spans="1:55" x14ac:dyDescent="0.3">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c r="AA160" s="26"/>
      <c r="AB160" s="26"/>
      <c r="AC160" s="26"/>
      <c r="AD160" s="26"/>
      <c r="AE160" s="26"/>
      <c r="AF160" s="26"/>
      <c r="AG160" s="26"/>
      <c r="AH160" s="26"/>
      <c r="AI160" s="26"/>
      <c r="AJ160" s="26"/>
      <c r="AK160" s="26"/>
      <c r="AL160" s="26"/>
      <c r="AM160" s="26"/>
      <c r="AN160" s="26"/>
      <c r="AO160" s="26"/>
      <c r="AP160" s="26"/>
      <c r="AQ160" s="26"/>
      <c r="AR160" s="26"/>
      <c r="AS160" s="26"/>
      <c r="AT160" s="26"/>
      <c r="AU160" s="26"/>
      <c r="AV160" s="26"/>
      <c r="AW160" s="26"/>
      <c r="AX160" s="26"/>
      <c r="AY160" s="26"/>
      <c r="AZ160" s="26"/>
      <c r="BA160" s="26"/>
      <c r="BB160" s="26"/>
      <c r="BC160" s="26"/>
    </row>
    <row r="161" spans="1:55" x14ac:dyDescent="0.3">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c r="AA161" s="26"/>
      <c r="AB161" s="26"/>
      <c r="AC161" s="26"/>
      <c r="AD161" s="26"/>
      <c r="AE161" s="26"/>
      <c r="AF161" s="26"/>
      <c r="AG161" s="26"/>
      <c r="AH161" s="26"/>
      <c r="AI161" s="26"/>
      <c r="AJ161" s="26"/>
      <c r="AK161" s="26"/>
      <c r="AL161" s="26"/>
      <c r="AM161" s="26"/>
      <c r="AN161" s="26"/>
      <c r="AO161" s="26"/>
      <c r="AP161" s="26"/>
      <c r="AQ161" s="26"/>
      <c r="AR161" s="26"/>
      <c r="AS161" s="26"/>
      <c r="AT161" s="26"/>
      <c r="AU161" s="26"/>
      <c r="AV161" s="26"/>
      <c r="AW161" s="26"/>
      <c r="AX161" s="26"/>
      <c r="AY161" s="26"/>
      <c r="AZ161" s="26"/>
      <c r="BA161" s="26"/>
      <c r="BB161" s="26"/>
      <c r="BC161" s="26"/>
    </row>
    <row r="162" spans="1:55" x14ac:dyDescent="0.3">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c r="AA162" s="26"/>
      <c r="AB162" s="26"/>
      <c r="AC162" s="26"/>
      <c r="AD162" s="26"/>
      <c r="AE162" s="26"/>
      <c r="AF162" s="26"/>
      <c r="AG162" s="26"/>
      <c r="AH162" s="26"/>
      <c r="AI162" s="26"/>
      <c r="AJ162" s="26"/>
      <c r="AK162" s="26"/>
      <c r="AL162" s="26"/>
      <c r="AM162" s="26"/>
      <c r="AN162" s="26"/>
      <c r="AO162" s="26"/>
      <c r="AP162" s="26"/>
      <c r="AQ162" s="26"/>
      <c r="AR162" s="26"/>
      <c r="AS162" s="26"/>
      <c r="AT162" s="26"/>
      <c r="AU162" s="26"/>
      <c r="AV162" s="26"/>
      <c r="AW162" s="26"/>
      <c r="AX162" s="26"/>
      <c r="AY162" s="26"/>
      <c r="AZ162" s="26"/>
      <c r="BA162" s="26"/>
      <c r="BB162" s="26"/>
      <c r="BC162" s="26"/>
    </row>
    <row r="163" spans="1:55" x14ac:dyDescent="0.3">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c r="AA163" s="26"/>
      <c r="AB163" s="26"/>
      <c r="AC163" s="26"/>
      <c r="AD163" s="26"/>
      <c r="AE163" s="26"/>
      <c r="AF163" s="26"/>
      <c r="AG163" s="26"/>
      <c r="AH163" s="26"/>
      <c r="AI163" s="26"/>
      <c r="AJ163" s="26"/>
      <c r="AK163" s="26"/>
      <c r="AL163" s="26"/>
      <c r="AM163" s="26"/>
      <c r="AN163" s="26"/>
      <c r="AO163" s="26"/>
      <c r="AP163" s="26"/>
      <c r="AQ163" s="26"/>
      <c r="AR163" s="26"/>
      <c r="AS163" s="26"/>
      <c r="AT163" s="26"/>
      <c r="AU163" s="26"/>
      <c r="AV163" s="26"/>
      <c r="AW163" s="26"/>
      <c r="AX163" s="26"/>
      <c r="AY163" s="26"/>
      <c r="AZ163" s="26"/>
      <c r="BA163" s="26"/>
      <c r="BB163" s="26"/>
      <c r="BC163" s="26"/>
    </row>
    <row r="164" spans="1:55" x14ac:dyDescent="0.3">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c r="AA164" s="26"/>
      <c r="AB164" s="26"/>
      <c r="AC164" s="26"/>
      <c r="AD164" s="26"/>
      <c r="AE164" s="26"/>
      <c r="AF164" s="26"/>
      <c r="AG164" s="26"/>
      <c r="AH164" s="26"/>
      <c r="AI164" s="26"/>
      <c r="AJ164" s="26"/>
      <c r="AK164" s="26"/>
      <c r="AL164" s="26"/>
      <c r="AM164" s="26"/>
      <c r="AN164" s="26"/>
      <c r="AO164" s="26"/>
      <c r="AP164" s="26"/>
      <c r="AQ164" s="26"/>
      <c r="AR164" s="26"/>
      <c r="AS164" s="26"/>
      <c r="AT164" s="26"/>
      <c r="AU164" s="26"/>
      <c r="AV164" s="26"/>
      <c r="AW164" s="26"/>
      <c r="AX164" s="26"/>
      <c r="AY164" s="26"/>
      <c r="AZ164" s="26"/>
      <c r="BA164" s="26"/>
      <c r="BB164" s="26"/>
      <c r="BC164" s="26"/>
    </row>
    <row r="165" spans="1:55" x14ac:dyDescent="0.3">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c r="AA165" s="26"/>
      <c r="AB165" s="26"/>
      <c r="AC165" s="26"/>
      <c r="AD165" s="26"/>
      <c r="AE165" s="26"/>
      <c r="AF165" s="26"/>
      <c r="AG165" s="26"/>
      <c r="AH165" s="26"/>
      <c r="AI165" s="26"/>
      <c r="AJ165" s="26"/>
      <c r="AK165" s="26"/>
      <c r="AL165" s="26"/>
      <c r="AM165" s="26"/>
      <c r="AN165" s="26"/>
      <c r="AO165" s="26"/>
      <c r="AP165" s="26"/>
      <c r="AQ165" s="26"/>
      <c r="AR165" s="26"/>
      <c r="AS165" s="26"/>
      <c r="AT165" s="26"/>
      <c r="AU165" s="26"/>
      <c r="AV165" s="26"/>
      <c r="AW165" s="26"/>
      <c r="AX165" s="26"/>
      <c r="AY165" s="26"/>
      <c r="AZ165" s="26"/>
      <c r="BA165" s="26"/>
      <c r="BB165" s="26"/>
      <c r="BC165" s="26"/>
    </row>
    <row r="166" spans="1:55" x14ac:dyDescent="0.3">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c r="AA166" s="26"/>
      <c r="AB166" s="26"/>
      <c r="AC166" s="26"/>
      <c r="AD166" s="26"/>
      <c r="AE166" s="26"/>
      <c r="AF166" s="26"/>
      <c r="AG166" s="26"/>
      <c r="AH166" s="26"/>
      <c r="AI166" s="26"/>
      <c r="AJ166" s="26"/>
      <c r="AK166" s="26"/>
      <c r="AL166" s="26"/>
      <c r="AM166" s="26"/>
      <c r="AN166" s="26"/>
      <c r="AO166" s="26"/>
      <c r="AP166" s="26"/>
      <c r="AQ166" s="26"/>
      <c r="AR166" s="26"/>
      <c r="AS166" s="26"/>
      <c r="AT166" s="26"/>
      <c r="AU166" s="26"/>
      <c r="AV166" s="26"/>
      <c r="AW166" s="26"/>
      <c r="AX166" s="26"/>
      <c r="AY166" s="26"/>
      <c r="AZ166" s="26"/>
      <c r="BA166" s="26"/>
      <c r="BB166" s="26"/>
      <c r="BC166" s="26"/>
    </row>
    <row r="167" spans="1:55" x14ac:dyDescent="0.3">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c r="AA167" s="26"/>
      <c r="AB167" s="26"/>
      <c r="AC167" s="26"/>
      <c r="AD167" s="26"/>
      <c r="AE167" s="26"/>
      <c r="AF167" s="26"/>
      <c r="AG167" s="26"/>
      <c r="AH167" s="26"/>
      <c r="AI167" s="26"/>
      <c r="AJ167" s="26"/>
      <c r="AK167" s="26"/>
      <c r="AL167" s="26"/>
      <c r="AM167" s="26"/>
      <c r="AN167" s="26"/>
      <c r="AO167" s="26"/>
      <c r="AP167" s="26"/>
      <c r="AQ167" s="26"/>
      <c r="AR167" s="26"/>
      <c r="AS167" s="26"/>
      <c r="AT167" s="26"/>
      <c r="AU167" s="26"/>
      <c r="AV167" s="26"/>
      <c r="AW167" s="26"/>
      <c r="AX167" s="26"/>
      <c r="AY167" s="26"/>
      <c r="AZ167" s="26"/>
      <c r="BA167" s="26"/>
      <c r="BB167" s="26"/>
      <c r="BC167" s="26"/>
    </row>
    <row r="168" spans="1:55" x14ac:dyDescent="0.3">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c r="AA168" s="26"/>
      <c r="AB168" s="26"/>
      <c r="AC168" s="26"/>
      <c r="AD168" s="26"/>
      <c r="AE168" s="26"/>
      <c r="AF168" s="26"/>
      <c r="AG168" s="26"/>
      <c r="AH168" s="26"/>
      <c r="AI168" s="26"/>
      <c r="AJ168" s="26"/>
      <c r="AK168" s="26"/>
      <c r="AL168" s="26"/>
      <c r="AM168" s="26"/>
      <c r="AN168" s="26"/>
      <c r="AO168" s="26"/>
      <c r="AP168" s="26"/>
      <c r="AQ168" s="26"/>
      <c r="AR168" s="26"/>
      <c r="AS168" s="26"/>
      <c r="AT168" s="26"/>
      <c r="AU168" s="26"/>
      <c r="AV168" s="26"/>
      <c r="AW168" s="26"/>
      <c r="AX168" s="26"/>
      <c r="AY168" s="26"/>
      <c r="AZ168" s="26"/>
      <c r="BA168" s="26"/>
      <c r="BB168" s="26"/>
      <c r="BC168" s="26"/>
    </row>
    <row r="169" spans="1:55" x14ac:dyDescent="0.3">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c r="AA169" s="26"/>
      <c r="AB169" s="26"/>
      <c r="AC169" s="26"/>
      <c r="AD169" s="26"/>
      <c r="AE169" s="26"/>
      <c r="AF169" s="26"/>
      <c r="AG169" s="26"/>
      <c r="AH169" s="26"/>
      <c r="AI169" s="26"/>
      <c r="AJ169" s="26"/>
      <c r="AK169" s="26"/>
      <c r="AL169" s="26"/>
      <c r="AM169" s="26"/>
      <c r="AN169" s="26"/>
      <c r="AO169" s="26"/>
      <c r="AP169" s="26"/>
      <c r="AQ169" s="26"/>
      <c r="AR169" s="26"/>
      <c r="AS169" s="26"/>
      <c r="AT169" s="26"/>
      <c r="AU169" s="26"/>
      <c r="AV169" s="26"/>
      <c r="AW169" s="26"/>
      <c r="AX169" s="26"/>
      <c r="AY169" s="26"/>
      <c r="AZ169" s="26"/>
      <c r="BA169" s="26"/>
      <c r="BB169" s="26"/>
      <c r="BC169" s="26"/>
    </row>
    <row r="170" spans="1:55" x14ac:dyDescent="0.3">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c r="AA170" s="26"/>
      <c r="AB170" s="26"/>
      <c r="AC170" s="26"/>
      <c r="AD170" s="26"/>
      <c r="AE170" s="26"/>
      <c r="AF170" s="26"/>
      <c r="AG170" s="26"/>
      <c r="AH170" s="26"/>
      <c r="AI170" s="26"/>
      <c r="AJ170" s="26"/>
      <c r="AK170" s="26"/>
      <c r="AL170" s="26"/>
      <c r="AM170" s="26"/>
      <c r="AN170" s="26"/>
      <c r="AO170" s="26"/>
      <c r="AP170" s="26"/>
      <c r="AQ170" s="26"/>
      <c r="AR170" s="26"/>
      <c r="AS170" s="26"/>
      <c r="AT170" s="26"/>
      <c r="AU170" s="26"/>
      <c r="AV170" s="26"/>
      <c r="AW170" s="26"/>
      <c r="AX170" s="26"/>
      <c r="AY170" s="26"/>
      <c r="AZ170" s="26"/>
      <c r="BA170" s="26"/>
      <c r="BB170" s="26"/>
      <c r="BC170" s="26"/>
    </row>
    <row r="171" spans="1:55" x14ac:dyDescent="0.3">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c r="AA171" s="26"/>
      <c r="AB171" s="26"/>
      <c r="AC171" s="26"/>
      <c r="AD171" s="26"/>
      <c r="AE171" s="26"/>
      <c r="AF171" s="26"/>
      <c r="AG171" s="26"/>
      <c r="AH171" s="26"/>
      <c r="AI171" s="26"/>
      <c r="AJ171" s="26"/>
      <c r="AK171" s="26"/>
      <c r="AL171" s="26"/>
      <c r="AM171" s="26"/>
      <c r="AN171" s="26"/>
      <c r="AO171" s="26"/>
      <c r="AP171" s="26"/>
      <c r="AQ171" s="26"/>
      <c r="AR171" s="26"/>
      <c r="AS171" s="26"/>
      <c r="AT171" s="26"/>
      <c r="AU171" s="26"/>
      <c r="AV171" s="26"/>
      <c r="AW171" s="26"/>
      <c r="AX171" s="26"/>
      <c r="AY171" s="26"/>
      <c r="AZ171" s="26"/>
      <c r="BA171" s="26"/>
      <c r="BB171" s="26"/>
      <c r="BC171" s="26"/>
    </row>
    <row r="172" spans="1:55" x14ac:dyDescent="0.3">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c r="AA172" s="26"/>
      <c r="AB172" s="26"/>
      <c r="AC172" s="26"/>
      <c r="AD172" s="26"/>
      <c r="AE172" s="26"/>
      <c r="AF172" s="26"/>
      <c r="AG172" s="26"/>
      <c r="AH172" s="26"/>
      <c r="AI172" s="26"/>
      <c r="AJ172" s="26"/>
      <c r="AK172" s="26"/>
      <c r="AL172" s="26"/>
      <c r="AM172" s="26"/>
      <c r="AN172" s="26"/>
      <c r="AO172" s="26"/>
      <c r="AP172" s="26"/>
      <c r="AQ172" s="26"/>
      <c r="AR172" s="26"/>
      <c r="AS172" s="26"/>
      <c r="AT172" s="26"/>
      <c r="AU172" s="26"/>
      <c r="AV172" s="26"/>
      <c r="AW172" s="26"/>
      <c r="AX172" s="26"/>
      <c r="AY172" s="26"/>
      <c r="AZ172" s="26"/>
      <c r="BA172" s="26"/>
      <c r="BB172" s="26"/>
      <c r="BC172" s="26"/>
    </row>
    <row r="173" spans="1:55" x14ac:dyDescent="0.3">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c r="AA173" s="26"/>
      <c r="AB173" s="26"/>
      <c r="AC173" s="26"/>
      <c r="AD173" s="26"/>
      <c r="AE173" s="26"/>
      <c r="AF173" s="26"/>
      <c r="AG173" s="26"/>
      <c r="AH173" s="26"/>
      <c r="AI173" s="26"/>
      <c r="AJ173" s="26"/>
      <c r="AK173" s="26"/>
      <c r="AL173" s="26"/>
      <c r="AM173" s="26"/>
      <c r="AN173" s="26"/>
      <c r="AO173" s="26"/>
      <c r="AP173" s="26"/>
      <c r="AQ173" s="26"/>
      <c r="AR173" s="26"/>
      <c r="AS173" s="26"/>
      <c r="AT173" s="26"/>
      <c r="AU173" s="26"/>
      <c r="AV173" s="26"/>
      <c r="AW173" s="26"/>
      <c r="AX173" s="26"/>
      <c r="AY173" s="26"/>
      <c r="AZ173" s="26"/>
      <c r="BA173" s="26"/>
      <c r="BB173" s="26"/>
      <c r="BC173" s="26"/>
    </row>
    <row r="174" spans="1:55" x14ac:dyDescent="0.3">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c r="AA174" s="26"/>
      <c r="AB174" s="26"/>
      <c r="AC174" s="26"/>
      <c r="AD174" s="26"/>
      <c r="AE174" s="26"/>
      <c r="AF174" s="26"/>
      <c r="AG174" s="26"/>
      <c r="AH174" s="26"/>
      <c r="AI174" s="26"/>
      <c r="AJ174" s="26"/>
      <c r="AK174" s="26"/>
      <c r="AL174" s="26"/>
      <c r="AM174" s="26"/>
      <c r="AN174" s="26"/>
      <c r="AO174" s="26"/>
      <c r="AP174" s="26"/>
      <c r="AQ174" s="26"/>
      <c r="AR174" s="26"/>
      <c r="AS174" s="26"/>
      <c r="AT174" s="26"/>
      <c r="AU174" s="26"/>
      <c r="AV174" s="26"/>
      <c r="AW174" s="26"/>
      <c r="AX174" s="26"/>
      <c r="AY174" s="26"/>
      <c r="AZ174" s="26"/>
      <c r="BA174" s="26"/>
      <c r="BB174" s="26"/>
      <c r="BC174" s="26"/>
    </row>
    <row r="175" spans="1:55" x14ac:dyDescent="0.3">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c r="AA175" s="26"/>
      <c r="AB175" s="26"/>
      <c r="AC175" s="26"/>
      <c r="AD175" s="26"/>
      <c r="AE175" s="26"/>
      <c r="AF175" s="26"/>
      <c r="AG175" s="26"/>
      <c r="AH175" s="26"/>
      <c r="AI175" s="26"/>
      <c r="AJ175" s="26"/>
      <c r="AK175" s="26"/>
      <c r="AL175" s="26"/>
      <c r="AM175" s="26"/>
      <c r="AN175" s="26"/>
      <c r="AO175" s="26"/>
      <c r="AP175" s="26"/>
      <c r="AQ175" s="26"/>
      <c r="AR175" s="26"/>
      <c r="AS175" s="26"/>
      <c r="AT175" s="26"/>
      <c r="AU175" s="26"/>
      <c r="AV175" s="26"/>
      <c r="AW175" s="26"/>
      <c r="AX175" s="26"/>
      <c r="AY175" s="26"/>
      <c r="AZ175" s="26"/>
      <c r="BA175" s="26"/>
      <c r="BB175" s="26"/>
      <c r="BC175" s="26"/>
    </row>
    <row r="176" spans="1:55" x14ac:dyDescent="0.3">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c r="AA176" s="26"/>
      <c r="AB176" s="26"/>
      <c r="AC176" s="26"/>
      <c r="AD176" s="26"/>
      <c r="AE176" s="26"/>
      <c r="AF176" s="26"/>
      <c r="AG176" s="26"/>
      <c r="AH176" s="26"/>
      <c r="AI176" s="26"/>
      <c r="AJ176" s="26"/>
      <c r="AK176" s="26"/>
      <c r="AL176" s="26"/>
      <c r="AM176" s="26"/>
      <c r="AN176" s="26"/>
      <c r="AO176" s="26"/>
      <c r="AP176" s="26"/>
      <c r="AQ176" s="26"/>
      <c r="AR176" s="26"/>
      <c r="AS176" s="26"/>
      <c r="AT176" s="26"/>
      <c r="AU176" s="26"/>
      <c r="AV176" s="26"/>
      <c r="AW176" s="26"/>
      <c r="AX176" s="26"/>
      <c r="AY176" s="26"/>
      <c r="AZ176" s="26"/>
      <c r="BA176" s="26"/>
      <c r="BB176" s="26"/>
      <c r="BC176" s="26"/>
    </row>
    <row r="177" spans="1:55" x14ac:dyDescent="0.3">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c r="AA177" s="26"/>
      <c r="AB177" s="26"/>
      <c r="AC177" s="26"/>
      <c r="AD177" s="26"/>
      <c r="AE177" s="26"/>
      <c r="AF177" s="26"/>
      <c r="AG177" s="26"/>
      <c r="AH177" s="26"/>
      <c r="AI177" s="26"/>
      <c r="AJ177" s="26"/>
      <c r="AK177" s="26"/>
      <c r="AL177" s="26"/>
      <c r="AM177" s="26"/>
      <c r="AN177" s="26"/>
      <c r="AO177" s="26"/>
      <c r="AP177" s="26"/>
      <c r="AQ177" s="26"/>
      <c r="AR177" s="26"/>
      <c r="AS177" s="26"/>
      <c r="AT177" s="26"/>
      <c r="AU177" s="26"/>
      <c r="AV177" s="26"/>
      <c r="AW177" s="26"/>
      <c r="AX177" s="26"/>
      <c r="AY177" s="26"/>
      <c r="AZ177" s="26"/>
      <c r="BA177" s="26"/>
      <c r="BB177" s="26"/>
      <c r="BC177" s="26"/>
    </row>
    <row r="178" spans="1:55" x14ac:dyDescent="0.3">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c r="AA178" s="26"/>
      <c r="AB178" s="26"/>
      <c r="AC178" s="26"/>
      <c r="AD178" s="26"/>
      <c r="AE178" s="26"/>
      <c r="AF178" s="26"/>
      <c r="AG178" s="26"/>
      <c r="AH178" s="26"/>
      <c r="AI178" s="26"/>
      <c r="AJ178" s="26"/>
      <c r="AK178" s="26"/>
      <c r="AL178" s="26"/>
      <c r="AM178" s="26"/>
      <c r="AN178" s="26"/>
      <c r="AO178" s="26"/>
      <c r="AP178" s="26"/>
      <c r="AQ178" s="26"/>
      <c r="AR178" s="26"/>
      <c r="AS178" s="26"/>
      <c r="AT178" s="26"/>
      <c r="AU178" s="26"/>
      <c r="AV178" s="26"/>
      <c r="AW178" s="26"/>
      <c r="AX178" s="26"/>
      <c r="AY178" s="26"/>
      <c r="AZ178" s="26"/>
      <c r="BA178" s="26"/>
      <c r="BB178" s="26"/>
      <c r="BC178" s="26"/>
    </row>
    <row r="179" spans="1:55" x14ac:dyDescent="0.3">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c r="AA179" s="26"/>
      <c r="AB179" s="26"/>
      <c r="AC179" s="26"/>
      <c r="AD179" s="26"/>
      <c r="AE179" s="26"/>
      <c r="AF179" s="26"/>
      <c r="AG179" s="26"/>
      <c r="AH179" s="26"/>
      <c r="AI179" s="26"/>
      <c r="AJ179" s="26"/>
      <c r="AK179" s="26"/>
      <c r="AL179" s="26"/>
      <c r="AM179" s="26"/>
      <c r="AN179" s="26"/>
      <c r="AO179" s="26"/>
      <c r="AP179" s="26"/>
      <c r="AQ179" s="26"/>
      <c r="AR179" s="26"/>
      <c r="AS179" s="26"/>
      <c r="AT179" s="26"/>
      <c r="AU179" s="26"/>
      <c r="AV179" s="26"/>
      <c r="AW179" s="26"/>
      <c r="AX179" s="26"/>
      <c r="AY179" s="26"/>
      <c r="AZ179" s="26"/>
      <c r="BA179" s="26"/>
      <c r="BB179" s="26"/>
      <c r="BC179" s="26"/>
    </row>
    <row r="180" spans="1:55" x14ac:dyDescent="0.3">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c r="AA180" s="26"/>
      <c r="AB180" s="26"/>
      <c r="AC180" s="26"/>
      <c r="AD180" s="26"/>
      <c r="AE180" s="26"/>
      <c r="AF180" s="26"/>
      <c r="AG180" s="26"/>
      <c r="AH180" s="26"/>
      <c r="AI180" s="26"/>
      <c r="AJ180" s="26"/>
      <c r="AK180" s="26"/>
      <c r="AL180" s="26"/>
      <c r="AM180" s="26"/>
      <c r="AN180" s="26"/>
      <c r="AO180" s="26"/>
      <c r="AP180" s="26"/>
      <c r="AQ180" s="26"/>
      <c r="AR180" s="26"/>
      <c r="AS180" s="26"/>
      <c r="AT180" s="26"/>
      <c r="AU180" s="26"/>
      <c r="AV180" s="26"/>
      <c r="AW180" s="26"/>
      <c r="AX180" s="26"/>
      <c r="AY180" s="26"/>
      <c r="AZ180" s="26"/>
      <c r="BA180" s="26"/>
      <c r="BB180" s="26"/>
      <c r="BC180" s="26"/>
    </row>
    <row r="181" spans="1:55" x14ac:dyDescent="0.3">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c r="AA181" s="26"/>
      <c r="AB181" s="26"/>
      <c r="AC181" s="26"/>
      <c r="AD181" s="26"/>
      <c r="AE181" s="26"/>
      <c r="AF181" s="26"/>
      <c r="AG181" s="26"/>
      <c r="AH181" s="26"/>
      <c r="AI181" s="26"/>
      <c r="AJ181" s="26"/>
      <c r="AK181" s="26"/>
      <c r="AL181" s="26"/>
      <c r="AM181" s="26"/>
      <c r="AN181" s="26"/>
      <c r="AO181" s="26"/>
      <c r="AP181" s="26"/>
      <c r="AQ181" s="26"/>
      <c r="AR181" s="26"/>
      <c r="AS181" s="26"/>
      <c r="AT181" s="26"/>
      <c r="AU181" s="26"/>
      <c r="AV181" s="26"/>
      <c r="AW181" s="26"/>
      <c r="AX181" s="26"/>
      <c r="AY181" s="26"/>
      <c r="AZ181" s="26"/>
      <c r="BA181" s="26"/>
      <c r="BB181" s="26"/>
      <c r="BC181" s="26"/>
    </row>
    <row r="182" spans="1:55" x14ac:dyDescent="0.3">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c r="AA182" s="26"/>
      <c r="AB182" s="26"/>
      <c r="AC182" s="26"/>
      <c r="AD182" s="26"/>
      <c r="AE182" s="26"/>
      <c r="AF182" s="26"/>
      <c r="AG182" s="26"/>
      <c r="AH182" s="26"/>
      <c r="AI182" s="26"/>
      <c r="AJ182" s="26"/>
      <c r="AK182" s="26"/>
      <c r="AL182" s="26"/>
      <c r="AM182" s="26"/>
      <c r="AN182" s="26"/>
      <c r="AO182" s="26"/>
      <c r="AP182" s="26"/>
      <c r="AQ182" s="26"/>
      <c r="AR182" s="26"/>
      <c r="AS182" s="26"/>
      <c r="AT182" s="26"/>
      <c r="AU182" s="26"/>
      <c r="AV182" s="26"/>
      <c r="AW182" s="26"/>
      <c r="AX182" s="26"/>
      <c r="AY182" s="26"/>
      <c r="AZ182" s="26"/>
      <c r="BA182" s="26"/>
      <c r="BB182" s="26"/>
      <c r="BC182" s="26"/>
    </row>
    <row r="183" spans="1:55" x14ac:dyDescent="0.3">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c r="AA183" s="26"/>
      <c r="AB183" s="26"/>
      <c r="AC183" s="26"/>
      <c r="AD183" s="26"/>
      <c r="AE183" s="26"/>
      <c r="AF183" s="26"/>
      <c r="AG183" s="26"/>
      <c r="AH183" s="26"/>
      <c r="AI183" s="26"/>
      <c r="AJ183" s="26"/>
      <c r="AK183" s="26"/>
      <c r="AL183" s="26"/>
      <c r="AM183" s="26"/>
      <c r="AN183" s="26"/>
      <c r="AO183" s="26"/>
      <c r="AP183" s="26"/>
      <c r="AQ183" s="26"/>
      <c r="AR183" s="26"/>
      <c r="AS183" s="26"/>
      <c r="AT183" s="26"/>
      <c r="AU183" s="26"/>
      <c r="AV183" s="26"/>
      <c r="AW183" s="26"/>
      <c r="AX183" s="26"/>
      <c r="AY183" s="26"/>
      <c r="AZ183" s="26"/>
      <c r="BA183" s="26"/>
      <c r="BB183" s="26"/>
      <c r="BC183" s="26"/>
    </row>
    <row r="184" spans="1:55" x14ac:dyDescent="0.3">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c r="AA184" s="26"/>
      <c r="AB184" s="26"/>
      <c r="AC184" s="26"/>
      <c r="AD184" s="26"/>
      <c r="AE184" s="26"/>
      <c r="AF184" s="26"/>
      <c r="AG184" s="26"/>
      <c r="AH184" s="26"/>
      <c r="AI184" s="26"/>
      <c r="AJ184" s="26"/>
      <c r="AK184" s="26"/>
      <c r="AL184" s="26"/>
      <c r="AM184" s="26"/>
      <c r="AN184" s="26"/>
      <c r="AO184" s="26"/>
      <c r="AP184" s="26"/>
      <c r="AQ184" s="26"/>
      <c r="AR184" s="26"/>
      <c r="AS184" s="26"/>
      <c r="AT184" s="26"/>
      <c r="AU184" s="26"/>
      <c r="AV184" s="26"/>
      <c r="AW184" s="26"/>
      <c r="AX184" s="26"/>
      <c r="AY184" s="26"/>
      <c r="AZ184" s="26"/>
      <c r="BA184" s="26"/>
      <c r="BB184" s="26"/>
      <c r="BC184" s="26"/>
    </row>
    <row r="185" spans="1:55" x14ac:dyDescent="0.3">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c r="AA185" s="26"/>
      <c r="AB185" s="26"/>
      <c r="AC185" s="26"/>
      <c r="AD185" s="26"/>
      <c r="AE185" s="26"/>
      <c r="AF185" s="26"/>
      <c r="AG185" s="26"/>
      <c r="AH185" s="26"/>
      <c r="AI185" s="26"/>
      <c r="AJ185" s="26"/>
      <c r="AK185" s="26"/>
      <c r="AL185" s="26"/>
      <c r="AM185" s="26"/>
      <c r="AN185" s="26"/>
      <c r="AO185" s="26"/>
      <c r="AP185" s="26"/>
      <c r="AQ185" s="26"/>
      <c r="AR185" s="26"/>
      <c r="AS185" s="26"/>
      <c r="AT185" s="26"/>
      <c r="AU185" s="26"/>
      <c r="AV185" s="26"/>
      <c r="AW185" s="26"/>
      <c r="AX185" s="26"/>
      <c r="AY185" s="26"/>
      <c r="AZ185" s="26"/>
      <c r="BA185" s="26"/>
      <c r="BB185" s="26"/>
      <c r="BC185" s="26"/>
    </row>
    <row r="186" spans="1:55" x14ac:dyDescent="0.3">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c r="AA186" s="26"/>
      <c r="AB186" s="26"/>
      <c r="AC186" s="26"/>
      <c r="AD186" s="26"/>
      <c r="AE186" s="26"/>
      <c r="AF186" s="26"/>
      <c r="AG186" s="26"/>
      <c r="AH186" s="26"/>
      <c r="AI186" s="26"/>
      <c r="AJ186" s="26"/>
      <c r="AK186" s="26"/>
      <c r="AL186" s="26"/>
      <c r="AM186" s="26"/>
      <c r="AN186" s="26"/>
      <c r="AO186" s="26"/>
      <c r="AP186" s="26"/>
      <c r="AQ186" s="26"/>
      <c r="AR186" s="26"/>
      <c r="AS186" s="26"/>
      <c r="AT186" s="26"/>
      <c r="AU186" s="26"/>
      <c r="AV186" s="26"/>
      <c r="AW186" s="26"/>
      <c r="AX186" s="26"/>
      <c r="AY186" s="26"/>
      <c r="AZ186" s="26"/>
      <c r="BA186" s="26"/>
      <c r="BB186" s="26"/>
      <c r="BC186" s="26"/>
    </row>
    <row r="187" spans="1:55" x14ac:dyDescent="0.3">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c r="AA187" s="26"/>
      <c r="AB187" s="26"/>
      <c r="AC187" s="26"/>
      <c r="AD187" s="26"/>
      <c r="AE187" s="26"/>
      <c r="AF187" s="26"/>
      <c r="AG187" s="26"/>
      <c r="AH187" s="26"/>
      <c r="AI187" s="26"/>
      <c r="AJ187" s="26"/>
      <c r="AK187" s="26"/>
      <c r="AL187" s="26"/>
      <c r="AM187" s="26"/>
      <c r="AN187" s="26"/>
      <c r="AO187" s="26"/>
      <c r="AP187" s="26"/>
      <c r="AQ187" s="26"/>
      <c r="AR187" s="26"/>
      <c r="AS187" s="26"/>
      <c r="AT187" s="26"/>
      <c r="AU187" s="26"/>
      <c r="AV187" s="26"/>
      <c r="AW187" s="26"/>
      <c r="AX187" s="26"/>
      <c r="AY187" s="26"/>
      <c r="AZ187" s="26"/>
      <c r="BA187" s="26"/>
      <c r="BB187" s="26"/>
      <c r="BC187" s="26"/>
    </row>
    <row r="188" spans="1:55" x14ac:dyDescent="0.3">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c r="AA188" s="26"/>
      <c r="AB188" s="26"/>
      <c r="AC188" s="26"/>
      <c r="AD188" s="26"/>
      <c r="AE188" s="26"/>
      <c r="AF188" s="26"/>
      <c r="AG188" s="26"/>
      <c r="AH188" s="26"/>
      <c r="AI188" s="26"/>
      <c r="AJ188" s="26"/>
      <c r="AK188" s="26"/>
      <c r="AL188" s="26"/>
      <c r="AM188" s="26"/>
      <c r="AN188" s="26"/>
      <c r="AO188" s="26"/>
      <c r="AP188" s="26"/>
      <c r="AQ188" s="26"/>
      <c r="AR188" s="26"/>
      <c r="AS188" s="26"/>
      <c r="AT188" s="26"/>
      <c r="AU188" s="26"/>
      <c r="AV188" s="26"/>
      <c r="AW188" s="26"/>
      <c r="AX188" s="26"/>
      <c r="AY188" s="26"/>
      <c r="AZ188" s="26"/>
      <c r="BA188" s="26"/>
      <c r="BB188" s="26"/>
      <c r="BC188" s="26"/>
    </row>
    <row r="189" spans="1:55" x14ac:dyDescent="0.3">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c r="AA189" s="26"/>
      <c r="AB189" s="26"/>
      <c r="AC189" s="26"/>
      <c r="AD189" s="26"/>
      <c r="AE189" s="26"/>
      <c r="AF189" s="26"/>
      <c r="AG189" s="26"/>
      <c r="AH189" s="26"/>
      <c r="AI189" s="26"/>
      <c r="AJ189" s="26"/>
      <c r="AK189" s="26"/>
      <c r="AL189" s="26"/>
      <c r="AM189" s="26"/>
      <c r="AN189" s="26"/>
      <c r="AO189" s="26"/>
      <c r="AP189" s="26"/>
      <c r="AQ189" s="26"/>
      <c r="AR189" s="26"/>
      <c r="AS189" s="26"/>
      <c r="AT189" s="26"/>
      <c r="AU189" s="26"/>
      <c r="AV189" s="26"/>
      <c r="AW189" s="26"/>
      <c r="AX189" s="26"/>
      <c r="AY189" s="26"/>
      <c r="AZ189" s="26"/>
      <c r="BA189" s="26"/>
      <c r="BB189" s="26"/>
      <c r="BC189" s="26"/>
    </row>
    <row r="190" spans="1:55" x14ac:dyDescent="0.3">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c r="AA190" s="26"/>
      <c r="AB190" s="26"/>
      <c r="AC190" s="26"/>
      <c r="AD190" s="26"/>
      <c r="AE190" s="26"/>
      <c r="AF190" s="26"/>
      <c r="AG190" s="26"/>
      <c r="AH190" s="26"/>
      <c r="AI190" s="26"/>
      <c r="AJ190" s="26"/>
      <c r="AK190" s="26"/>
      <c r="AL190" s="26"/>
      <c r="AM190" s="26"/>
      <c r="AN190" s="26"/>
      <c r="AO190" s="26"/>
      <c r="AP190" s="26"/>
      <c r="AQ190" s="26"/>
      <c r="AR190" s="26"/>
      <c r="AS190" s="26"/>
      <c r="AT190" s="26"/>
      <c r="AU190" s="26"/>
      <c r="AV190" s="26"/>
      <c r="AW190" s="26"/>
      <c r="AX190" s="26"/>
      <c r="AY190" s="26"/>
      <c r="AZ190" s="26"/>
      <c r="BA190" s="26"/>
      <c r="BB190" s="26"/>
      <c r="BC190" s="26"/>
    </row>
    <row r="191" spans="1:55" x14ac:dyDescent="0.3">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c r="AA191" s="26"/>
      <c r="AB191" s="26"/>
      <c r="AC191" s="26"/>
      <c r="AD191" s="26"/>
      <c r="AE191" s="26"/>
      <c r="AF191" s="26"/>
      <c r="AG191" s="26"/>
      <c r="AH191" s="26"/>
      <c r="AI191" s="26"/>
      <c r="AJ191" s="26"/>
      <c r="AK191" s="26"/>
      <c r="AL191" s="26"/>
      <c r="AM191" s="26"/>
      <c r="AN191" s="26"/>
      <c r="AO191" s="26"/>
      <c r="AP191" s="26"/>
      <c r="AQ191" s="26"/>
      <c r="AR191" s="26"/>
      <c r="AS191" s="26"/>
      <c r="AT191" s="26"/>
      <c r="AU191" s="26"/>
      <c r="AV191" s="26"/>
      <c r="AW191" s="26"/>
      <c r="AX191" s="26"/>
      <c r="AY191" s="26"/>
      <c r="AZ191" s="26"/>
      <c r="BA191" s="26"/>
      <c r="BB191" s="26"/>
      <c r="BC191" s="26"/>
    </row>
    <row r="192" spans="1:55" x14ac:dyDescent="0.3">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c r="AA192" s="26"/>
      <c r="AB192" s="26"/>
      <c r="AC192" s="26"/>
      <c r="AD192" s="26"/>
      <c r="AE192" s="26"/>
      <c r="AF192" s="26"/>
      <c r="AG192" s="26"/>
      <c r="AH192" s="26"/>
      <c r="AI192" s="26"/>
      <c r="AJ192" s="26"/>
      <c r="AK192" s="26"/>
      <c r="AL192" s="26"/>
      <c r="AM192" s="26"/>
      <c r="AN192" s="26"/>
      <c r="AO192" s="26"/>
      <c r="AP192" s="26"/>
      <c r="AQ192" s="26"/>
      <c r="AR192" s="26"/>
      <c r="AS192" s="26"/>
      <c r="AT192" s="26"/>
      <c r="AU192" s="26"/>
      <c r="AV192" s="26"/>
      <c r="AW192" s="26"/>
      <c r="AX192" s="26"/>
      <c r="AY192" s="26"/>
      <c r="AZ192" s="26"/>
      <c r="BA192" s="26"/>
      <c r="BB192" s="26"/>
      <c r="BC192" s="26"/>
    </row>
    <row r="193" spans="1:55" x14ac:dyDescent="0.3">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c r="AA193" s="26"/>
      <c r="AB193" s="26"/>
      <c r="AC193" s="26"/>
      <c r="AD193" s="26"/>
      <c r="AE193" s="26"/>
      <c r="AF193" s="26"/>
      <c r="AG193" s="26"/>
      <c r="AH193" s="26"/>
      <c r="AI193" s="26"/>
      <c r="AJ193" s="26"/>
      <c r="AK193" s="26"/>
      <c r="AL193" s="26"/>
      <c r="AM193" s="26"/>
      <c r="AN193" s="26"/>
      <c r="AO193" s="26"/>
      <c r="AP193" s="26"/>
      <c r="AQ193" s="26"/>
      <c r="AR193" s="26"/>
      <c r="AS193" s="26"/>
      <c r="AT193" s="26"/>
      <c r="AU193" s="26"/>
      <c r="AV193" s="26"/>
      <c r="AW193" s="26"/>
      <c r="AX193" s="26"/>
      <c r="AY193" s="26"/>
      <c r="AZ193" s="26"/>
      <c r="BA193" s="26"/>
      <c r="BB193" s="26"/>
      <c r="BC193" s="26"/>
    </row>
    <row r="194" spans="1:55" x14ac:dyDescent="0.3">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c r="AA194" s="26"/>
      <c r="AB194" s="26"/>
      <c r="AC194" s="26"/>
      <c r="AD194" s="26"/>
      <c r="AE194" s="26"/>
      <c r="AF194" s="26"/>
      <c r="AG194" s="26"/>
      <c r="AH194" s="26"/>
      <c r="AI194" s="26"/>
      <c r="AJ194" s="26"/>
      <c r="AK194" s="26"/>
      <c r="AL194" s="26"/>
      <c r="AM194" s="26"/>
      <c r="AN194" s="26"/>
      <c r="AO194" s="26"/>
      <c r="AP194" s="26"/>
      <c r="AQ194" s="26"/>
      <c r="AR194" s="26"/>
      <c r="AS194" s="26"/>
      <c r="AT194" s="26"/>
      <c r="AU194" s="26"/>
      <c r="AV194" s="26"/>
      <c r="AW194" s="26"/>
      <c r="AX194" s="26"/>
      <c r="AY194" s="26"/>
      <c r="AZ194" s="26"/>
      <c r="BA194" s="26"/>
      <c r="BB194" s="26"/>
      <c r="BC194" s="26"/>
    </row>
    <row r="195" spans="1:55" x14ac:dyDescent="0.3">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c r="AA195" s="26"/>
      <c r="AB195" s="26"/>
      <c r="AC195" s="26"/>
      <c r="AD195" s="26"/>
      <c r="AE195" s="26"/>
      <c r="AF195" s="26"/>
      <c r="AG195" s="26"/>
      <c r="AH195" s="26"/>
      <c r="AI195" s="26"/>
      <c r="AJ195" s="26"/>
      <c r="AK195" s="26"/>
      <c r="AL195" s="26"/>
      <c r="AM195" s="26"/>
      <c r="AN195" s="26"/>
      <c r="AO195" s="26"/>
      <c r="AP195" s="26"/>
      <c r="AQ195" s="26"/>
      <c r="AR195" s="26"/>
      <c r="AS195" s="26"/>
      <c r="AT195" s="26"/>
      <c r="AU195" s="26"/>
      <c r="AV195" s="26"/>
      <c r="AW195" s="26"/>
      <c r="AX195" s="26"/>
      <c r="AY195" s="26"/>
      <c r="AZ195" s="26"/>
      <c r="BA195" s="26"/>
      <c r="BB195" s="26"/>
      <c r="BC195" s="26"/>
    </row>
    <row r="196" spans="1:55" x14ac:dyDescent="0.3">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c r="AA196" s="26"/>
      <c r="AB196" s="26"/>
      <c r="AC196" s="26"/>
      <c r="AD196" s="26"/>
      <c r="AE196" s="26"/>
      <c r="AF196" s="26"/>
      <c r="AG196" s="26"/>
      <c r="AH196" s="26"/>
      <c r="AI196" s="26"/>
      <c r="AJ196" s="26"/>
      <c r="AK196" s="26"/>
      <c r="AL196" s="26"/>
      <c r="AM196" s="26"/>
      <c r="AN196" s="26"/>
      <c r="AO196" s="26"/>
      <c r="AP196" s="26"/>
      <c r="AQ196" s="26"/>
      <c r="AR196" s="26"/>
      <c r="AS196" s="26"/>
      <c r="AT196" s="26"/>
      <c r="AU196" s="26"/>
      <c r="AV196" s="26"/>
      <c r="AW196" s="26"/>
      <c r="AX196" s="26"/>
      <c r="AY196" s="26"/>
      <c r="AZ196" s="26"/>
      <c r="BA196" s="26"/>
      <c r="BB196" s="26"/>
      <c r="BC196" s="26"/>
    </row>
    <row r="197" spans="1:55" x14ac:dyDescent="0.3">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c r="AA197" s="26"/>
      <c r="AB197" s="26"/>
      <c r="AC197" s="26"/>
      <c r="AD197" s="26"/>
      <c r="AE197" s="26"/>
      <c r="AF197" s="26"/>
      <c r="AG197" s="26"/>
      <c r="AH197" s="26"/>
      <c r="AI197" s="26"/>
      <c r="AJ197" s="26"/>
      <c r="AK197" s="26"/>
      <c r="AL197" s="26"/>
      <c r="AM197" s="26"/>
      <c r="AN197" s="26"/>
      <c r="AO197" s="26"/>
      <c r="AP197" s="26"/>
      <c r="AQ197" s="26"/>
      <c r="AR197" s="26"/>
      <c r="AS197" s="26"/>
      <c r="AT197" s="26"/>
      <c r="AU197" s="26"/>
      <c r="AV197" s="26"/>
      <c r="AW197" s="26"/>
      <c r="AX197" s="26"/>
      <c r="AY197" s="26"/>
      <c r="AZ197" s="26"/>
      <c r="BA197" s="26"/>
      <c r="BB197" s="26"/>
      <c r="BC197" s="26"/>
    </row>
    <row r="198" spans="1:55" x14ac:dyDescent="0.3">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c r="AA198" s="26"/>
      <c r="AB198" s="26"/>
      <c r="AC198" s="26"/>
      <c r="AD198" s="26"/>
      <c r="AE198" s="26"/>
      <c r="AF198" s="26"/>
      <c r="AG198" s="26"/>
      <c r="AH198" s="26"/>
      <c r="AI198" s="26"/>
      <c r="AJ198" s="26"/>
      <c r="AK198" s="26"/>
      <c r="AL198" s="26"/>
      <c r="AM198" s="26"/>
      <c r="AN198" s="26"/>
      <c r="AO198" s="26"/>
      <c r="AP198" s="26"/>
      <c r="AQ198" s="26"/>
      <c r="AR198" s="26"/>
      <c r="AS198" s="26"/>
      <c r="AT198" s="26"/>
      <c r="AU198" s="26"/>
      <c r="AV198" s="26"/>
      <c r="AW198" s="26"/>
      <c r="AX198" s="26"/>
      <c r="AY198" s="26"/>
      <c r="AZ198" s="26"/>
      <c r="BA198" s="26"/>
      <c r="BB198" s="26"/>
      <c r="BC198" s="26"/>
    </row>
    <row r="199" spans="1:55" x14ac:dyDescent="0.3">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c r="AA199" s="26"/>
      <c r="AB199" s="26"/>
      <c r="AC199" s="26"/>
      <c r="AD199" s="26"/>
      <c r="AE199" s="26"/>
      <c r="AF199" s="26"/>
      <c r="AG199" s="26"/>
      <c r="AH199" s="26"/>
      <c r="AI199" s="26"/>
      <c r="AJ199" s="26"/>
      <c r="AK199" s="26"/>
      <c r="AL199" s="26"/>
      <c r="AM199" s="26"/>
      <c r="AN199" s="26"/>
      <c r="AO199" s="26"/>
      <c r="AP199" s="26"/>
      <c r="AQ199" s="26"/>
      <c r="AR199" s="26"/>
      <c r="AS199" s="26"/>
      <c r="AT199" s="26"/>
      <c r="AU199" s="26"/>
      <c r="AV199" s="26"/>
      <c r="AW199" s="26"/>
      <c r="AX199" s="26"/>
      <c r="AY199" s="26"/>
      <c r="AZ199" s="26"/>
      <c r="BA199" s="26"/>
      <c r="BB199" s="26"/>
      <c r="BC199" s="26"/>
    </row>
    <row r="200" spans="1:55" x14ac:dyDescent="0.3">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c r="AA200" s="26"/>
      <c r="AB200" s="26"/>
      <c r="AC200" s="26"/>
      <c r="AD200" s="26"/>
      <c r="AE200" s="26"/>
      <c r="AF200" s="26"/>
      <c r="AG200" s="26"/>
      <c r="AH200" s="26"/>
      <c r="AI200" s="26"/>
      <c r="AJ200" s="26"/>
      <c r="AK200" s="26"/>
      <c r="AL200" s="26"/>
      <c r="AM200" s="26"/>
      <c r="AN200" s="26"/>
      <c r="AO200" s="26"/>
      <c r="AP200" s="26"/>
      <c r="AQ200" s="26"/>
      <c r="AR200" s="26"/>
      <c r="AS200" s="26"/>
      <c r="AT200" s="26"/>
      <c r="AU200" s="26"/>
      <c r="AV200" s="26"/>
      <c r="AW200" s="26"/>
      <c r="AX200" s="26"/>
      <c r="AY200" s="26"/>
      <c r="AZ200" s="26"/>
      <c r="BA200" s="26"/>
      <c r="BB200" s="26"/>
      <c r="BC200" s="26"/>
    </row>
    <row r="201" spans="1:55" x14ac:dyDescent="0.3">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c r="AA201" s="26"/>
      <c r="AB201" s="26"/>
      <c r="AC201" s="26"/>
      <c r="AD201" s="26"/>
      <c r="AE201" s="26"/>
      <c r="AF201" s="26"/>
      <c r="AG201" s="26"/>
      <c r="AH201" s="26"/>
      <c r="AI201" s="26"/>
      <c r="AJ201" s="26"/>
      <c r="AK201" s="26"/>
      <c r="AL201" s="26"/>
      <c r="AM201" s="26"/>
      <c r="AN201" s="26"/>
      <c r="AO201" s="26"/>
      <c r="AP201" s="26"/>
      <c r="AQ201" s="26"/>
      <c r="AR201" s="26"/>
      <c r="AS201" s="26"/>
      <c r="AT201" s="26"/>
      <c r="AU201" s="26"/>
      <c r="AV201" s="26"/>
      <c r="AW201" s="26"/>
      <c r="AX201" s="26"/>
      <c r="AY201" s="26"/>
      <c r="AZ201" s="26"/>
      <c r="BA201" s="26"/>
      <c r="BB201" s="26"/>
      <c r="BC201" s="26"/>
    </row>
    <row r="202" spans="1:55" x14ac:dyDescent="0.3">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c r="AA202" s="26"/>
      <c r="AB202" s="26"/>
      <c r="AC202" s="26"/>
      <c r="AD202" s="26"/>
      <c r="AE202" s="26"/>
      <c r="AF202" s="26"/>
      <c r="AG202" s="26"/>
      <c r="AH202" s="26"/>
      <c r="AI202" s="26"/>
      <c r="AJ202" s="26"/>
      <c r="AK202" s="26"/>
      <c r="AL202" s="26"/>
      <c r="AM202" s="26"/>
      <c r="AN202" s="26"/>
      <c r="AO202" s="26"/>
      <c r="AP202" s="26"/>
      <c r="AQ202" s="26"/>
      <c r="AR202" s="26"/>
      <c r="AS202" s="26"/>
      <c r="AT202" s="26"/>
      <c r="AU202" s="26"/>
      <c r="AV202" s="26"/>
      <c r="AW202" s="26"/>
      <c r="AX202" s="26"/>
      <c r="AY202" s="26"/>
      <c r="AZ202" s="26"/>
      <c r="BA202" s="26"/>
      <c r="BB202" s="26"/>
      <c r="BC202" s="26"/>
    </row>
    <row r="203" spans="1:55" x14ac:dyDescent="0.3">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c r="AA203" s="26"/>
      <c r="AB203" s="26"/>
      <c r="AC203" s="26"/>
      <c r="AD203" s="26"/>
      <c r="AE203" s="26"/>
      <c r="AF203" s="26"/>
      <c r="AG203" s="26"/>
      <c r="AH203" s="26"/>
      <c r="AI203" s="26"/>
      <c r="AJ203" s="26"/>
      <c r="AK203" s="26"/>
      <c r="AL203" s="26"/>
      <c r="AM203" s="26"/>
      <c r="AN203" s="26"/>
      <c r="AO203" s="26"/>
      <c r="AP203" s="26"/>
      <c r="AQ203" s="26"/>
      <c r="AR203" s="26"/>
      <c r="AS203" s="26"/>
      <c r="AT203" s="26"/>
      <c r="AU203" s="26"/>
      <c r="AV203" s="26"/>
      <c r="AW203" s="26"/>
      <c r="AX203" s="26"/>
      <c r="AY203" s="26"/>
      <c r="AZ203" s="26"/>
      <c r="BA203" s="26"/>
      <c r="BB203" s="26"/>
      <c r="BC203" s="26"/>
    </row>
    <row r="204" spans="1:55" x14ac:dyDescent="0.3">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c r="AA204" s="26"/>
      <c r="AB204" s="26"/>
      <c r="AC204" s="26"/>
      <c r="AD204" s="26"/>
      <c r="AE204" s="26"/>
      <c r="AF204" s="26"/>
      <c r="AG204" s="26"/>
      <c r="AH204" s="26"/>
      <c r="AI204" s="26"/>
      <c r="AJ204" s="26"/>
      <c r="AK204" s="26"/>
      <c r="AL204" s="26"/>
      <c r="AM204" s="26"/>
      <c r="AN204" s="26"/>
      <c r="AO204" s="26"/>
      <c r="AP204" s="26"/>
      <c r="AQ204" s="26"/>
      <c r="AR204" s="26"/>
      <c r="AS204" s="26"/>
      <c r="AT204" s="26"/>
      <c r="AU204" s="26"/>
      <c r="AV204" s="26"/>
      <c r="AW204" s="26"/>
      <c r="AX204" s="26"/>
      <c r="AY204" s="26"/>
      <c r="AZ204" s="26"/>
      <c r="BA204" s="26"/>
      <c r="BB204" s="26"/>
      <c r="BC204" s="26"/>
    </row>
    <row r="205" spans="1:55" x14ac:dyDescent="0.3">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c r="AA205" s="26"/>
      <c r="AB205" s="26"/>
      <c r="AC205" s="26"/>
      <c r="AD205" s="26"/>
      <c r="AE205" s="26"/>
      <c r="AF205" s="26"/>
      <c r="AG205" s="26"/>
      <c r="AH205" s="26"/>
      <c r="AI205" s="26"/>
      <c r="AJ205" s="26"/>
      <c r="AK205" s="26"/>
      <c r="AL205" s="26"/>
      <c r="AM205" s="26"/>
      <c r="AN205" s="26"/>
      <c r="AO205" s="26"/>
      <c r="AP205" s="26"/>
      <c r="AQ205" s="26"/>
      <c r="AR205" s="26"/>
      <c r="AS205" s="26"/>
      <c r="AT205" s="26"/>
      <c r="AU205" s="26"/>
      <c r="AV205" s="26"/>
      <c r="AW205" s="26"/>
      <c r="AX205" s="26"/>
      <c r="AY205" s="26"/>
      <c r="AZ205" s="26"/>
      <c r="BA205" s="26"/>
      <c r="BB205" s="26"/>
      <c r="BC205" s="26"/>
    </row>
    <row r="206" spans="1:55" x14ac:dyDescent="0.3">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c r="AA206" s="26"/>
      <c r="AB206" s="26"/>
      <c r="AC206" s="26"/>
      <c r="AD206" s="26"/>
      <c r="AE206" s="26"/>
      <c r="AF206" s="26"/>
      <c r="AG206" s="26"/>
      <c r="AH206" s="26"/>
      <c r="AI206" s="26"/>
      <c r="AJ206" s="26"/>
      <c r="AK206" s="26"/>
      <c r="AL206" s="26"/>
      <c r="AM206" s="26"/>
      <c r="AN206" s="26"/>
      <c r="AO206" s="26"/>
      <c r="AP206" s="26"/>
      <c r="AQ206" s="26"/>
      <c r="AR206" s="26"/>
      <c r="AS206" s="26"/>
      <c r="AT206" s="26"/>
      <c r="AU206" s="26"/>
      <c r="AV206" s="26"/>
      <c r="AW206" s="26"/>
      <c r="AX206" s="26"/>
      <c r="AY206" s="26"/>
      <c r="AZ206" s="26"/>
      <c r="BA206" s="26"/>
      <c r="BB206" s="26"/>
      <c r="BC206" s="26"/>
    </row>
    <row r="207" spans="1:55" x14ac:dyDescent="0.3">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c r="AA207" s="26"/>
      <c r="AB207" s="26"/>
      <c r="AC207" s="26"/>
      <c r="AD207" s="26"/>
      <c r="AE207" s="26"/>
      <c r="AF207" s="26"/>
      <c r="AG207" s="26"/>
      <c r="AH207" s="26"/>
      <c r="AI207" s="26"/>
      <c r="AJ207" s="26"/>
      <c r="AK207" s="26"/>
      <c r="AL207" s="26"/>
      <c r="AM207" s="26"/>
      <c r="AN207" s="26"/>
      <c r="AO207" s="26"/>
      <c r="AP207" s="26"/>
      <c r="AQ207" s="26"/>
      <c r="AR207" s="26"/>
      <c r="AS207" s="26"/>
      <c r="AT207" s="26"/>
      <c r="AU207" s="26"/>
      <c r="AV207" s="26"/>
      <c r="AW207" s="26"/>
      <c r="AX207" s="26"/>
      <c r="AY207" s="26"/>
      <c r="AZ207" s="26"/>
      <c r="BA207" s="26"/>
      <c r="BB207" s="26"/>
      <c r="BC207" s="26"/>
    </row>
    <row r="208" spans="1:55" x14ac:dyDescent="0.3">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c r="AA208" s="26"/>
      <c r="AB208" s="26"/>
      <c r="AC208" s="26"/>
      <c r="AD208" s="26"/>
      <c r="AE208" s="26"/>
      <c r="AF208" s="26"/>
      <c r="AG208" s="26"/>
      <c r="AH208" s="26"/>
      <c r="AI208" s="26"/>
      <c r="AJ208" s="26"/>
      <c r="AK208" s="26"/>
      <c r="AL208" s="26"/>
      <c r="AM208" s="26"/>
      <c r="AN208" s="26"/>
      <c r="AO208" s="26"/>
      <c r="AP208" s="26"/>
      <c r="AQ208" s="26"/>
      <c r="AR208" s="26"/>
      <c r="AS208" s="26"/>
      <c r="AT208" s="26"/>
      <c r="AU208" s="26"/>
      <c r="AV208" s="26"/>
      <c r="AW208" s="26"/>
      <c r="AX208" s="26"/>
      <c r="AY208" s="26"/>
      <c r="AZ208" s="26"/>
      <c r="BA208" s="26"/>
      <c r="BB208" s="26"/>
      <c r="BC208" s="26"/>
    </row>
    <row r="209" spans="1:55" x14ac:dyDescent="0.3">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c r="AA209" s="26"/>
      <c r="AB209" s="26"/>
      <c r="AC209" s="26"/>
      <c r="AD209" s="26"/>
      <c r="AE209" s="26"/>
      <c r="AF209" s="26"/>
      <c r="AG209" s="26"/>
      <c r="AH209" s="26"/>
      <c r="AI209" s="26"/>
      <c r="AJ209" s="26"/>
      <c r="AK209" s="26"/>
      <c r="AL209" s="26"/>
      <c r="AM209" s="26"/>
      <c r="AN209" s="26"/>
      <c r="AO209" s="26"/>
      <c r="AP209" s="26"/>
      <c r="AQ209" s="26"/>
      <c r="AR209" s="26"/>
      <c r="AS209" s="26"/>
      <c r="AT209" s="26"/>
      <c r="AU209" s="26"/>
      <c r="AV209" s="26"/>
      <c r="AW209" s="26"/>
      <c r="AX209" s="26"/>
      <c r="AY209" s="26"/>
      <c r="AZ209" s="26"/>
      <c r="BA209" s="26"/>
      <c r="BB209" s="26"/>
      <c r="BC209" s="26"/>
    </row>
    <row r="210" spans="1:55" x14ac:dyDescent="0.3">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c r="AA210" s="26"/>
      <c r="AB210" s="26"/>
      <c r="AC210" s="26"/>
      <c r="AD210" s="26"/>
      <c r="AE210" s="26"/>
      <c r="AF210" s="26"/>
      <c r="AG210" s="26"/>
      <c r="AH210" s="26"/>
      <c r="AI210" s="26"/>
      <c r="AJ210" s="26"/>
      <c r="AK210" s="26"/>
      <c r="AL210" s="26"/>
      <c r="AM210" s="26"/>
      <c r="AN210" s="26"/>
      <c r="AO210" s="26"/>
      <c r="AP210" s="26"/>
      <c r="AQ210" s="26"/>
      <c r="AR210" s="26"/>
      <c r="AS210" s="26"/>
      <c r="AT210" s="26"/>
      <c r="AU210" s="26"/>
      <c r="AV210" s="26"/>
      <c r="AW210" s="26"/>
      <c r="AX210" s="26"/>
      <c r="AY210" s="26"/>
      <c r="AZ210" s="26"/>
      <c r="BA210" s="26"/>
      <c r="BB210" s="26"/>
      <c r="BC210" s="26"/>
    </row>
    <row r="211" spans="1:55" x14ac:dyDescent="0.3">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c r="AA211" s="26"/>
      <c r="AB211" s="26"/>
      <c r="AC211" s="26"/>
      <c r="AD211" s="26"/>
      <c r="AE211" s="26"/>
      <c r="AF211" s="26"/>
      <c r="AG211" s="26"/>
      <c r="AH211" s="26"/>
      <c r="AI211" s="26"/>
      <c r="AJ211" s="26"/>
      <c r="AK211" s="26"/>
      <c r="AL211" s="26"/>
      <c r="AM211" s="26"/>
      <c r="AN211" s="26"/>
      <c r="AO211" s="26"/>
      <c r="AP211" s="26"/>
      <c r="AQ211" s="26"/>
      <c r="AR211" s="26"/>
      <c r="AS211" s="26"/>
      <c r="AT211" s="26"/>
      <c r="AU211" s="26"/>
      <c r="AV211" s="26"/>
      <c r="AW211" s="26"/>
      <c r="AX211" s="26"/>
      <c r="AY211" s="26"/>
      <c r="AZ211" s="26"/>
      <c r="BA211" s="26"/>
      <c r="BB211" s="26"/>
      <c r="BC211" s="26"/>
    </row>
    <row r="212" spans="1:55" x14ac:dyDescent="0.3">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c r="AA212" s="26"/>
      <c r="AB212" s="26"/>
      <c r="AC212" s="26"/>
      <c r="AD212" s="26"/>
      <c r="AE212" s="26"/>
      <c r="AF212" s="26"/>
      <c r="AG212" s="26"/>
      <c r="AH212" s="26"/>
      <c r="AI212" s="26"/>
      <c r="AJ212" s="26"/>
      <c r="AK212" s="26"/>
      <c r="AL212" s="26"/>
      <c r="AM212" s="26"/>
      <c r="AN212" s="26"/>
      <c r="AO212" s="26"/>
      <c r="AP212" s="26"/>
      <c r="AQ212" s="26"/>
      <c r="AR212" s="26"/>
      <c r="AS212" s="26"/>
      <c r="AT212" s="26"/>
      <c r="AU212" s="26"/>
      <c r="AV212" s="26"/>
      <c r="AW212" s="26"/>
      <c r="AX212" s="26"/>
      <c r="AY212" s="26"/>
      <c r="AZ212" s="26"/>
      <c r="BA212" s="26"/>
      <c r="BB212" s="26"/>
      <c r="BC212" s="26"/>
    </row>
    <row r="213" spans="1:55" x14ac:dyDescent="0.3">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c r="AA213" s="26"/>
      <c r="AB213" s="26"/>
      <c r="AC213" s="26"/>
      <c r="AD213" s="26"/>
      <c r="AE213" s="26"/>
      <c r="AF213" s="26"/>
      <c r="AG213" s="26"/>
      <c r="AH213" s="26"/>
      <c r="AI213" s="26"/>
      <c r="AJ213" s="26"/>
      <c r="AK213" s="26"/>
      <c r="AL213" s="26"/>
      <c r="AM213" s="26"/>
      <c r="AN213" s="26"/>
      <c r="AO213" s="26"/>
      <c r="AP213" s="26"/>
      <c r="AQ213" s="26"/>
      <c r="AR213" s="26"/>
      <c r="AS213" s="26"/>
      <c r="AT213" s="26"/>
      <c r="AU213" s="26"/>
      <c r="AV213" s="26"/>
      <c r="AW213" s="26"/>
      <c r="AX213" s="26"/>
      <c r="AY213" s="26"/>
      <c r="AZ213" s="26"/>
      <c r="BA213" s="26"/>
      <c r="BB213" s="26"/>
      <c r="BC213" s="26"/>
    </row>
    <row r="214" spans="1:55" x14ac:dyDescent="0.3">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c r="AA214" s="26"/>
      <c r="AB214" s="26"/>
      <c r="AC214" s="26"/>
      <c r="AD214" s="26"/>
      <c r="AE214" s="26"/>
      <c r="AF214" s="26"/>
      <c r="AG214" s="26"/>
      <c r="AH214" s="26"/>
      <c r="AI214" s="26"/>
      <c r="AJ214" s="26"/>
      <c r="AK214" s="26"/>
      <c r="AL214" s="26"/>
      <c r="AM214" s="26"/>
      <c r="AN214" s="26"/>
      <c r="AO214" s="26"/>
      <c r="AP214" s="26"/>
      <c r="AQ214" s="26"/>
      <c r="AR214" s="26"/>
      <c r="AS214" s="26"/>
      <c r="AT214" s="26"/>
      <c r="AU214" s="26"/>
      <c r="AV214" s="26"/>
      <c r="AW214" s="26"/>
      <c r="AX214" s="26"/>
      <c r="AY214" s="26"/>
      <c r="AZ214" s="26"/>
      <c r="BA214" s="26"/>
      <c r="BB214" s="26"/>
      <c r="BC214" s="26"/>
    </row>
    <row r="215" spans="1:55" x14ac:dyDescent="0.3">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c r="AA215" s="26"/>
      <c r="AB215" s="26"/>
      <c r="AC215" s="26"/>
      <c r="AD215" s="26"/>
      <c r="AE215" s="26"/>
      <c r="AF215" s="26"/>
      <c r="AG215" s="26"/>
      <c r="AH215" s="26"/>
      <c r="AI215" s="26"/>
      <c r="AJ215" s="26"/>
      <c r="AK215" s="26"/>
      <c r="AL215" s="26"/>
      <c r="AM215" s="26"/>
      <c r="AN215" s="26"/>
      <c r="AO215" s="26"/>
      <c r="AP215" s="26"/>
      <c r="AQ215" s="26"/>
      <c r="AR215" s="26"/>
      <c r="AS215" s="26"/>
      <c r="AT215" s="26"/>
      <c r="AU215" s="26"/>
      <c r="AV215" s="26"/>
      <c r="AW215" s="26"/>
      <c r="AX215" s="26"/>
      <c r="AY215" s="26"/>
      <c r="AZ215" s="26"/>
      <c r="BA215" s="26"/>
      <c r="BB215" s="26"/>
      <c r="BC215" s="26"/>
    </row>
    <row r="216" spans="1:55" x14ac:dyDescent="0.3">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c r="AA216" s="26"/>
      <c r="AB216" s="26"/>
      <c r="AC216" s="26"/>
      <c r="AD216" s="26"/>
      <c r="AE216" s="26"/>
      <c r="AF216" s="26"/>
      <c r="AG216" s="26"/>
      <c r="AH216" s="26"/>
      <c r="AI216" s="26"/>
      <c r="AJ216" s="26"/>
      <c r="AK216" s="26"/>
      <c r="AL216" s="26"/>
      <c r="AM216" s="26"/>
      <c r="AN216" s="26"/>
      <c r="AO216" s="26"/>
      <c r="AP216" s="26"/>
      <c r="AQ216" s="26"/>
      <c r="AR216" s="26"/>
      <c r="AS216" s="26"/>
      <c r="AT216" s="26"/>
      <c r="AU216" s="26"/>
      <c r="AV216" s="26"/>
      <c r="AW216" s="26"/>
      <c r="AX216" s="26"/>
      <c r="AY216" s="26"/>
      <c r="AZ216" s="26"/>
      <c r="BA216" s="26"/>
      <c r="BB216" s="26"/>
      <c r="BC216" s="26"/>
    </row>
    <row r="217" spans="1:55" x14ac:dyDescent="0.3">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c r="AA217" s="26"/>
      <c r="AB217" s="26"/>
      <c r="AC217" s="26"/>
      <c r="AD217" s="26"/>
      <c r="AE217" s="26"/>
      <c r="AF217" s="26"/>
      <c r="AG217" s="26"/>
      <c r="AH217" s="26"/>
      <c r="AI217" s="26"/>
      <c r="AJ217" s="26"/>
      <c r="AK217" s="26"/>
      <c r="AL217" s="26"/>
      <c r="AM217" s="26"/>
      <c r="AN217" s="26"/>
      <c r="AO217" s="26"/>
      <c r="AP217" s="26"/>
      <c r="AQ217" s="26"/>
      <c r="AR217" s="26"/>
      <c r="AS217" s="26"/>
      <c r="AT217" s="26"/>
      <c r="AU217" s="26"/>
      <c r="AV217" s="26"/>
      <c r="AW217" s="26"/>
      <c r="AX217" s="26"/>
      <c r="AY217" s="26"/>
      <c r="AZ217" s="26"/>
      <c r="BA217" s="26"/>
      <c r="BB217" s="26"/>
      <c r="BC217" s="26"/>
    </row>
    <row r="218" spans="1:55" x14ac:dyDescent="0.3">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c r="AA218" s="26"/>
      <c r="AB218" s="26"/>
      <c r="AC218" s="26"/>
      <c r="AD218" s="26"/>
      <c r="AE218" s="26"/>
      <c r="AF218" s="26"/>
      <c r="AG218" s="26"/>
      <c r="AH218" s="26"/>
      <c r="AI218" s="26"/>
      <c r="AJ218" s="26"/>
      <c r="AK218" s="26"/>
      <c r="AL218" s="26"/>
      <c r="AM218" s="26"/>
      <c r="AN218" s="26"/>
      <c r="AO218" s="26"/>
      <c r="AP218" s="26"/>
      <c r="AQ218" s="26"/>
      <c r="AR218" s="26"/>
      <c r="AS218" s="26"/>
      <c r="AT218" s="26"/>
      <c r="AU218" s="26"/>
      <c r="AV218" s="26"/>
      <c r="AW218" s="26"/>
      <c r="AX218" s="26"/>
      <c r="AY218" s="26"/>
      <c r="AZ218" s="26"/>
      <c r="BA218" s="26"/>
      <c r="BB218" s="26"/>
      <c r="BC218" s="26"/>
    </row>
    <row r="219" spans="1:55" x14ac:dyDescent="0.3">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c r="AA219" s="26"/>
      <c r="AB219" s="26"/>
      <c r="AC219" s="26"/>
      <c r="AD219" s="26"/>
      <c r="AE219" s="26"/>
      <c r="AF219" s="26"/>
      <c r="AG219" s="26"/>
      <c r="AH219" s="26"/>
      <c r="AI219" s="26"/>
      <c r="AJ219" s="26"/>
      <c r="AK219" s="26"/>
      <c r="AL219" s="26"/>
      <c r="AM219" s="26"/>
      <c r="AN219" s="26"/>
      <c r="AO219" s="26"/>
      <c r="AP219" s="26"/>
      <c r="AQ219" s="26"/>
      <c r="AR219" s="26"/>
      <c r="AS219" s="26"/>
      <c r="AT219" s="26"/>
      <c r="AU219" s="26"/>
      <c r="AV219" s="26"/>
      <c r="AW219" s="26"/>
      <c r="AX219" s="26"/>
      <c r="AY219" s="26"/>
      <c r="AZ219" s="26"/>
      <c r="BA219" s="26"/>
      <c r="BB219" s="26"/>
      <c r="BC219" s="26"/>
    </row>
    <row r="220" spans="1:55" x14ac:dyDescent="0.3">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c r="AA220" s="26"/>
      <c r="AB220" s="26"/>
      <c r="AC220" s="26"/>
      <c r="AD220" s="26"/>
      <c r="AE220" s="26"/>
      <c r="AF220" s="26"/>
      <c r="AG220" s="26"/>
      <c r="AH220" s="26"/>
      <c r="AI220" s="26"/>
      <c r="AJ220" s="26"/>
      <c r="AK220" s="26"/>
      <c r="AL220" s="26"/>
      <c r="AM220" s="26"/>
      <c r="AN220" s="26"/>
      <c r="AO220" s="26"/>
      <c r="AP220" s="26"/>
      <c r="AQ220" s="26"/>
      <c r="AR220" s="26"/>
      <c r="AS220" s="26"/>
      <c r="AT220" s="26"/>
      <c r="AU220" s="26"/>
      <c r="AV220" s="26"/>
      <c r="AW220" s="26"/>
      <c r="AX220" s="26"/>
      <c r="AY220" s="26"/>
      <c r="AZ220" s="26"/>
      <c r="BA220" s="26"/>
      <c r="BB220" s="26"/>
      <c r="BC220" s="26"/>
    </row>
    <row r="221" spans="1:55" x14ac:dyDescent="0.3">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c r="AA221" s="26"/>
      <c r="AB221" s="26"/>
      <c r="AC221" s="26"/>
      <c r="AD221" s="26"/>
      <c r="AE221" s="26"/>
      <c r="AF221" s="26"/>
      <c r="AG221" s="26"/>
      <c r="AH221" s="26"/>
      <c r="AI221" s="26"/>
      <c r="AJ221" s="26"/>
      <c r="AK221" s="26"/>
      <c r="AL221" s="26"/>
      <c r="AM221" s="26"/>
      <c r="AN221" s="26"/>
      <c r="AO221" s="26"/>
      <c r="AP221" s="26"/>
      <c r="AQ221" s="26"/>
      <c r="AR221" s="26"/>
      <c r="AS221" s="26"/>
      <c r="AT221" s="26"/>
      <c r="AU221" s="26"/>
      <c r="AV221" s="26"/>
      <c r="AW221" s="26"/>
      <c r="AX221" s="26"/>
      <c r="AY221" s="26"/>
      <c r="AZ221" s="26"/>
      <c r="BA221" s="26"/>
      <c r="BB221" s="26"/>
      <c r="BC221" s="26"/>
    </row>
    <row r="222" spans="1:55" x14ac:dyDescent="0.3">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c r="AA222" s="26"/>
      <c r="AB222" s="26"/>
      <c r="AC222" s="26"/>
      <c r="AD222" s="26"/>
      <c r="AE222" s="26"/>
      <c r="AF222" s="26"/>
      <c r="AG222" s="26"/>
      <c r="AH222" s="26"/>
      <c r="AI222" s="26"/>
      <c r="AJ222" s="26"/>
      <c r="AK222" s="26"/>
      <c r="AL222" s="26"/>
      <c r="AM222" s="26"/>
      <c r="AN222" s="26"/>
      <c r="AO222" s="26"/>
      <c r="AP222" s="26"/>
      <c r="AQ222" s="26"/>
      <c r="AR222" s="26"/>
      <c r="AS222" s="26"/>
      <c r="AT222" s="26"/>
      <c r="AU222" s="26"/>
      <c r="AV222" s="26"/>
      <c r="AW222" s="26"/>
      <c r="AX222" s="26"/>
      <c r="AY222" s="26"/>
      <c r="AZ222" s="26"/>
      <c r="BA222" s="26"/>
      <c r="BB222" s="26"/>
      <c r="BC222" s="26"/>
    </row>
    <row r="223" spans="1:55" x14ac:dyDescent="0.3">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c r="AA223" s="26"/>
      <c r="AB223" s="26"/>
      <c r="AC223" s="26"/>
      <c r="AD223" s="26"/>
      <c r="AE223" s="26"/>
      <c r="AF223" s="26"/>
      <c r="AG223" s="26"/>
      <c r="AH223" s="26"/>
      <c r="AI223" s="26"/>
      <c r="AJ223" s="26"/>
      <c r="AK223" s="26"/>
      <c r="AL223" s="26"/>
      <c r="AM223" s="26"/>
      <c r="AN223" s="26"/>
      <c r="AO223" s="26"/>
      <c r="AP223" s="26"/>
      <c r="AQ223" s="26"/>
      <c r="AR223" s="26"/>
      <c r="AS223" s="26"/>
      <c r="AT223" s="26"/>
      <c r="AU223" s="26"/>
      <c r="AV223" s="26"/>
      <c r="AW223" s="26"/>
      <c r="AX223" s="26"/>
      <c r="AY223" s="26"/>
      <c r="AZ223" s="26"/>
      <c r="BA223" s="26"/>
      <c r="BB223" s="26"/>
      <c r="BC223" s="26"/>
    </row>
    <row r="224" spans="1:55" x14ac:dyDescent="0.3">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c r="AA224" s="26"/>
      <c r="AB224" s="26"/>
      <c r="AC224" s="26"/>
      <c r="AD224" s="26"/>
      <c r="AE224" s="26"/>
      <c r="AF224" s="26"/>
      <c r="AG224" s="26"/>
      <c r="AH224" s="26"/>
      <c r="AI224" s="26"/>
      <c r="AJ224" s="26"/>
      <c r="AK224" s="26"/>
      <c r="AL224" s="26"/>
      <c r="AM224" s="26"/>
      <c r="AN224" s="26"/>
      <c r="AO224" s="26"/>
      <c r="AP224" s="26"/>
      <c r="AQ224" s="26"/>
      <c r="AR224" s="26"/>
      <c r="AS224" s="26"/>
      <c r="AT224" s="26"/>
      <c r="AU224" s="26"/>
      <c r="AV224" s="26"/>
      <c r="AW224" s="26"/>
      <c r="AX224" s="26"/>
      <c r="AY224" s="26"/>
      <c r="AZ224" s="26"/>
      <c r="BA224" s="26"/>
      <c r="BB224" s="26"/>
      <c r="BC224" s="26"/>
    </row>
    <row r="225" spans="1:55" x14ac:dyDescent="0.3">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c r="AA225" s="26"/>
      <c r="AB225" s="26"/>
      <c r="AC225" s="26"/>
      <c r="AD225" s="26"/>
      <c r="AE225" s="26"/>
      <c r="AF225" s="26"/>
      <c r="AG225" s="26"/>
      <c r="AH225" s="26"/>
      <c r="AI225" s="26"/>
      <c r="AJ225" s="26"/>
      <c r="AK225" s="26"/>
      <c r="AL225" s="26"/>
      <c r="AM225" s="26"/>
      <c r="AN225" s="26"/>
      <c r="AO225" s="26"/>
      <c r="AP225" s="26"/>
      <c r="AQ225" s="26"/>
      <c r="AR225" s="26"/>
      <c r="AS225" s="26"/>
      <c r="AT225" s="26"/>
      <c r="AU225" s="26"/>
      <c r="AV225" s="26"/>
      <c r="AW225" s="26"/>
      <c r="AX225" s="26"/>
      <c r="AY225" s="26"/>
      <c r="AZ225" s="26"/>
      <c r="BA225" s="26"/>
      <c r="BB225" s="26"/>
      <c r="BC225" s="26"/>
    </row>
    <row r="226" spans="1:55" x14ac:dyDescent="0.3">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c r="AA226" s="26"/>
      <c r="AB226" s="26"/>
      <c r="AC226" s="26"/>
      <c r="AD226" s="26"/>
      <c r="AE226" s="26"/>
      <c r="AF226" s="26"/>
      <c r="AG226" s="26"/>
      <c r="AH226" s="26"/>
      <c r="AI226" s="26"/>
      <c r="AJ226" s="26"/>
      <c r="AK226" s="26"/>
      <c r="AL226" s="26"/>
      <c r="AM226" s="26"/>
      <c r="AN226" s="26"/>
      <c r="AO226" s="26"/>
      <c r="AP226" s="26"/>
      <c r="AQ226" s="26"/>
      <c r="AR226" s="26"/>
      <c r="AS226" s="26"/>
      <c r="AT226" s="26"/>
      <c r="AU226" s="26"/>
      <c r="AV226" s="26"/>
      <c r="AW226" s="26"/>
      <c r="AX226" s="26"/>
      <c r="AY226" s="26"/>
      <c r="AZ226" s="26"/>
      <c r="BA226" s="26"/>
      <c r="BB226" s="26"/>
      <c r="BC226" s="26"/>
    </row>
    <row r="227" spans="1:55" x14ac:dyDescent="0.3">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c r="AA227" s="26"/>
      <c r="AB227" s="26"/>
      <c r="AC227" s="26"/>
      <c r="AD227" s="26"/>
      <c r="AE227" s="26"/>
      <c r="AF227" s="26"/>
      <c r="AG227" s="26"/>
      <c r="AH227" s="26"/>
      <c r="AI227" s="26"/>
      <c r="AJ227" s="26"/>
      <c r="AK227" s="26"/>
      <c r="AL227" s="26"/>
      <c r="AM227" s="26"/>
      <c r="AN227" s="26"/>
      <c r="AO227" s="26"/>
      <c r="AP227" s="26"/>
      <c r="AQ227" s="26"/>
      <c r="AR227" s="26"/>
      <c r="AS227" s="26"/>
      <c r="AT227" s="26"/>
      <c r="AU227" s="26"/>
      <c r="AV227" s="26"/>
      <c r="AW227" s="26"/>
      <c r="AX227" s="26"/>
      <c r="AY227" s="26"/>
      <c r="AZ227" s="26"/>
      <c r="BA227" s="26"/>
      <c r="BB227" s="26"/>
      <c r="BC227" s="26"/>
    </row>
    <row r="228" spans="1:55" x14ac:dyDescent="0.3">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c r="AA228" s="26"/>
      <c r="AB228" s="26"/>
      <c r="AC228" s="26"/>
      <c r="AD228" s="26"/>
      <c r="AE228" s="26"/>
      <c r="AF228" s="26"/>
      <c r="AG228" s="26"/>
      <c r="AH228" s="26"/>
      <c r="AI228" s="26"/>
      <c r="AJ228" s="26"/>
      <c r="AK228" s="26"/>
      <c r="AL228" s="26"/>
      <c r="AM228" s="26"/>
      <c r="AN228" s="26"/>
      <c r="AO228" s="26"/>
      <c r="AP228" s="26"/>
      <c r="AQ228" s="26"/>
      <c r="AR228" s="26"/>
      <c r="AS228" s="26"/>
      <c r="AT228" s="26"/>
      <c r="AU228" s="26"/>
      <c r="AV228" s="26"/>
      <c r="AW228" s="26"/>
      <c r="AX228" s="26"/>
      <c r="AY228" s="26"/>
      <c r="AZ228" s="26"/>
      <c r="BA228" s="26"/>
      <c r="BB228" s="26"/>
      <c r="BC228" s="26"/>
    </row>
    <row r="229" spans="1:55" x14ac:dyDescent="0.3">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c r="AA229" s="26"/>
      <c r="AB229" s="26"/>
      <c r="AC229" s="26"/>
      <c r="AD229" s="26"/>
      <c r="AE229" s="26"/>
      <c r="AF229" s="26"/>
      <c r="AG229" s="26"/>
      <c r="AH229" s="26"/>
      <c r="AI229" s="26"/>
      <c r="AJ229" s="26"/>
      <c r="AK229" s="26"/>
      <c r="AL229" s="26"/>
      <c r="AM229" s="26"/>
      <c r="AN229" s="26"/>
      <c r="AO229" s="26"/>
      <c r="AP229" s="26"/>
      <c r="AQ229" s="26"/>
      <c r="AR229" s="26"/>
      <c r="AS229" s="26"/>
      <c r="AT229" s="26"/>
      <c r="AU229" s="26"/>
      <c r="AV229" s="26"/>
      <c r="AW229" s="26"/>
      <c r="AX229" s="26"/>
      <c r="AY229" s="26"/>
      <c r="AZ229" s="26"/>
      <c r="BA229" s="26"/>
      <c r="BB229" s="26"/>
      <c r="BC229" s="26"/>
    </row>
    <row r="230" spans="1:55" x14ac:dyDescent="0.3">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c r="AA230" s="26"/>
      <c r="AB230" s="26"/>
      <c r="AC230" s="26"/>
      <c r="AD230" s="26"/>
      <c r="AE230" s="26"/>
      <c r="AF230" s="26"/>
      <c r="AG230" s="26"/>
      <c r="AH230" s="26"/>
      <c r="AI230" s="26"/>
      <c r="AJ230" s="26"/>
      <c r="AK230" s="26"/>
      <c r="AL230" s="26"/>
      <c r="AM230" s="26"/>
      <c r="AN230" s="26"/>
      <c r="AO230" s="26"/>
      <c r="AP230" s="26"/>
      <c r="AQ230" s="26"/>
      <c r="AR230" s="26"/>
      <c r="AS230" s="26"/>
      <c r="AT230" s="26"/>
      <c r="AU230" s="26"/>
      <c r="AV230" s="26"/>
      <c r="AW230" s="26"/>
      <c r="AX230" s="26"/>
      <c r="AY230" s="26"/>
      <c r="AZ230" s="26"/>
      <c r="BA230" s="26"/>
      <c r="BB230" s="26"/>
      <c r="BC230" s="26"/>
    </row>
    <row r="231" spans="1:55" x14ac:dyDescent="0.3">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c r="AA231" s="26"/>
      <c r="AB231" s="26"/>
      <c r="AC231" s="26"/>
      <c r="AD231" s="26"/>
      <c r="AE231" s="26"/>
      <c r="AF231" s="26"/>
      <c r="AG231" s="26"/>
      <c r="AH231" s="26"/>
      <c r="AI231" s="26"/>
      <c r="AJ231" s="26"/>
      <c r="AK231" s="26"/>
      <c r="AL231" s="26"/>
      <c r="AM231" s="26"/>
      <c r="AN231" s="26"/>
      <c r="AO231" s="26"/>
      <c r="AP231" s="26"/>
      <c r="AQ231" s="26"/>
      <c r="AR231" s="26"/>
      <c r="AS231" s="26"/>
      <c r="AT231" s="26"/>
      <c r="AU231" s="26"/>
      <c r="AV231" s="26"/>
      <c r="AW231" s="26"/>
      <c r="AX231" s="26"/>
      <c r="AY231" s="26"/>
      <c r="AZ231" s="26"/>
      <c r="BA231" s="26"/>
      <c r="BB231" s="26"/>
      <c r="BC231" s="26"/>
    </row>
    <row r="232" spans="1:55" x14ac:dyDescent="0.3">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c r="AA232" s="26"/>
      <c r="AB232" s="26"/>
      <c r="AC232" s="26"/>
      <c r="AD232" s="26"/>
      <c r="AE232" s="26"/>
      <c r="AF232" s="26"/>
      <c r="AG232" s="26"/>
      <c r="AH232" s="26"/>
      <c r="AI232" s="26"/>
      <c r="AJ232" s="26"/>
      <c r="AK232" s="26"/>
      <c r="AL232" s="26"/>
      <c r="AM232" s="26"/>
      <c r="AN232" s="26"/>
      <c r="AO232" s="26"/>
      <c r="AP232" s="26"/>
      <c r="AQ232" s="26"/>
      <c r="AR232" s="26"/>
      <c r="AS232" s="26"/>
      <c r="AT232" s="26"/>
      <c r="AU232" s="26"/>
      <c r="AV232" s="26"/>
      <c r="AW232" s="26"/>
      <c r="AX232" s="26"/>
      <c r="AY232" s="26"/>
      <c r="AZ232" s="26"/>
      <c r="BA232" s="26"/>
      <c r="BB232" s="26"/>
      <c r="BC232" s="26"/>
    </row>
    <row r="233" spans="1:55" x14ac:dyDescent="0.3">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c r="AA233" s="26"/>
      <c r="AB233" s="26"/>
      <c r="AC233" s="26"/>
      <c r="AD233" s="26"/>
      <c r="AE233" s="26"/>
      <c r="AF233" s="26"/>
      <c r="AG233" s="26"/>
      <c r="AH233" s="26"/>
      <c r="AI233" s="26"/>
      <c r="AJ233" s="26"/>
      <c r="AK233" s="26"/>
      <c r="AL233" s="26"/>
      <c r="AM233" s="26"/>
      <c r="AN233" s="26"/>
      <c r="AO233" s="26"/>
      <c r="AP233" s="26"/>
      <c r="AQ233" s="26"/>
      <c r="AR233" s="26"/>
      <c r="AS233" s="26"/>
      <c r="AT233" s="26"/>
      <c r="AU233" s="26"/>
      <c r="AV233" s="26"/>
      <c r="AW233" s="26"/>
      <c r="AX233" s="26"/>
      <c r="AY233" s="26"/>
      <c r="AZ233" s="26"/>
      <c r="BA233" s="26"/>
      <c r="BB233" s="26"/>
      <c r="BC233" s="26"/>
    </row>
    <row r="234" spans="1:55" x14ac:dyDescent="0.3">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c r="AA234" s="26"/>
      <c r="AB234" s="26"/>
      <c r="AC234" s="26"/>
      <c r="AD234" s="26"/>
      <c r="AE234" s="26"/>
      <c r="AF234" s="26"/>
      <c r="AG234" s="26"/>
      <c r="AH234" s="26"/>
      <c r="AI234" s="26"/>
      <c r="AJ234" s="26"/>
      <c r="AK234" s="26"/>
      <c r="AL234" s="26"/>
      <c r="AM234" s="26"/>
      <c r="AN234" s="26"/>
      <c r="AO234" s="26"/>
      <c r="AP234" s="26"/>
      <c r="AQ234" s="26"/>
      <c r="AR234" s="26"/>
      <c r="AS234" s="26"/>
      <c r="AT234" s="26"/>
      <c r="AU234" s="26"/>
      <c r="AV234" s="26"/>
      <c r="AW234" s="26"/>
      <c r="AX234" s="26"/>
      <c r="AY234" s="26"/>
      <c r="AZ234" s="26"/>
      <c r="BA234" s="26"/>
      <c r="BB234" s="26"/>
      <c r="BC234" s="26"/>
    </row>
    <row r="235" spans="1:55" x14ac:dyDescent="0.3">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c r="AA235" s="26"/>
      <c r="AB235" s="26"/>
      <c r="AC235" s="26"/>
      <c r="AD235" s="26"/>
      <c r="AE235" s="26"/>
      <c r="AF235" s="26"/>
      <c r="AG235" s="26"/>
      <c r="AH235" s="26"/>
      <c r="AI235" s="26"/>
      <c r="AJ235" s="26"/>
      <c r="AK235" s="26"/>
      <c r="AL235" s="26"/>
      <c r="AM235" s="26"/>
      <c r="AN235" s="26"/>
      <c r="AO235" s="26"/>
      <c r="AP235" s="26"/>
      <c r="AQ235" s="26"/>
      <c r="AR235" s="26"/>
      <c r="AS235" s="26"/>
      <c r="AT235" s="26"/>
      <c r="AU235" s="26"/>
      <c r="AV235" s="26"/>
      <c r="AW235" s="26"/>
      <c r="AX235" s="26"/>
      <c r="AY235" s="26"/>
      <c r="AZ235" s="26"/>
      <c r="BA235" s="26"/>
      <c r="BB235" s="26"/>
      <c r="BC235" s="26"/>
    </row>
    <row r="236" spans="1:55" x14ac:dyDescent="0.3">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c r="AA236" s="26"/>
      <c r="AB236" s="26"/>
      <c r="AC236" s="26"/>
      <c r="AD236" s="26"/>
      <c r="AE236" s="26"/>
      <c r="AF236" s="26"/>
      <c r="AG236" s="26"/>
      <c r="AH236" s="26"/>
      <c r="AI236" s="26"/>
      <c r="AJ236" s="26"/>
      <c r="AK236" s="26"/>
      <c r="AL236" s="26"/>
      <c r="AM236" s="26"/>
      <c r="AN236" s="26"/>
      <c r="AO236" s="26"/>
      <c r="AP236" s="26"/>
      <c r="AQ236" s="26"/>
      <c r="AR236" s="26"/>
      <c r="AS236" s="26"/>
      <c r="AT236" s="26"/>
      <c r="AU236" s="26"/>
      <c r="AV236" s="26"/>
      <c r="AW236" s="26"/>
      <c r="AX236" s="26"/>
      <c r="AY236" s="26"/>
      <c r="AZ236" s="26"/>
      <c r="BA236" s="26"/>
      <c r="BB236" s="26"/>
      <c r="BC236" s="26"/>
    </row>
    <row r="237" spans="1:55" x14ac:dyDescent="0.3">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c r="AA237" s="26"/>
      <c r="AB237" s="26"/>
      <c r="AC237" s="26"/>
      <c r="AD237" s="26"/>
      <c r="AE237" s="26"/>
      <c r="AF237" s="26"/>
      <c r="AG237" s="26"/>
      <c r="AH237" s="26"/>
      <c r="AI237" s="26"/>
      <c r="AJ237" s="26"/>
      <c r="AK237" s="26"/>
      <c r="AL237" s="26"/>
      <c r="AM237" s="26"/>
      <c r="AN237" s="26"/>
      <c r="AO237" s="26"/>
      <c r="AP237" s="26"/>
      <c r="AQ237" s="26"/>
      <c r="AR237" s="26"/>
      <c r="AS237" s="26"/>
      <c r="AT237" s="26"/>
      <c r="AU237" s="26"/>
      <c r="AV237" s="26"/>
      <c r="AW237" s="26"/>
      <c r="AX237" s="26"/>
      <c r="AY237" s="26"/>
      <c r="AZ237" s="26"/>
      <c r="BA237" s="26"/>
      <c r="BB237" s="26"/>
      <c r="BC237" s="26"/>
    </row>
    <row r="238" spans="1:55" x14ac:dyDescent="0.3">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c r="AA238" s="26"/>
      <c r="AB238" s="26"/>
      <c r="AC238" s="26"/>
      <c r="AD238" s="26"/>
      <c r="AE238" s="26"/>
      <c r="AF238" s="26"/>
      <c r="AG238" s="26"/>
      <c r="AH238" s="26"/>
      <c r="AI238" s="26"/>
      <c r="AJ238" s="26"/>
      <c r="AK238" s="26"/>
      <c r="AL238" s="26"/>
      <c r="AM238" s="26"/>
      <c r="AN238" s="26"/>
      <c r="AO238" s="26"/>
      <c r="AP238" s="26"/>
      <c r="AQ238" s="26"/>
      <c r="AR238" s="26"/>
      <c r="AS238" s="26"/>
      <c r="AT238" s="26"/>
      <c r="AU238" s="26"/>
      <c r="AV238" s="26"/>
      <c r="AW238" s="26"/>
      <c r="AX238" s="26"/>
      <c r="AY238" s="26"/>
      <c r="AZ238" s="26"/>
      <c r="BA238" s="26"/>
      <c r="BB238" s="26"/>
      <c r="BC238" s="26"/>
    </row>
    <row r="239" spans="1:55" x14ac:dyDescent="0.3">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c r="AA239" s="26"/>
      <c r="AB239" s="26"/>
      <c r="AC239" s="26"/>
      <c r="AD239" s="26"/>
      <c r="AE239" s="26"/>
      <c r="AF239" s="26"/>
      <c r="AG239" s="26"/>
      <c r="AH239" s="26"/>
      <c r="AI239" s="26"/>
      <c r="AJ239" s="26"/>
      <c r="AK239" s="26"/>
      <c r="AL239" s="26"/>
      <c r="AM239" s="26"/>
      <c r="AN239" s="26"/>
      <c r="AO239" s="26"/>
      <c r="AP239" s="26"/>
      <c r="AQ239" s="26"/>
      <c r="AR239" s="26"/>
      <c r="AS239" s="26"/>
      <c r="AT239" s="26"/>
      <c r="AU239" s="26"/>
      <c r="AV239" s="26"/>
      <c r="AW239" s="26"/>
      <c r="AX239" s="26"/>
      <c r="AY239" s="26"/>
      <c r="AZ239" s="26"/>
      <c r="BA239" s="26"/>
      <c r="BB239" s="26"/>
      <c r="BC239" s="26"/>
    </row>
    <row r="240" spans="1:55" x14ac:dyDescent="0.3">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c r="AA240" s="26"/>
      <c r="AB240" s="26"/>
      <c r="AC240" s="26"/>
      <c r="AD240" s="26"/>
      <c r="AE240" s="26"/>
      <c r="AF240" s="26"/>
      <c r="AG240" s="26"/>
      <c r="AH240" s="26"/>
      <c r="AI240" s="26"/>
      <c r="AJ240" s="26"/>
      <c r="AK240" s="26"/>
      <c r="AL240" s="26"/>
      <c r="AM240" s="26"/>
      <c r="AN240" s="26"/>
      <c r="AO240" s="26"/>
      <c r="AP240" s="26"/>
      <c r="AQ240" s="26"/>
      <c r="AR240" s="26"/>
      <c r="AS240" s="26"/>
      <c r="AT240" s="26"/>
      <c r="AU240" s="26"/>
      <c r="AV240" s="26"/>
      <c r="AW240" s="26"/>
      <c r="AX240" s="26"/>
      <c r="AY240" s="26"/>
      <c r="AZ240" s="26"/>
      <c r="BA240" s="26"/>
      <c r="BB240" s="26"/>
      <c r="BC240" s="26"/>
    </row>
    <row r="241" spans="1:55" x14ac:dyDescent="0.3">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c r="AA241" s="26"/>
      <c r="AB241" s="26"/>
      <c r="AC241" s="26"/>
      <c r="AD241" s="26"/>
      <c r="AE241" s="26"/>
      <c r="AF241" s="26"/>
      <c r="AG241" s="26"/>
      <c r="AH241" s="26"/>
      <c r="AI241" s="26"/>
      <c r="AJ241" s="26"/>
      <c r="AK241" s="26"/>
      <c r="AL241" s="26"/>
      <c r="AM241" s="26"/>
      <c r="AN241" s="26"/>
      <c r="AO241" s="26"/>
      <c r="AP241" s="26"/>
      <c r="AQ241" s="26"/>
      <c r="AR241" s="26"/>
      <c r="AS241" s="26"/>
      <c r="AT241" s="26"/>
      <c r="AU241" s="26"/>
      <c r="AV241" s="26"/>
      <c r="AW241" s="26"/>
      <c r="AX241" s="26"/>
      <c r="AY241" s="26"/>
      <c r="AZ241" s="26"/>
      <c r="BA241" s="26"/>
      <c r="BB241" s="26"/>
      <c r="BC241" s="26"/>
    </row>
    <row r="242" spans="1:55" x14ac:dyDescent="0.3">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c r="AA242" s="26"/>
      <c r="AB242" s="26"/>
      <c r="AC242" s="26"/>
      <c r="AD242" s="26"/>
      <c r="AE242" s="26"/>
      <c r="AF242" s="26"/>
      <c r="AG242" s="26"/>
      <c r="AH242" s="26"/>
      <c r="AI242" s="26"/>
      <c r="AJ242" s="26"/>
      <c r="AK242" s="26"/>
      <c r="AL242" s="26"/>
      <c r="AM242" s="26"/>
      <c r="AN242" s="26"/>
      <c r="AO242" s="26"/>
      <c r="AP242" s="26"/>
      <c r="AQ242" s="26"/>
      <c r="AR242" s="26"/>
      <c r="AS242" s="26"/>
      <c r="AT242" s="26"/>
      <c r="AU242" s="26"/>
      <c r="AV242" s="26"/>
      <c r="AW242" s="26"/>
      <c r="AX242" s="26"/>
      <c r="AY242" s="26"/>
      <c r="AZ242" s="26"/>
      <c r="BA242" s="26"/>
      <c r="BB242" s="26"/>
      <c r="BC242" s="26"/>
    </row>
    <row r="243" spans="1:55" x14ac:dyDescent="0.3">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c r="AA243" s="26"/>
      <c r="AB243" s="26"/>
      <c r="AC243" s="26"/>
      <c r="AD243" s="26"/>
      <c r="AE243" s="26"/>
      <c r="AF243" s="26"/>
      <c r="AG243" s="26"/>
      <c r="AH243" s="26"/>
      <c r="AI243" s="26"/>
      <c r="AJ243" s="26"/>
      <c r="AK243" s="26"/>
      <c r="AL243" s="26"/>
      <c r="AM243" s="26"/>
      <c r="AN243" s="26"/>
      <c r="AO243" s="26"/>
      <c r="AP243" s="26"/>
      <c r="AQ243" s="26"/>
      <c r="AR243" s="26"/>
      <c r="AS243" s="26"/>
      <c r="AT243" s="26"/>
      <c r="AU243" s="26"/>
      <c r="AV243" s="26"/>
      <c r="AW243" s="26"/>
      <c r="AX243" s="26"/>
      <c r="AY243" s="26"/>
      <c r="AZ243" s="26"/>
      <c r="BA243" s="26"/>
      <c r="BB243" s="26"/>
      <c r="BC243" s="26"/>
    </row>
    <row r="244" spans="1:55" x14ac:dyDescent="0.3">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c r="AA244" s="26"/>
      <c r="AB244" s="26"/>
      <c r="AC244" s="26"/>
      <c r="AD244" s="26"/>
      <c r="AE244" s="26"/>
      <c r="AF244" s="26"/>
      <c r="AG244" s="26"/>
      <c r="AH244" s="26"/>
      <c r="AI244" s="26"/>
      <c r="AJ244" s="26"/>
      <c r="AK244" s="26"/>
      <c r="AL244" s="26"/>
      <c r="AM244" s="26"/>
      <c r="AN244" s="26"/>
      <c r="AO244" s="26"/>
      <c r="AP244" s="26"/>
      <c r="AQ244" s="26"/>
      <c r="AR244" s="26"/>
      <c r="AS244" s="26"/>
      <c r="AT244" s="26"/>
      <c r="AU244" s="26"/>
      <c r="AV244" s="26"/>
      <c r="AW244" s="26"/>
      <c r="AX244" s="26"/>
      <c r="AY244" s="26"/>
      <c r="AZ244" s="26"/>
      <c r="BA244" s="26"/>
      <c r="BB244" s="26"/>
      <c r="BC244" s="26"/>
    </row>
    <row r="245" spans="1:55" x14ac:dyDescent="0.3">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c r="AA245" s="26"/>
      <c r="AB245" s="26"/>
      <c r="AC245" s="26"/>
      <c r="AD245" s="26"/>
      <c r="AE245" s="26"/>
      <c r="AF245" s="26"/>
      <c r="AG245" s="26"/>
      <c r="AH245" s="26"/>
      <c r="AI245" s="26"/>
      <c r="AJ245" s="26"/>
      <c r="AK245" s="26"/>
      <c r="AL245" s="26"/>
      <c r="AM245" s="26"/>
      <c r="AN245" s="26"/>
      <c r="AO245" s="26"/>
      <c r="AP245" s="26"/>
      <c r="AQ245" s="26"/>
      <c r="AR245" s="26"/>
      <c r="AS245" s="26"/>
      <c r="AT245" s="26"/>
      <c r="AU245" s="26"/>
      <c r="AV245" s="26"/>
      <c r="AW245" s="26"/>
      <c r="AX245" s="26"/>
      <c r="AY245" s="26"/>
      <c r="AZ245" s="26"/>
      <c r="BA245" s="26"/>
      <c r="BB245" s="26"/>
      <c r="BC245" s="26"/>
    </row>
    <row r="246" spans="1:55" x14ac:dyDescent="0.3">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c r="AA246" s="26"/>
      <c r="AB246" s="26"/>
      <c r="AC246" s="26"/>
      <c r="AD246" s="26"/>
      <c r="AE246" s="26"/>
      <c r="AF246" s="26"/>
      <c r="AG246" s="26"/>
      <c r="AH246" s="26"/>
      <c r="AI246" s="26"/>
      <c r="AJ246" s="26"/>
      <c r="AK246" s="26"/>
      <c r="AL246" s="26"/>
      <c r="AM246" s="26"/>
      <c r="AN246" s="26"/>
      <c r="AO246" s="26"/>
      <c r="AP246" s="26"/>
      <c r="AQ246" s="26"/>
      <c r="AR246" s="26"/>
      <c r="AS246" s="26"/>
      <c r="AT246" s="26"/>
      <c r="AU246" s="26"/>
      <c r="AV246" s="26"/>
      <c r="AW246" s="26"/>
      <c r="AX246" s="26"/>
      <c r="AY246" s="26"/>
      <c r="AZ246" s="26"/>
      <c r="BA246" s="26"/>
      <c r="BB246" s="26"/>
      <c r="BC246" s="26"/>
    </row>
    <row r="247" spans="1:55" x14ac:dyDescent="0.3">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c r="AA247" s="26"/>
      <c r="AB247" s="26"/>
      <c r="AC247" s="26"/>
      <c r="AD247" s="26"/>
      <c r="AE247" s="26"/>
      <c r="AF247" s="26"/>
      <c r="AG247" s="26"/>
      <c r="AH247" s="26"/>
      <c r="AI247" s="26"/>
      <c r="AJ247" s="26"/>
      <c r="AK247" s="26"/>
      <c r="AL247" s="26"/>
      <c r="AM247" s="26"/>
      <c r="AN247" s="26"/>
      <c r="AO247" s="26"/>
      <c r="AP247" s="26"/>
      <c r="AQ247" s="26"/>
      <c r="AR247" s="26"/>
      <c r="AS247" s="26"/>
      <c r="AT247" s="26"/>
      <c r="AU247" s="26"/>
      <c r="AV247" s="26"/>
      <c r="AW247" s="26"/>
      <c r="AX247" s="26"/>
      <c r="AY247" s="26"/>
      <c r="AZ247" s="26"/>
      <c r="BA247" s="26"/>
      <c r="BB247" s="26"/>
      <c r="BC247" s="26"/>
    </row>
    <row r="248" spans="1:55" x14ac:dyDescent="0.3">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c r="AA248" s="26"/>
      <c r="AB248" s="26"/>
      <c r="AC248" s="26"/>
      <c r="AD248" s="26"/>
      <c r="AE248" s="26"/>
      <c r="AF248" s="26"/>
      <c r="AG248" s="26"/>
      <c r="AH248" s="26"/>
      <c r="AI248" s="26"/>
      <c r="AJ248" s="26"/>
      <c r="AK248" s="26"/>
      <c r="AL248" s="26"/>
      <c r="AM248" s="26"/>
      <c r="AN248" s="26"/>
      <c r="AO248" s="26"/>
      <c r="AP248" s="26"/>
      <c r="AQ248" s="26"/>
      <c r="AR248" s="26"/>
      <c r="AS248" s="26"/>
      <c r="AT248" s="26"/>
      <c r="AU248" s="26"/>
      <c r="AV248" s="26"/>
      <c r="AW248" s="26"/>
      <c r="AX248" s="26"/>
      <c r="AY248" s="26"/>
      <c r="AZ248" s="26"/>
      <c r="BA248" s="26"/>
      <c r="BB248" s="26"/>
      <c r="BC248" s="26"/>
    </row>
    <row r="249" spans="1:55" x14ac:dyDescent="0.3">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c r="AA249" s="26"/>
      <c r="AB249" s="26"/>
      <c r="AC249" s="26"/>
      <c r="AD249" s="26"/>
      <c r="AE249" s="26"/>
      <c r="AF249" s="26"/>
      <c r="AG249" s="26"/>
      <c r="AH249" s="26"/>
      <c r="AI249" s="26"/>
      <c r="AJ249" s="26"/>
      <c r="AK249" s="26"/>
      <c r="AL249" s="26"/>
      <c r="AM249" s="26"/>
      <c r="AN249" s="26"/>
      <c r="AO249" s="26"/>
      <c r="AP249" s="26"/>
      <c r="AQ249" s="26"/>
      <c r="AR249" s="26"/>
      <c r="AS249" s="26"/>
      <c r="AT249" s="26"/>
      <c r="AU249" s="26"/>
      <c r="AV249" s="26"/>
      <c r="AW249" s="26"/>
      <c r="AX249" s="26"/>
      <c r="AY249" s="26"/>
      <c r="AZ249" s="26"/>
      <c r="BA249" s="26"/>
      <c r="BB249" s="26"/>
      <c r="BC249" s="26"/>
    </row>
    <row r="250" spans="1:55" x14ac:dyDescent="0.3">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c r="AA250" s="26"/>
      <c r="AB250" s="26"/>
      <c r="AC250" s="26"/>
      <c r="AD250" s="26"/>
      <c r="AE250" s="26"/>
      <c r="AF250" s="26"/>
      <c r="AG250" s="26"/>
      <c r="AH250" s="26"/>
      <c r="AI250" s="26"/>
      <c r="AJ250" s="26"/>
      <c r="AK250" s="26"/>
      <c r="AL250" s="26"/>
      <c r="AM250" s="26"/>
      <c r="AN250" s="26"/>
      <c r="AO250" s="26"/>
      <c r="AP250" s="26"/>
      <c r="AQ250" s="26"/>
      <c r="AR250" s="26"/>
      <c r="AS250" s="26"/>
      <c r="AT250" s="26"/>
      <c r="AU250" s="26"/>
      <c r="AV250" s="26"/>
      <c r="AW250" s="26"/>
      <c r="AX250" s="26"/>
      <c r="AY250" s="26"/>
      <c r="AZ250" s="26"/>
      <c r="BA250" s="26"/>
      <c r="BB250" s="26"/>
      <c r="BC250" s="26"/>
    </row>
    <row r="251" spans="1:55" x14ac:dyDescent="0.3">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c r="AA251" s="26"/>
      <c r="AB251" s="26"/>
      <c r="AC251" s="26"/>
      <c r="AD251" s="26"/>
      <c r="AE251" s="26"/>
      <c r="AF251" s="26"/>
      <c r="AG251" s="26"/>
      <c r="AH251" s="26"/>
      <c r="AI251" s="26"/>
      <c r="AJ251" s="26"/>
      <c r="AK251" s="26"/>
      <c r="AL251" s="26"/>
      <c r="AM251" s="26"/>
      <c r="AN251" s="26"/>
      <c r="AO251" s="26"/>
      <c r="AP251" s="26"/>
      <c r="AQ251" s="26"/>
      <c r="AR251" s="26"/>
      <c r="AS251" s="26"/>
      <c r="AT251" s="26"/>
      <c r="AU251" s="26"/>
      <c r="AV251" s="26"/>
      <c r="AW251" s="26"/>
      <c r="AX251" s="26"/>
      <c r="AY251" s="26"/>
      <c r="AZ251" s="26"/>
      <c r="BA251" s="26"/>
      <c r="BB251" s="26"/>
      <c r="BC251" s="26"/>
    </row>
    <row r="252" spans="1:55" x14ac:dyDescent="0.3">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c r="AA252" s="26"/>
      <c r="AB252" s="26"/>
      <c r="AC252" s="26"/>
      <c r="AD252" s="26"/>
      <c r="AE252" s="26"/>
      <c r="AF252" s="26"/>
      <c r="AG252" s="26"/>
      <c r="AH252" s="26"/>
      <c r="AI252" s="26"/>
      <c r="AJ252" s="26"/>
      <c r="AK252" s="26"/>
      <c r="AL252" s="26"/>
      <c r="AM252" s="26"/>
      <c r="AN252" s="26"/>
      <c r="AO252" s="26"/>
      <c r="AP252" s="26"/>
      <c r="AQ252" s="26"/>
      <c r="AR252" s="26"/>
      <c r="AS252" s="26"/>
      <c r="AT252" s="26"/>
      <c r="AU252" s="26"/>
      <c r="AV252" s="26"/>
      <c r="AW252" s="26"/>
      <c r="AX252" s="26"/>
      <c r="AY252" s="26"/>
      <c r="AZ252" s="26"/>
      <c r="BA252" s="26"/>
      <c r="BB252" s="26"/>
      <c r="BC252" s="26"/>
    </row>
    <row r="253" spans="1:55" x14ac:dyDescent="0.3">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c r="AA253" s="26"/>
      <c r="AB253" s="26"/>
      <c r="AC253" s="26"/>
      <c r="AD253" s="26"/>
      <c r="AE253" s="26"/>
      <c r="AF253" s="26"/>
      <c r="AG253" s="26"/>
      <c r="AH253" s="26"/>
      <c r="AI253" s="26"/>
      <c r="AJ253" s="26"/>
      <c r="AK253" s="26"/>
      <c r="AL253" s="26"/>
      <c r="AM253" s="26"/>
      <c r="AN253" s="26"/>
      <c r="AO253" s="26"/>
      <c r="AP253" s="26"/>
      <c r="AQ253" s="26"/>
      <c r="AR253" s="26"/>
      <c r="AS253" s="26"/>
      <c r="AT253" s="26"/>
      <c r="AU253" s="26"/>
      <c r="AV253" s="26"/>
      <c r="AW253" s="26"/>
      <c r="AX253" s="26"/>
      <c r="AY253" s="26"/>
      <c r="AZ253" s="26"/>
      <c r="BA253" s="26"/>
      <c r="BB253" s="26"/>
      <c r="BC253" s="26"/>
    </row>
    <row r="254" spans="1:55" x14ac:dyDescent="0.3">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c r="AA254" s="26"/>
      <c r="AB254" s="26"/>
      <c r="AC254" s="26"/>
      <c r="AD254" s="26"/>
      <c r="AE254" s="26"/>
      <c r="AF254" s="26"/>
      <c r="AG254" s="26"/>
      <c r="AH254" s="26"/>
      <c r="AI254" s="26"/>
      <c r="AJ254" s="26"/>
      <c r="AK254" s="26"/>
      <c r="AL254" s="26"/>
      <c r="AM254" s="26"/>
      <c r="AN254" s="26"/>
      <c r="AO254" s="26"/>
      <c r="AP254" s="26"/>
      <c r="AQ254" s="26"/>
      <c r="AR254" s="26"/>
      <c r="AS254" s="26"/>
      <c r="AT254" s="26"/>
      <c r="AU254" s="26"/>
      <c r="AV254" s="26"/>
      <c r="AW254" s="26"/>
      <c r="AX254" s="26"/>
      <c r="AY254" s="26"/>
      <c r="AZ254" s="26"/>
      <c r="BA254" s="26"/>
      <c r="BB254" s="26"/>
      <c r="BC254" s="26"/>
    </row>
    <row r="255" spans="1:55" x14ac:dyDescent="0.3">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c r="AA255" s="26"/>
      <c r="AB255" s="26"/>
      <c r="AC255" s="26"/>
      <c r="AD255" s="26"/>
      <c r="AE255" s="26"/>
      <c r="AF255" s="26"/>
      <c r="AG255" s="26"/>
      <c r="AH255" s="26"/>
      <c r="AI255" s="26"/>
      <c r="AJ255" s="26"/>
      <c r="AK255" s="26"/>
      <c r="AL255" s="26"/>
      <c r="AM255" s="26"/>
      <c r="AN255" s="26"/>
      <c r="AO255" s="26"/>
      <c r="AP255" s="26"/>
      <c r="AQ255" s="26"/>
      <c r="AR255" s="26"/>
      <c r="AS255" s="26"/>
      <c r="AT255" s="26"/>
      <c r="AU255" s="26"/>
      <c r="AV255" s="26"/>
      <c r="AW255" s="26"/>
      <c r="AX255" s="26"/>
      <c r="AY255" s="26"/>
      <c r="AZ255" s="26"/>
      <c r="BA255" s="26"/>
      <c r="BB255" s="26"/>
      <c r="BC255" s="26"/>
    </row>
    <row r="256" spans="1:55" x14ac:dyDescent="0.3">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c r="AA256" s="26"/>
      <c r="AB256" s="26"/>
      <c r="AC256" s="26"/>
      <c r="AD256" s="26"/>
      <c r="AE256" s="26"/>
      <c r="AF256" s="26"/>
      <c r="AG256" s="26"/>
      <c r="AH256" s="26"/>
      <c r="AI256" s="26"/>
      <c r="AJ256" s="26"/>
      <c r="AK256" s="26"/>
      <c r="AL256" s="26"/>
      <c r="AM256" s="26"/>
      <c r="AN256" s="26"/>
      <c r="AO256" s="26"/>
      <c r="AP256" s="26"/>
      <c r="AQ256" s="26"/>
      <c r="AR256" s="26"/>
      <c r="AS256" s="26"/>
      <c r="AT256" s="26"/>
      <c r="AU256" s="26"/>
      <c r="AV256" s="26"/>
      <c r="AW256" s="26"/>
      <c r="AX256" s="26"/>
      <c r="AY256" s="26"/>
      <c r="AZ256" s="26"/>
      <c r="BA256" s="26"/>
      <c r="BB256" s="26"/>
      <c r="BC256" s="26"/>
    </row>
    <row r="257" spans="1:55" x14ac:dyDescent="0.3">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c r="AA257" s="26"/>
      <c r="AB257" s="26"/>
      <c r="AC257" s="26"/>
      <c r="AD257" s="26"/>
      <c r="AE257" s="26"/>
      <c r="AF257" s="26"/>
      <c r="AG257" s="26"/>
      <c r="AH257" s="26"/>
      <c r="AI257" s="26"/>
      <c r="AJ257" s="26"/>
      <c r="AK257" s="26"/>
      <c r="AL257" s="26"/>
      <c r="AM257" s="26"/>
      <c r="AN257" s="26"/>
      <c r="AO257" s="26"/>
      <c r="AP257" s="26"/>
      <c r="AQ257" s="26"/>
      <c r="AR257" s="26"/>
      <c r="AS257" s="26"/>
      <c r="AT257" s="26"/>
      <c r="AU257" s="26"/>
      <c r="AV257" s="26"/>
      <c r="AW257" s="26"/>
      <c r="AX257" s="26"/>
      <c r="AY257" s="26"/>
      <c r="AZ257" s="26"/>
      <c r="BA257" s="26"/>
      <c r="BB257" s="26"/>
      <c r="BC257" s="26"/>
    </row>
    <row r="258" spans="1:55" x14ac:dyDescent="0.3">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c r="AA258" s="26"/>
      <c r="AB258" s="26"/>
      <c r="AC258" s="26"/>
      <c r="AD258" s="26"/>
      <c r="AE258" s="26"/>
      <c r="AF258" s="26"/>
      <c r="AG258" s="26"/>
      <c r="AH258" s="26"/>
      <c r="AI258" s="26"/>
      <c r="AJ258" s="26"/>
      <c r="AK258" s="26"/>
      <c r="AL258" s="26"/>
      <c r="AM258" s="26"/>
      <c r="AN258" s="26"/>
      <c r="AO258" s="26"/>
      <c r="AP258" s="26"/>
      <c r="AQ258" s="26"/>
      <c r="AR258" s="26"/>
      <c r="AS258" s="26"/>
      <c r="AT258" s="26"/>
      <c r="AU258" s="26"/>
      <c r="AV258" s="26"/>
      <c r="AW258" s="26"/>
      <c r="AX258" s="26"/>
      <c r="AY258" s="26"/>
      <c r="AZ258" s="26"/>
      <c r="BA258" s="26"/>
      <c r="BB258" s="26"/>
      <c r="BC258" s="26"/>
    </row>
    <row r="259" spans="1:55" x14ac:dyDescent="0.3">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c r="AA259" s="26"/>
      <c r="AB259" s="26"/>
      <c r="AC259" s="26"/>
      <c r="AD259" s="26"/>
      <c r="AE259" s="26"/>
      <c r="AF259" s="26"/>
      <c r="AG259" s="26"/>
      <c r="AH259" s="26"/>
      <c r="AI259" s="26"/>
      <c r="AJ259" s="26"/>
      <c r="AK259" s="26"/>
      <c r="AL259" s="26"/>
      <c r="AM259" s="26"/>
      <c r="AN259" s="26"/>
      <c r="AO259" s="26"/>
      <c r="AP259" s="26"/>
      <c r="AQ259" s="26"/>
      <c r="AR259" s="26"/>
      <c r="AS259" s="26"/>
      <c r="AT259" s="26"/>
      <c r="AU259" s="26"/>
      <c r="AV259" s="26"/>
      <c r="AW259" s="26"/>
      <c r="AX259" s="26"/>
      <c r="AY259" s="26"/>
      <c r="AZ259" s="26"/>
      <c r="BA259" s="26"/>
      <c r="BB259" s="26"/>
      <c r="BC259" s="26"/>
    </row>
    <row r="260" spans="1:55" x14ac:dyDescent="0.3">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c r="AA260" s="26"/>
      <c r="AB260" s="26"/>
      <c r="AC260" s="26"/>
      <c r="AD260" s="26"/>
      <c r="AE260" s="26"/>
      <c r="AF260" s="26"/>
      <c r="AG260" s="26"/>
      <c r="AH260" s="26"/>
      <c r="AI260" s="26"/>
      <c r="AJ260" s="26"/>
      <c r="AK260" s="26"/>
      <c r="AL260" s="26"/>
      <c r="AM260" s="26"/>
      <c r="AN260" s="26"/>
      <c r="AO260" s="26"/>
      <c r="AP260" s="26"/>
      <c r="AQ260" s="26"/>
      <c r="AR260" s="26"/>
      <c r="AS260" s="26"/>
      <c r="AT260" s="26"/>
      <c r="AU260" s="26"/>
      <c r="AV260" s="26"/>
      <c r="AW260" s="26"/>
      <c r="AX260" s="26"/>
      <c r="AY260" s="26"/>
      <c r="AZ260" s="26"/>
      <c r="BA260" s="26"/>
      <c r="BB260" s="26"/>
      <c r="BC260" s="26"/>
    </row>
    <row r="261" spans="1:55" x14ac:dyDescent="0.3">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c r="AA261" s="26"/>
      <c r="AB261" s="26"/>
      <c r="AC261" s="26"/>
      <c r="AD261" s="26"/>
      <c r="AE261" s="26"/>
      <c r="AF261" s="26"/>
      <c r="AG261" s="26"/>
      <c r="AH261" s="26"/>
      <c r="AI261" s="26"/>
      <c r="AJ261" s="26"/>
      <c r="AK261" s="26"/>
      <c r="AL261" s="26"/>
      <c r="AM261" s="26"/>
      <c r="AN261" s="26"/>
      <c r="AO261" s="26"/>
      <c r="AP261" s="26"/>
      <c r="AQ261" s="26"/>
      <c r="AR261" s="26"/>
      <c r="AS261" s="26"/>
      <c r="AT261" s="26"/>
      <c r="AU261" s="26"/>
      <c r="AV261" s="26"/>
      <c r="AW261" s="26"/>
      <c r="AX261" s="26"/>
      <c r="AY261" s="26"/>
      <c r="AZ261" s="26"/>
      <c r="BA261" s="26"/>
      <c r="BB261" s="26"/>
      <c r="BC261" s="26"/>
    </row>
    <row r="262" spans="1:55" x14ac:dyDescent="0.3">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c r="AA262" s="26"/>
      <c r="AB262" s="26"/>
      <c r="AC262" s="26"/>
      <c r="AD262" s="26"/>
      <c r="AE262" s="26"/>
      <c r="AF262" s="26"/>
      <c r="AG262" s="26"/>
      <c r="AH262" s="26"/>
      <c r="AI262" s="26"/>
      <c r="AJ262" s="26"/>
      <c r="AK262" s="26"/>
      <c r="AL262" s="26"/>
      <c r="AM262" s="26"/>
      <c r="AN262" s="26"/>
      <c r="AO262" s="26"/>
      <c r="AP262" s="26"/>
      <c r="AQ262" s="26"/>
      <c r="AR262" s="26"/>
      <c r="AS262" s="26"/>
      <c r="AT262" s="26"/>
      <c r="AU262" s="26"/>
      <c r="AV262" s="26"/>
      <c r="AW262" s="26"/>
      <c r="AX262" s="26"/>
      <c r="AY262" s="26"/>
      <c r="AZ262" s="26"/>
      <c r="BA262" s="26"/>
      <c r="BB262" s="26"/>
      <c r="BC262" s="26"/>
    </row>
    <row r="263" spans="1:55" x14ac:dyDescent="0.3">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c r="AA263" s="26"/>
      <c r="AB263" s="26"/>
      <c r="AC263" s="26"/>
      <c r="AD263" s="26"/>
      <c r="AE263" s="26"/>
      <c r="AF263" s="26"/>
      <c r="AG263" s="26"/>
      <c r="AH263" s="26"/>
      <c r="AI263" s="26"/>
      <c r="AJ263" s="26"/>
      <c r="AK263" s="26"/>
      <c r="AL263" s="26"/>
      <c r="AM263" s="26"/>
      <c r="AN263" s="26"/>
      <c r="AO263" s="26"/>
      <c r="AP263" s="26"/>
      <c r="AQ263" s="26"/>
      <c r="AR263" s="26"/>
      <c r="AS263" s="26"/>
      <c r="AT263" s="26"/>
      <c r="AU263" s="26"/>
      <c r="AV263" s="26"/>
      <c r="AW263" s="26"/>
      <c r="AX263" s="26"/>
      <c r="AY263" s="26"/>
      <c r="AZ263" s="26"/>
      <c r="BA263" s="26"/>
      <c r="BB263" s="26"/>
      <c r="BC263" s="26"/>
    </row>
    <row r="264" spans="1:55" x14ac:dyDescent="0.3">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c r="AA264" s="26"/>
      <c r="AB264" s="26"/>
      <c r="AC264" s="26"/>
      <c r="AD264" s="26"/>
      <c r="AE264" s="26"/>
      <c r="AF264" s="26"/>
      <c r="AG264" s="26"/>
      <c r="AH264" s="26"/>
      <c r="AI264" s="26"/>
      <c r="AJ264" s="26"/>
      <c r="AK264" s="26"/>
      <c r="AL264" s="26"/>
      <c r="AM264" s="26"/>
      <c r="AN264" s="26"/>
      <c r="AO264" s="26"/>
      <c r="AP264" s="26"/>
      <c r="AQ264" s="26"/>
      <c r="AR264" s="26"/>
      <c r="AS264" s="26"/>
      <c r="AT264" s="26"/>
      <c r="AU264" s="26"/>
      <c r="AV264" s="26"/>
      <c r="AW264" s="26"/>
      <c r="AX264" s="26"/>
      <c r="AY264" s="26"/>
      <c r="AZ264" s="26"/>
      <c r="BA264" s="26"/>
      <c r="BB264" s="26"/>
      <c r="BC264" s="26"/>
    </row>
    <row r="265" spans="1:55" x14ac:dyDescent="0.3">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c r="AA265" s="26"/>
      <c r="AB265" s="26"/>
      <c r="AC265" s="26"/>
      <c r="AD265" s="26"/>
      <c r="AE265" s="26"/>
      <c r="AF265" s="26"/>
      <c r="AG265" s="26"/>
      <c r="AH265" s="26"/>
      <c r="AI265" s="26"/>
      <c r="AJ265" s="26"/>
      <c r="AK265" s="26"/>
      <c r="AL265" s="26"/>
      <c r="AM265" s="26"/>
      <c r="AN265" s="26"/>
      <c r="AO265" s="26"/>
      <c r="AP265" s="26"/>
      <c r="AQ265" s="26"/>
      <c r="AR265" s="26"/>
      <c r="AS265" s="26"/>
      <c r="AT265" s="26"/>
      <c r="AU265" s="26"/>
      <c r="AV265" s="26"/>
      <c r="AW265" s="26"/>
      <c r="AX265" s="26"/>
      <c r="AY265" s="26"/>
      <c r="AZ265" s="26"/>
      <c r="BA265" s="26"/>
      <c r="BB265" s="26"/>
      <c r="BC265" s="26"/>
    </row>
    <row r="266" spans="1:55" x14ac:dyDescent="0.3">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c r="AA266" s="26"/>
      <c r="AB266" s="26"/>
      <c r="AC266" s="26"/>
      <c r="AD266" s="26"/>
      <c r="AE266" s="26"/>
      <c r="AF266" s="26"/>
      <c r="AG266" s="26"/>
      <c r="AH266" s="26"/>
      <c r="AI266" s="26"/>
      <c r="AJ266" s="26"/>
      <c r="AK266" s="26"/>
      <c r="AL266" s="26"/>
      <c r="AM266" s="26"/>
      <c r="AN266" s="26"/>
      <c r="AO266" s="26"/>
      <c r="AP266" s="26"/>
      <c r="AQ266" s="26"/>
      <c r="AR266" s="26"/>
      <c r="AS266" s="26"/>
      <c r="AT266" s="26"/>
      <c r="AU266" s="26"/>
      <c r="AV266" s="26"/>
      <c r="AW266" s="26"/>
      <c r="AX266" s="26"/>
      <c r="AY266" s="26"/>
      <c r="AZ266" s="26"/>
      <c r="BA266" s="26"/>
      <c r="BB266" s="26"/>
      <c r="BC266" s="26"/>
    </row>
    <row r="267" spans="1:55" x14ac:dyDescent="0.3">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c r="AA267" s="26"/>
      <c r="AB267" s="26"/>
      <c r="AC267" s="26"/>
      <c r="AD267" s="26"/>
      <c r="AE267" s="26"/>
      <c r="AF267" s="26"/>
      <c r="AG267" s="26"/>
      <c r="AH267" s="26"/>
      <c r="AI267" s="26"/>
      <c r="AJ267" s="26"/>
      <c r="AK267" s="26"/>
      <c r="AL267" s="26"/>
      <c r="AM267" s="26"/>
      <c r="AN267" s="26"/>
      <c r="AO267" s="26"/>
      <c r="AP267" s="26"/>
      <c r="AQ267" s="26"/>
      <c r="AR267" s="26"/>
      <c r="AS267" s="26"/>
      <c r="AT267" s="26"/>
      <c r="AU267" s="26"/>
      <c r="AV267" s="26"/>
      <c r="AW267" s="26"/>
      <c r="AX267" s="26"/>
      <c r="AY267" s="26"/>
      <c r="AZ267" s="26"/>
      <c r="BA267" s="26"/>
      <c r="BB267" s="26"/>
      <c r="BC267" s="26"/>
    </row>
    <row r="268" spans="1:55" x14ac:dyDescent="0.3">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c r="AA268" s="26"/>
      <c r="AB268" s="26"/>
      <c r="AC268" s="26"/>
      <c r="AD268" s="26"/>
      <c r="AE268" s="26"/>
      <c r="AF268" s="26"/>
      <c r="AG268" s="26"/>
      <c r="AH268" s="26"/>
      <c r="AI268" s="26"/>
      <c r="AJ268" s="26"/>
      <c r="AK268" s="26"/>
      <c r="AL268" s="26"/>
      <c r="AM268" s="26"/>
      <c r="AN268" s="26"/>
      <c r="AO268" s="26"/>
      <c r="AP268" s="26"/>
      <c r="AQ268" s="26"/>
      <c r="AR268" s="26"/>
      <c r="AS268" s="26"/>
      <c r="AT268" s="26"/>
      <c r="AU268" s="26"/>
      <c r="AV268" s="26"/>
      <c r="AW268" s="26"/>
      <c r="AX268" s="26"/>
      <c r="AY268" s="26"/>
      <c r="AZ268" s="26"/>
      <c r="BA268" s="26"/>
      <c r="BB268" s="26"/>
      <c r="BC268" s="26"/>
    </row>
    <row r="269" spans="1:55" x14ac:dyDescent="0.3">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c r="AA269" s="26"/>
      <c r="AB269" s="26"/>
      <c r="AC269" s="26"/>
      <c r="AD269" s="26"/>
      <c r="AE269" s="26"/>
      <c r="AF269" s="26"/>
      <c r="AG269" s="26"/>
      <c r="AH269" s="26"/>
      <c r="AI269" s="26"/>
      <c r="AJ269" s="26"/>
      <c r="AK269" s="26"/>
      <c r="AL269" s="26"/>
      <c r="AM269" s="26"/>
      <c r="AN269" s="26"/>
      <c r="AO269" s="26"/>
      <c r="AP269" s="26"/>
      <c r="AQ269" s="26"/>
      <c r="AR269" s="26"/>
      <c r="AS269" s="26"/>
      <c r="AT269" s="26"/>
      <c r="AU269" s="26"/>
      <c r="AV269" s="26"/>
      <c r="AW269" s="26"/>
      <c r="AX269" s="26"/>
      <c r="AY269" s="26"/>
      <c r="AZ269" s="26"/>
      <c r="BA269" s="26"/>
      <c r="BB269" s="26"/>
      <c r="BC269" s="26"/>
    </row>
    <row r="270" spans="1:55" x14ac:dyDescent="0.3">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c r="AA270" s="26"/>
      <c r="AB270" s="26"/>
      <c r="AC270" s="26"/>
      <c r="AD270" s="26"/>
      <c r="AE270" s="26"/>
      <c r="AF270" s="26"/>
      <c r="AG270" s="26"/>
      <c r="AH270" s="26"/>
      <c r="AI270" s="26"/>
      <c r="AJ270" s="26"/>
      <c r="AK270" s="26"/>
      <c r="AL270" s="26"/>
      <c r="AM270" s="26"/>
      <c r="AN270" s="26"/>
      <c r="AO270" s="26"/>
      <c r="AP270" s="26"/>
      <c r="AQ270" s="26"/>
      <c r="AR270" s="26"/>
      <c r="AS270" s="26"/>
      <c r="AT270" s="26"/>
      <c r="AU270" s="26"/>
      <c r="AV270" s="26"/>
      <c r="AW270" s="26"/>
      <c r="AX270" s="26"/>
      <c r="AY270" s="26"/>
      <c r="AZ270" s="26"/>
      <c r="BA270" s="26"/>
      <c r="BB270" s="26"/>
      <c r="BC270" s="26"/>
    </row>
    <row r="271" spans="1:55" x14ac:dyDescent="0.3">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c r="AA271" s="26"/>
      <c r="AB271" s="26"/>
      <c r="AC271" s="26"/>
      <c r="AD271" s="26"/>
      <c r="AE271" s="26"/>
      <c r="AF271" s="26"/>
      <c r="AG271" s="26"/>
      <c r="AH271" s="26"/>
      <c r="AI271" s="26"/>
      <c r="AJ271" s="26"/>
      <c r="AK271" s="26"/>
      <c r="AL271" s="26"/>
      <c r="AM271" s="26"/>
      <c r="AN271" s="26"/>
      <c r="AO271" s="26"/>
      <c r="AP271" s="26"/>
      <c r="AQ271" s="26"/>
      <c r="AR271" s="26"/>
      <c r="AS271" s="26"/>
      <c r="AT271" s="26"/>
      <c r="AU271" s="26"/>
      <c r="AV271" s="26"/>
      <c r="AW271" s="26"/>
      <c r="AX271" s="26"/>
      <c r="AY271" s="26"/>
      <c r="AZ271" s="26"/>
      <c r="BA271" s="26"/>
      <c r="BB271" s="26"/>
      <c r="BC271" s="26"/>
    </row>
    <row r="272" spans="1:55" x14ac:dyDescent="0.3">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c r="AA272" s="26"/>
      <c r="AB272" s="26"/>
      <c r="AC272" s="26"/>
      <c r="AD272" s="26"/>
      <c r="AE272" s="26"/>
      <c r="AF272" s="26"/>
      <c r="AG272" s="26"/>
      <c r="AH272" s="26"/>
      <c r="AI272" s="26"/>
      <c r="AJ272" s="26"/>
      <c r="AK272" s="26"/>
      <c r="AL272" s="26"/>
      <c r="AM272" s="26"/>
      <c r="AN272" s="26"/>
      <c r="AO272" s="26"/>
      <c r="AP272" s="26"/>
      <c r="AQ272" s="26"/>
      <c r="AR272" s="26"/>
      <c r="AS272" s="26"/>
      <c r="AT272" s="26"/>
      <c r="AU272" s="26"/>
      <c r="AV272" s="26"/>
      <c r="AW272" s="26"/>
      <c r="AX272" s="26"/>
      <c r="AY272" s="26"/>
      <c r="AZ272" s="26"/>
      <c r="BA272" s="26"/>
      <c r="BB272" s="26"/>
      <c r="BC272" s="26"/>
    </row>
    <row r="273" spans="1:55" x14ac:dyDescent="0.3">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c r="AA273" s="26"/>
      <c r="AB273" s="26"/>
      <c r="AC273" s="26"/>
      <c r="AD273" s="26"/>
      <c r="AE273" s="26"/>
      <c r="AF273" s="26"/>
      <c r="AG273" s="26"/>
      <c r="AH273" s="26"/>
      <c r="AI273" s="26"/>
      <c r="AJ273" s="26"/>
      <c r="AK273" s="26"/>
      <c r="AL273" s="26"/>
      <c r="AM273" s="26"/>
      <c r="AN273" s="26"/>
      <c r="AO273" s="26"/>
      <c r="AP273" s="26"/>
      <c r="AQ273" s="26"/>
      <c r="AR273" s="26"/>
      <c r="AS273" s="26"/>
      <c r="AT273" s="26"/>
      <c r="AU273" s="26"/>
      <c r="AV273" s="26"/>
      <c r="AW273" s="26"/>
      <c r="AX273" s="26"/>
      <c r="AY273" s="26"/>
      <c r="AZ273" s="26"/>
      <c r="BA273" s="26"/>
      <c r="BB273" s="26"/>
      <c r="BC273" s="26"/>
    </row>
    <row r="274" spans="1:55" x14ac:dyDescent="0.3">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c r="AA274" s="26"/>
      <c r="AB274" s="26"/>
      <c r="AC274" s="26"/>
      <c r="AD274" s="26"/>
      <c r="AE274" s="26"/>
      <c r="AF274" s="26"/>
      <c r="AG274" s="26"/>
      <c r="AH274" s="26"/>
      <c r="AI274" s="26"/>
      <c r="AJ274" s="26"/>
      <c r="AK274" s="26"/>
      <c r="AL274" s="26"/>
      <c r="AM274" s="26"/>
      <c r="AN274" s="26"/>
      <c r="AO274" s="26"/>
      <c r="AP274" s="26"/>
      <c r="AQ274" s="26"/>
      <c r="AR274" s="26"/>
      <c r="AS274" s="26"/>
      <c r="AT274" s="26"/>
      <c r="AU274" s="26"/>
      <c r="AV274" s="26"/>
      <c r="AW274" s="26"/>
      <c r="AX274" s="26"/>
      <c r="AY274" s="26"/>
      <c r="AZ274" s="26"/>
      <c r="BA274" s="26"/>
      <c r="BB274" s="26"/>
      <c r="BC274" s="26"/>
    </row>
    <row r="275" spans="1:55" x14ac:dyDescent="0.3">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c r="AA275" s="26"/>
      <c r="AB275" s="26"/>
      <c r="AC275" s="26"/>
      <c r="AD275" s="26"/>
      <c r="AE275" s="26"/>
      <c r="AF275" s="26"/>
      <c r="AG275" s="26"/>
      <c r="AH275" s="26"/>
      <c r="AI275" s="26"/>
      <c r="AJ275" s="26"/>
      <c r="AK275" s="26"/>
      <c r="AL275" s="26"/>
      <c r="AM275" s="26"/>
      <c r="AN275" s="26"/>
      <c r="AO275" s="26"/>
      <c r="AP275" s="26"/>
      <c r="AQ275" s="26"/>
      <c r="AR275" s="26"/>
      <c r="AS275" s="26"/>
      <c r="AT275" s="26"/>
      <c r="AU275" s="26"/>
      <c r="AV275" s="26"/>
      <c r="AW275" s="26"/>
      <c r="AX275" s="26"/>
      <c r="AY275" s="26"/>
      <c r="AZ275" s="26"/>
      <c r="BA275" s="26"/>
      <c r="BB275" s="26"/>
      <c r="BC275" s="26"/>
    </row>
    <row r="276" spans="1:55" x14ac:dyDescent="0.3">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c r="AA276" s="26"/>
      <c r="AB276" s="26"/>
      <c r="AC276" s="26"/>
      <c r="AD276" s="26"/>
      <c r="AE276" s="26"/>
      <c r="AF276" s="26"/>
      <c r="AG276" s="26"/>
      <c r="AH276" s="26"/>
      <c r="AI276" s="26"/>
      <c r="AJ276" s="26"/>
      <c r="AK276" s="26"/>
      <c r="AL276" s="26"/>
      <c r="AM276" s="26"/>
      <c r="AN276" s="26"/>
      <c r="AO276" s="26"/>
      <c r="AP276" s="26"/>
      <c r="AQ276" s="26"/>
      <c r="AR276" s="26"/>
      <c r="AS276" s="26"/>
      <c r="AT276" s="26"/>
      <c r="AU276" s="26"/>
      <c r="AV276" s="26"/>
      <c r="AW276" s="26"/>
      <c r="AX276" s="26"/>
      <c r="AY276" s="26"/>
      <c r="AZ276" s="26"/>
      <c r="BA276" s="26"/>
      <c r="BB276" s="26"/>
      <c r="BC276" s="26"/>
    </row>
    <row r="277" spans="1:55" x14ac:dyDescent="0.3">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c r="AA277" s="26"/>
      <c r="AB277" s="26"/>
      <c r="AC277" s="26"/>
      <c r="AD277" s="26"/>
      <c r="AE277" s="26"/>
      <c r="AF277" s="26"/>
      <c r="AG277" s="26"/>
      <c r="AH277" s="26"/>
      <c r="AI277" s="26"/>
      <c r="AJ277" s="26"/>
      <c r="AK277" s="26"/>
      <c r="AL277" s="26"/>
      <c r="AM277" s="26"/>
      <c r="AN277" s="26"/>
      <c r="AO277" s="26"/>
      <c r="AP277" s="26"/>
      <c r="AQ277" s="26"/>
      <c r="AR277" s="26"/>
      <c r="AS277" s="26"/>
      <c r="AT277" s="26"/>
      <c r="AU277" s="26"/>
      <c r="AV277" s="26"/>
      <c r="AW277" s="26"/>
      <c r="AX277" s="26"/>
      <c r="AY277" s="26"/>
      <c r="AZ277" s="26"/>
      <c r="BA277" s="26"/>
      <c r="BB277" s="26"/>
      <c r="BC277" s="26"/>
    </row>
    <row r="278" spans="1:55" x14ac:dyDescent="0.3">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c r="AA278" s="26"/>
      <c r="AB278" s="26"/>
      <c r="AC278" s="26"/>
      <c r="AD278" s="26"/>
      <c r="AE278" s="26"/>
      <c r="AF278" s="26"/>
      <c r="AG278" s="26"/>
      <c r="AH278" s="26"/>
      <c r="AI278" s="26"/>
      <c r="AJ278" s="26"/>
      <c r="AK278" s="26"/>
      <c r="AL278" s="26"/>
      <c r="AM278" s="26"/>
      <c r="AN278" s="26"/>
      <c r="AO278" s="26"/>
      <c r="AP278" s="26"/>
      <c r="AQ278" s="26"/>
      <c r="AR278" s="26"/>
      <c r="AS278" s="26"/>
      <c r="AT278" s="26"/>
      <c r="AU278" s="26"/>
      <c r="AV278" s="26"/>
      <c r="AW278" s="26"/>
      <c r="AX278" s="26"/>
      <c r="AY278" s="26"/>
      <c r="AZ278" s="26"/>
      <c r="BA278" s="26"/>
      <c r="BB278" s="26"/>
      <c r="BC278" s="26"/>
    </row>
    <row r="279" spans="1:55" x14ac:dyDescent="0.3">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c r="AA279" s="26"/>
      <c r="AB279" s="26"/>
      <c r="AC279" s="26"/>
      <c r="AD279" s="26"/>
      <c r="AE279" s="26"/>
      <c r="AF279" s="26"/>
      <c r="AG279" s="26"/>
      <c r="AH279" s="26"/>
      <c r="AI279" s="26"/>
      <c r="AJ279" s="26"/>
      <c r="AK279" s="26"/>
      <c r="AL279" s="26"/>
      <c r="AM279" s="26"/>
      <c r="AN279" s="26"/>
      <c r="AO279" s="26"/>
      <c r="AP279" s="26"/>
      <c r="AQ279" s="26"/>
      <c r="AR279" s="26"/>
      <c r="AS279" s="26"/>
      <c r="AT279" s="26"/>
      <c r="AU279" s="26"/>
      <c r="AV279" s="26"/>
      <c r="AW279" s="26"/>
      <c r="AX279" s="26"/>
      <c r="AY279" s="26"/>
      <c r="AZ279" s="26"/>
      <c r="BA279" s="26"/>
      <c r="BB279" s="26"/>
      <c r="BC279" s="26"/>
    </row>
    <row r="280" spans="1:55" x14ac:dyDescent="0.3">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c r="AA280" s="26"/>
      <c r="AB280" s="26"/>
      <c r="AC280" s="26"/>
      <c r="AD280" s="26"/>
      <c r="AE280" s="26"/>
      <c r="AF280" s="26"/>
      <c r="AG280" s="26"/>
      <c r="AH280" s="26"/>
      <c r="AI280" s="26"/>
      <c r="AJ280" s="26"/>
      <c r="AK280" s="26"/>
      <c r="AL280" s="26"/>
      <c r="AM280" s="26"/>
      <c r="AN280" s="26"/>
      <c r="AO280" s="26"/>
      <c r="AP280" s="26"/>
      <c r="AQ280" s="26"/>
      <c r="AR280" s="26"/>
      <c r="AS280" s="26"/>
      <c r="AT280" s="26"/>
      <c r="AU280" s="26"/>
      <c r="AV280" s="26"/>
      <c r="AW280" s="26"/>
      <c r="AX280" s="26"/>
      <c r="AY280" s="26"/>
      <c r="AZ280" s="26"/>
      <c r="BA280" s="26"/>
      <c r="BB280" s="26"/>
      <c r="BC280" s="26"/>
    </row>
    <row r="281" spans="1:55" x14ac:dyDescent="0.3">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c r="AA281" s="26"/>
      <c r="AB281" s="26"/>
      <c r="AC281" s="26"/>
      <c r="AD281" s="26"/>
      <c r="AE281" s="26"/>
      <c r="AF281" s="26"/>
      <c r="AG281" s="26"/>
      <c r="AH281" s="26"/>
      <c r="AI281" s="26"/>
      <c r="AJ281" s="26"/>
      <c r="AK281" s="26"/>
      <c r="AL281" s="26"/>
      <c r="AM281" s="26"/>
      <c r="AN281" s="26"/>
      <c r="AO281" s="26"/>
      <c r="AP281" s="26"/>
      <c r="AQ281" s="26"/>
      <c r="AR281" s="26"/>
      <c r="AS281" s="26"/>
      <c r="AT281" s="26"/>
      <c r="AU281" s="26"/>
      <c r="AV281" s="26"/>
      <c r="AW281" s="26"/>
      <c r="AX281" s="26"/>
      <c r="AY281" s="26"/>
      <c r="AZ281" s="26"/>
      <c r="BA281" s="26"/>
      <c r="BB281" s="26"/>
      <c r="BC281" s="26"/>
    </row>
    <row r="282" spans="1:55" x14ac:dyDescent="0.3">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c r="AA282" s="26"/>
      <c r="AB282" s="26"/>
      <c r="AC282" s="26"/>
      <c r="AD282" s="26"/>
      <c r="AE282" s="26"/>
      <c r="AF282" s="26"/>
      <c r="AG282" s="26"/>
      <c r="AH282" s="26"/>
      <c r="AI282" s="26"/>
      <c r="AJ282" s="26"/>
      <c r="AK282" s="26"/>
      <c r="AL282" s="26"/>
      <c r="AM282" s="26"/>
      <c r="AN282" s="26"/>
      <c r="AO282" s="26"/>
      <c r="AP282" s="26"/>
      <c r="AQ282" s="26"/>
      <c r="AR282" s="26"/>
      <c r="AS282" s="26"/>
      <c r="AT282" s="26"/>
      <c r="AU282" s="26"/>
      <c r="AV282" s="26"/>
      <c r="AW282" s="26"/>
      <c r="AX282" s="26"/>
      <c r="AY282" s="26"/>
      <c r="AZ282" s="26"/>
      <c r="BA282" s="26"/>
      <c r="BB282" s="26"/>
      <c r="BC282" s="26"/>
    </row>
    <row r="283" spans="1:55" x14ac:dyDescent="0.3">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c r="AA283" s="26"/>
      <c r="AB283" s="26"/>
      <c r="AC283" s="26"/>
      <c r="AD283" s="26"/>
      <c r="AE283" s="26"/>
      <c r="AF283" s="26"/>
      <c r="AG283" s="26"/>
      <c r="AH283" s="26"/>
      <c r="AI283" s="26"/>
      <c r="AJ283" s="26"/>
      <c r="AK283" s="26"/>
      <c r="AL283" s="26"/>
      <c r="AM283" s="26"/>
      <c r="AN283" s="26"/>
      <c r="AO283" s="26"/>
      <c r="AP283" s="26"/>
      <c r="AQ283" s="26"/>
      <c r="AR283" s="26"/>
      <c r="AS283" s="26"/>
      <c r="AT283" s="26"/>
      <c r="AU283" s="26"/>
      <c r="AV283" s="26"/>
      <c r="AW283" s="26"/>
      <c r="AX283" s="26"/>
      <c r="AY283" s="26"/>
      <c r="AZ283" s="26"/>
      <c r="BA283" s="26"/>
      <c r="BB283" s="26"/>
      <c r="BC283" s="26"/>
    </row>
    <row r="284" spans="1:55" x14ac:dyDescent="0.3">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c r="AA284" s="26"/>
      <c r="AB284" s="26"/>
      <c r="AC284" s="26"/>
      <c r="AD284" s="26"/>
      <c r="AE284" s="26"/>
      <c r="AF284" s="26"/>
      <c r="AG284" s="26"/>
      <c r="AH284" s="26"/>
      <c r="AI284" s="26"/>
      <c r="AJ284" s="26"/>
      <c r="AK284" s="26"/>
      <c r="AL284" s="26"/>
      <c r="AM284" s="26"/>
      <c r="AN284" s="26"/>
      <c r="AO284" s="26"/>
      <c r="AP284" s="26"/>
      <c r="AQ284" s="26"/>
      <c r="AR284" s="26"/>
      <c r="AS284" s="26"/>
      <c r="AT284" s="26"/>
      <c r="AU284" s="26"/>
      <c r="AV284" s="26"/>
      <c r="AW284" s="26"/>
      <c r="AX284" s="26"/>
      <c r="AY284" s="26"/>
      <c r="AZ284" s="26"/>
      <c r="BA284" s="26"/>
      <c r="BB284" s="26"/>
      <c r="BC284" s="26"/>
    </row>
    <row r="285" spans="1:55" x14ac:dyDescent="0.3">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c r="AA285" s="26"/>
      <c r="AB285" s="26"/>
      <c r="AC285" s="26"/>
      <c r="AD285" s="26"/>
      <c r="AE285" s="26"/>
      <c r="AF285" s="26"/>
      <c r="AG285" s="26"/>
      <c r="AH285" s="26"/>
      <c r="AI285" s="26"/>
      <c r="AJ285" s="26"/>
      <c r="AK285" s="26"/>
      <c r="AL285" s="26"/>
      <c r="AM285" s="26"/>
      <c r="AN285" s="26"/>
      <c r="AO285" s="26"/>
      <c r="AP285" s="26"/>
      <c r="AQ285" s="26"/>
      <c r="AR285" s="26"/>
      <c r="AS285" s="26"/>
      <c r="AT285" s="26"/>
      <c r="AU285" s="26"/>
      <c r="AV285" s="26"/>
      <c r="AW285" s="26"/>
      <c r="AX285" s="26"/>
      <c r="AY285" s="26"/>
      <c r="AZ285" s="26"/>
      <c r="BA285" s="26"/>
      <c r="BB285" s="26"/>
      <c r="BC285" s="26"/>
    </row>
    <row r="286" spans="1:55" x14ac:dyDescent="0.3">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c r="AA286" s="26"/>
      <c r="AB286" s="26"/>
      <c r="AC286" s="26"/>
      <c r="AD286" s="26"/>
      <c r="AE286" s="26"/>
      <c r="AF286" s="26"/>
      <c r="AG286" s="26"/>
      <c r="AH286" s="26"/>
      <c r="AI286" s="26"/>
      <c r="AJ286" s="26"/>
      <c r="AK286" s="26"/>
      <c r="AL286" s="26"/>
      <c r="AM286" s="26"/>
      <c r="AN286" s="26"/>
      <c r="AO286" s="26"/>
      <c r="AP286" s="26"/>
      <c r="AQ286" s="26"/>
      <c r="AR286" s="26"/>
      <c r="AS286" s="26"/>
      <c r="AT286" s="26"/>
      <c r="AU286" s="26"/>
      <c r="AV286" s="26"/>
      <c r="AW286" s="26"/>
      <c r="AX286" s="26"/>
      <c r="AY286" s="26"/>
      <c r="AZ286" s="26"/>
      <c r="BA286" s="26"/>
      <c r="BB286" s="26"/>
      <c r="BC286" s="26"/>
    </row>
    <row r="287" spans="1:55" x14ac:dyDescent="0.3">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c r="AA287" s="26"/>
      <c r="AB287" s="26"/>
      <c r="AC287" s="26"/>
      <c r="AD287" s="26"/>
      <c r="AE287" s="26"/>
      <c r="AF287" s="26"/>
      <c r="AG287" s="26"/>
      <c r="AH287" s="26"/>
      <c r="AI287" s="26"/>
      <c r="AJ287" s="26"/>
      <c r="AK287" s="26"/>
      <c r="AL287" s="26"/>
      <c r="AM287" s="26"/>
      <c r="AN287" s="26"/>
      <c r="AO287" s="26"/>
      <c r="AP287" s="26"/>
      <c r="AQ287" s="26"/>
      <c r="AR287" s="26"/>
      <c r="AS287" s="26"/>
      <c r="AT287" s="26"/>
      <c r="AU287" s="26"/>
      <c r="AV287" s="26"/>
      <c r="AW287" s="26"/>
      <c r="AX287" s="26"/>
      <c r="AY287" s="26"/>
      <c r="AZ287" s="26"/>
      <c r="BA287" s="26"/>
      <c r="BB287" s="26"/>
      <c r="BC287" s="26"/>
    </row>
    <row r="288" spans="1:55" x14ac:dyDescent="0.3">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c r="AA288" s="26"/>
      <c r="AB288" s="26"/>
      <c r="AC288" s="26"/>
      <c r="AD288" s="26"/>
      <c r="AE288" s="26"/>
      <c r="AF288" s="26"/>
      <c r="AG288" s="26"/>
      <c r="AH288" s="26"/>
      <c r="AI288" s="26"/>
      <c r="AJ288" s="26"/>
      <c r="AK288" s="26"/>
      <c r="AL288" s="26"/>
      <c r="AM288" s="26"/>
      <c r="AN288" s="26"/>
      <c r="AO288" s="26"/>
      <c r="AP288" s="26"/>
      <c r="AQ288" s="26"/>
      <c r="AR288" s="26"/>
      <c r="AS288" s="26"/>
      <c r="AT288" s="26"/>
      <c r="AU288" s="26"/>
      <c r="AV288" s="26"/>
      <c r="AW288" s="26"/>
      <c r="AX288" s="26"/>
      <c r="AY288" s="26"/>
      <c r="AZ288" s="26"/>
      <c r="BA288" s="26"/>
      <c r="BB288" s="26"/>
      <c r="BC288" s="26"/>
    </row>
    <row r="289" spans="1:55" x14ac:dyDescent="0.3">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c r="AA289" s="26"/>
      <c r="AB289" s="26"/>
      <c r="AC289" s="26"/>
      <c r="AD289" s="26"/>
      <c r="AE289" s="26"/>
      <c r="AF289" s="26"/>
      <c r="AG289" s="26"/>
      <c r="AH289" s="26"/>
      <c r="AI289" s="26"/>
      <c r="AJ289" s="26"/>
      <c r="AK289" s="26"/>
      <c r="AL289" s="26"/>
      <c r="AM289" s="26"/>
      <c r="AN289" s="26"/>
      <c r="AO289" s="26"/>
      <c r="AP289" s="26"/>
      <c r="AQ289" s="26"/>
      <c r="AR289" s="26"/>
      <c r="AS289" s="26"/>
      <c r="AT289" s="26"/>
      <c r="AU289" s="26"/>
      <c r="AV289" s="26"/>
      <c r="AW289" s="26"/>
      <c r="AX289" s="26"/>
      <c r="AY289" s="26"/>
      <c r="AZ289" s="26"/>
      <c r="BA289" s="26"/>
      <c r="BB289" s="26"/>
      <c r="BC289" s="26"/>
    </row>
    <row r="290" spans="1:55" x14ac:dyDescent="0.3">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c r="AA290" s="26"/>
      <c r="AB290" s="26"/>
      <c r="AC290" s="26"/>
      <c r="AD290" s="26"/>
      <c r="AE290" s="26"/>
      <c r="AF290" s="26"/>
      <c r="AG290" s="26"/>
      <c r="AH290" s="26"/>
      <c r="AI290" s="26"/>
      <c r="AJ290" s="26"/>
      <c r="AK290" s="26"/>
      <c r="AL290" s="26"/>
      <c r="AM290" s="26"/>
      <c r="AN290" s="26"/>
      <c r="AO290" s="26"/>
      <c r="AP290" s="26"/>
      <c r="AQ290" s="26"/>
      <c r="AR290" s="26"/>
      <c r="AS290" s="26"/>
      <c r="AT290" s="26"/>
      <c r="AU290" s="26"/>
      <c r="AV290" s="26"/>
      <c r="AW290" s="26"/>
      <c r="AX290" s="26"/>
      <c r="AY290" s="26"/>
      <c r="AZ290" s="26"/>
      <c r="BA290" s="26"/>
      <c r="BB290" s="26"/>
      <c r="BC290" s="26"/>
    </row>
    <row r="291" spans="1:55" x14ac:dyDescent="0.3">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c r="AA291" s="26"/>
      <c r="AB291" s="26"/>
      <c r="AC291" s="26"/>
      <c r="AD291" s="26"/>
      <c r="AE291" s="26"/>
      <c r="AF291" s="26"/>
      <c r="AG291" s="26"/>
      <c r="AH291" s="26"/>
      <c r="AI291" s="26"/>
      <c r="AJ291" s="26"/>
      <c r="AK291" s="26"/>
      <c r="AL291" s="26"/>
      <c r="AM291" s="26"/>
      <c r="AN291" s="26"/>
      <c r="AO291" s="26"/>
      <c r="AP291" s="26"/>
      <c r="AQ291" s="26"/>
      <c r="AR291" s="26"/>
      <c r="AS291" s="26"/>
      <c r="AT291" s="26"/>
      <c r="AU291" s="26"/>
      <c r="AV291" s="26"/>
      <c r="AW291" s="26"/>
      <c r="AX291" s="26"/>
      <c r="AY291" s="26"/>
      <c r="AZ291" s="26"/>
      <c r="BA291" s="26"/>
      <c r="BB291" s="26"/>
      <c r="BC291" s="26"/>
    </row>
    <row r="292" spans="1:55" x14ac:dyDescent="0.3">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c r="AA292" s="26"/>
      <c r="AB292" s="26"/>
      <c r="AC292" s="26"/>
      <c r="AD292" s="26"/>
      <c r="AE292" s="26"/>
      <c r="AF292" s="26"/>
      <c r="AG292" s="26"/>
      <c r="AH292" s="26"/>
      <c r="AI292" s="26"/>
      <c r="AJ292" s="26"/>
      <c r="AK292" s="26"/>
      <c r="AL292" s="26"/>
      <c r="AM292" s="26"/>
      <c r="AN292" s="26"/>
      <c r="AO292" s="26"/>
      <c r="AP292" s="26"/>
      <c r="AQ292" s="26"/>
      <c r="AR292" s="26"/>
      <c r="AS292" s="26"/>
      <c r="AT292" s="26"/>
      <c r="AU292" s="26"/>
      <c r="AV292" s="26"/>
      <c r="AW292" s="26"/>
      <c r="AX292" s="26"/>
      <c r="AY292" s="26"/>
      <c r="AZ292" s="26"/>
      <c r="BA292" s="26"/>
      <c r="BB292" s="26"/>
      <c r="BC292" s="26"/>
    </row>
    <row r="293" spans="1:55" x14ac:dyDescent="0.3">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c r="AA293" s="26"/>
      <c r="AB293" s="26"/>
      <c r="AC293" s="26"/>
      <c r="AD293" s="26"/>
      <c r="AE293" s="26"/>
      <c r="AF293" s="26"/>
      <c r="AG293" s="26"/>
      <c r="AH293" s="26"/>
      <c r="AI293" s="26"/>
      <c r="AJ293" s="26"/>
      <c r="AK293" s="26"/>
      <c r="AL293" s="26"/>
      <c r="AM293" s="26"/>
      <c r="AN293" s="26"/>
      <c r="AO293" s="26"/>
      <c r="AP293" s="26"/>
      <c r="AQ293" s="26"/>
      <c r="AR293" s="26"/>
      <c r="AS293" s="26"/>
      <c r="AT293" s="26"/>
      <c r="AU293" s="26"/>
      <c r="AV293" s="26"/>
      <c r="AW293" s="26"/>
      <c r="AX293" s="26"/>
      <c r="AY293" s="26"/>
      <c r="AZ293" s="26"/>
      <c r="BA293" s="26"/>
      <c r="BB293" s="26"/>
      <c r="BC293" s="26"/>
    </row>
    <row r="294" spans="1:55" x14ac:dyDescent="0.3">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c r="AA294" s="26"/>
      <c r="AB294" s="26"/>
      <c r="AC294" s="26"/>
      <c r="AD294" s="26"/>
      <c r="AE294" s="26"/>
      <c r="AF294" s="26"/>
      <c r="AG294" s="26"/>
      <c r="AH294" s="26"/>
      <c r="AI294" s="26"/>
      <c r="AJ294" s="26"/>
      <c r="AK294" s="26"/>
      <c r="AL294" s="26"/>
      <c r="AM294" s="26"/>
      <c r="AN294" s="26"/>
      <c r="AO294" s="26"/>
      <c r="AP294" s="26"/>
      <c r="AQ294" s="26"/>
      <c r="AR294" s="26"/>
      <c r="AS294" s="26"/>
      <c r="AT294" s="26"/>
      <c r="AU294" s="26"/>
      <c r="AV294" s="26"/>
      <c r="AW294" s="26"/>
      <c r="AX294" s="26"/>
      <c r="AY294" s="26"/>
      <c r="AZ294" s="26"/>
      <c r="BA294" s="26"/>
      <c r="BB294" s="26"/>
      <c r="BC294" s="26"/>
    </row>
    <row r="295" spans="1:55" x14ac:dyDescent="0.3">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c r="AA295" s="26"/>
      <c r="AB295" s="26"/>
      <c r="AC295" s="26"/>
      <c r="AD295" s="26"/>
      <c r="AE295" s="26"/>
      <c r="AF295" s="26"/>
      <c r="AG295" s="26"/>
      <c r="AH295" s="26"/>
      <c r="AI295" s="26"/>
      <c r="AJ295" s="26"/>
      <c r="AK295" s="26"/>
      <c r="AL295" s="26"/>
      <c r="AM295" s="26"/>
      <c r="AN295" s="26"/>
      <c r="AO295" s="26"/>
      <c r="AP295" s="26"/>
      <c r="AQ295" s="26"/>
      <c r="AR295" s="26"/>
      <c r="AS295" s="26"/>
      <c r="AT295" s="26"/>
      <c r="AU295" s="26"/>
      <c r="AV295" s="26"/>
      <c r="AW295" s="26"/>
      <c r="AX295" s="26"/>
      <c r="AY295" s="26"/>
      <c r="AZ295" s="26"/>
      <c r="BA295" s="26"/>
      <c r="BB295" s="26"/>
      <c r="BC295" s="26"/>
    </row>
    <row r="296" spans="1:55" x14ac:dyDescent="0.3">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c r="AA296" s="26"/>
      <c r="AB296" s="26"/>
      <c r="AC296" s="26"/>
      <c r="AD296" s="26"/>
      <c r="AE296" s="26"/>
      <c r="AF296" s="26"/>
      <c r="AG296" s="26"/>
      <c r="AH296" s="26"/>
      <c r="AI296" s="26"/>
      <c r="AJ296" s="26"/>
      <c r="AK296" s="26"/>
      <c r="AL296" s="26"/>
      <c r="AM296" s="26"/>
      <c r="AN296" s="26"/>
      <c r="AO296" s="26"/>
      <c r="AP296" s="26"/>
      <c r="AQ296" s="26"/>
      <c r="AR296" s="26"/>
      <c r="AS296" s="26"/>
      <c r="AT296" s="26"/>
      <c r="AU296" s="26"/>
      <c r="AV296" s="26"/>
      <c r="AW296" s="26"/>
      <c r="AX296" s="26"/>
      <c r="AY296" s="26"/>
      <c r="AZ296" s="26"/>
      <c r="BA296" s="26"/>
      <c r="BB296" s="26"/>
      <c r="BC296" s="26"/>
    </row>
    <row r="297" spans="1:55" x14ac:dyDescent="0.3">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c r="AA297" s="26"/>
      <c r="AB297" s="26"/>
      <c r="AC297" s="26"/>
      <c r="AD297" s="26"/>
      <c r="AE297" s="26"/>
      <c r="AF297" s="26"/>
      <c r="AG297" s="26"/>
      <c r="AH297" s="26"/>
      <c r="AI297" s="26"/>
      <c r="AJ297" s="26"/>
      <c r="AK297" s="26"/>
      <c r="AL297" s="26"/>
      <c r="AM297" s="26"/>
      <c r="AN297" s="26"/>
      <c r="AO297" s="26"/>
      <c r="AP297" s="26"/>
      <c r="AQ297" s="26"/>
      <c r="AR297" s="26"/>
      <c r="AS297" s="26"/>
      <c r="AT297" s="26"/>
      <c r="AU297" s="26"/>
      <c r="AV297" s="26"/>
      <c r="AW297" s="26"/>
      <c r="AX297" s="26"/>
      <c r="AY297" s="26"/>
      <c r="AZ297" s="26"/>
      <c r="BA297" s="26"/>
      <c r="BB297" s="26"/>
      <c r="BC297" s="26"/>
    </row>
    <row r="298" spans="1:55" x14ac:dyDescent="0.3">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c r="AA298" s="26"/>
      <c r="AB298" s="26"/>
      <c r="AC298" s="26"/>
      <c r="AD298" s="26"/>
      <c r="AE298" s="26"/>
      <c r="AF298" s="26"/>
      <c r="AG298" s="26"/>
      <c r="AH298" s="26"/>
      <c r="AI298" s="26"/>
      <c r="AJ298" s="26"/>
      <c r="AK298" s="26"/>
      <c r="AL298" s="26"/>
      <c r="AM298" s="26"/>
      <c r="AN298" s="26"/>
      <c r="AO298" s="26"/>
      <c r="AP298" s="26"/>
      <c r="AQ298" s="26"/>
      <c r="AR298" s="26"/>
      <c r="AS298" s="26"/>
      <c r="AT298" s="26"/>
      <c r="AU298" s="26"/>
      <c r="AV298" s="26"/>
      <c r="AW298" s="26"/>
      <c r="AX298" s="26"/>
      <c r="AY298" s="26"/>
      <c r="AZ298" s="26"/>
      <c r="BA298" s="26"/>
      <c r="BB298" s="26"/>
      <c r="BC298" s="26"/>
    </row>
    <row r="299" spans="1:55" x14ac:dyDescent="0.3">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c r="AA299" s="26"/>
      <c r="AB299" s="26"/>
      <c r="AC299" s="26"/>
      <c r="AD299" s="26"/>
      <c r="AE299" s="26"/>
      <c r="AF299" s="26"/>
      <c r="AG299" s="26"/>
      <c r="AH299" s="26"/>
      <c r="AI299" s="26"/>
      <c r="AJ299" s="26"/>
      <c r="AK299" s="26"/>
      <c r="AL299" s="26"/>
      <c r="AM299" s="26"/>
      <c r="AN299" s="26"/>
      <c r="AO299" s="26"/>
      <c r="AP299" s="26"/>
      <c r="AQ299" s="26"/>
      <c r="AR299" s="26"/>
      <c r="AS299" s="26"/>
      <c r="AT299" s="26"/>
      <c r="AU299" s="26"/>
      <c r="AV299" s="26"/>
      <c r="AW299" s="26"/>
      <c r="AX299" s="26"/>
      <c r="AY299" s="26"/>
      <c r="AZ299" s="26"/>
      <c r="BA299" s="26"/>
      <c r="BB299" s="26"/>
      <c r="BC299" s="26"/>
    </row>
    <row r="300" spans="1:55" x14ac:dyDescent="0.3">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c r="AA300" s="26"/>
      <c r="AB300" s="26"/>
      <c r="AC300" s="26"/>
      <c r="AD300" s="26"/>
      <c r="AE300" s="26"/>
      <c r="AF300" s="26"/>
      <c r="AG300" s="26"/>
      <c r="AH300" s="26"/>
      <c r="AI300" s="26"/>
      <c r="AJ300" s="26"/>
      <c r="AK300" s="26"/>
      <c r="AL300" s="26"/>
      <c r="AM300" s="26"/>
      <c r="AN300" s="26"/>
      <c r="AO300" s="26"/>
      <c r="AP300" s="26"/>
      <c r="AQ300" s="26"/>
      <c r="AR300" s="26"/>
      <c r="AS300" s="26"/>
      <c r="AT300" s="26"/>
      <c r="AU300" s="26"/>
      <c r="AV300" s="26"/>
      <c r="AW300" s="26"/>
      <c r="AX300" s="26"/>
      <c r="AY300" s="26"/>
      <c r="AZ300" s="26"/>
      <c r="BA300" s="26"/>
      <c r="BB300" s="26"/>
      <c r="BC300" s="26"/>
    </row>
    <row r="301" spans="1:55" x14ac:dyDescent="0.3">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c r="AA301" s="26"/>
      <c r="AB301" s="26"/>
      <c r="AC301" s="26"/>
      <c r="AD301" s="26"/>
      <c r="AE301" s="26"/>
      <c r="AF301" s="26"/>
      <c r="AG301" s="26"/>
      <c r="AH301" s="26"/>
      <c r="AI301" s="26"/>
      <c r="AJ301" s="26"/>
      <c r="AK301" s="26"/>
      <c r="AL301" s="26"/>
      <c r="AM301" s="26"/>
      <c r="AN301" s="26"/>
      <c r="AO301" s="26"/>
      <c r="AP301" s="26"/>
      <c r="AQ301" s="26"/>
      <c r="AR301" s="26"/>
      <c r="AS301" s="26"/>
      <c r="AT301" s="26"/>
      <c r="AU301" s="26"/>
      <c r="AV301" s="26"/>
      <c r="AW301" s="26"/>
      <c r="AX301" s="26"/>
      <c r="AY301" s="26"/>
      <c r="AZ301" s="26"/>
      <c r="BA301" s="26"/>
      <c r="BB301" s="26"/>
      <c r="BC301" s="26"/>
    </row>
    <row r="302" spans="1:55" x14ac:dyDescent="0.3">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c r="AA302" s="26"/>
      <c r="AB302" s="26"/>
      <c r="AC302" s="26"/>
      <c r="AD302" s="26"/>
      <c r="AE302" s="26"/>
      <c r="AF302" s="26"/>
      <c r="AG302" s="26"/>
      <c r="AH302" s="26"/>
      <c r="AI302" s="26"/>
      <c r="AJ302" s="26"/>
      <c r="AK302" s="26"/>
      <c r="AL302" s="26"/>
      <c r="AM302" s="26"/>
      <c r="AN302" s="26"/>
      <c r="AO302" s="26"/>
      <c r="AP302" s="26"/>
      <c r="AQ302" s="26"/>
      <c r="AR302" s="26"/>
      <c r="AS302" s="26"/>
      <c r="AT302" s="26"/>
      <c r="AU302" s="26"/>
      <c r="AV302" s="26"/>
      <c r="AW302" s="26"/>
      <c r="AX302" s="26"/>
      <c r="AY302" s="26"/>
      <c r="AZ302" s="26"/>
      <c r="BA302" s="26"/>
      <c r="BB302" s="26"/>
      <c r="BC302" s="26"/>
    </row>
    <row r="303" spans="1:55" x14ac:dyDescent="0.3">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c r="AA303" s="26"/>
      <c r="AB303" s="26"/>
      <c r="AC303" s="26"/>
      <c r="AD303" s="26"/>
      <c r="AE303" s="26"/>
      <c r="AF303" s="26"/>
      <c r="AG303" s="26"/>
      <c r="AH303" s="26"/>
      <c r="AI303" s="26"/>
      <c r="AJ303" s="26"/>
      <c r="AK303" s="26"/>
      <c r="AL303" s="26"/>
      <c r="AM303" s="26"/>
      <c r="AN303" s="26"/>
      <c r="AO303" s="26"/>
      <c r="AP303" s="26"/>
      <c r="AQ303" s="26"/>
      <c r="AR303" s="26"/>
      <c r="AS303" s="26"/>
      <c r="AT303" s="26"/>
      <c r="AU303" s="26"/>
      <c r="AV303" s="26"/>
      <c r="AW303" s="26"/>
      <c r="AX303" s="26"/>
      <c r="AY303" s="26"/>
      <c r="AZ303" s="26"/>
      <c r="BA303" s="26"/>
      <c r="BB303" s="26"/>
      <c r="BC303" s="26"/>
    </row>
    <row r="304" spans="1:55" x14ac:dyDescent="0.3">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c r="AA304" s="26"/>
      <c r="AB304" s="26"/>
      <c r="AC304" s="26"/>
      <c r="AD304" s="26"/>
      <c r="AE304" s="26"/>
      <c r="AF304" s="26"/>
      <c r="AG304" s="26"/>
      <c r="AH304" s="26"/>
      <c r="AI304" s="26"/>
      <c r="AJ304" s="26"/>
      <c r="AK304" s="26"/>
      <c r="AL304" s="26"/>
      <c r="AM304" s="26"/>
      <c r="AN304" s="26"/>
      <c r="AO304" s="26"/>
      <c r="AP304" s="26"/>
      <c r="AQ304" s="26"/>
      <c r="AR304" s="26"/>
      <c r="AS304" s="26"/>
      <c r="AT304" s="26"/>
      <c r="AU304" s="26"/>
      <c r="AV304" s="26"/>
      <c r="AW304" s="26"/>
      <c r="AX304" s="26"/>
      <c r="AY304" s="26"/>
      <c r="AZ304" s="26"/>
      <c r="BA304" s="26"/>
      <c r="BB304" s="26"/>
      <c r="BC304" s="26"/>
    </row>
    <row r="305" spans="1:55" x14ac:dyDescent="0.3">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c r="AA305" s="26"/>
      <c r="AB305" s="26"/>
      <c r="AC305" s="26"/>
      <c r="AD305" s="26"/>
      <c r="AE305" s="26"/>
      <c r="AF305" s="26"/>
      <c r="AG305" s="26"/>
      <c r="AH305" s="26"/>
      <c r="AI305" s="26"/>
      <c r="AJ305" s="26"/>
      <c r="AK305" s="26"/>
      <c r="AL305" s="26"/>
      <c r="AM305" s="26"/>
      <c r="AN305" s="26"/>
      <c r="AO305" s="26"/>
      <c r="AP305" s="26"/>
      <c r="AQ305" s="26"/>
      <c r="AR305" s="26"/>
      <c r="AS305" s="26"/>
      <c r="AT305" s="26"/>
      <c r="AU305" s="26"/>
      <c r="AV305" s="26"/>
      <c r="AW305" s="26"/>
      <c r="AX305" s="26"/>
      <c r="AY305" s="26"/>
      <c r="AZ305" s="26"/>
      <c r="BA305" s="26"/>
      <c r="BB305" s="26"/>
      <c r="BC305" s="26"/>
    </row>
    <row r="306" spans="1:55" x14ac:dyDescent="0.3">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c r="AA306" s="26"/>
      <c r="AB306" s="26"/>
      <c r="AC306" s="26"/>
      <c r="AD306" s="26"/>
      <c r="AE306" s="26"/>
      <c r="AF306" s="26"/>
      <c r="AG306" s="26"/>
      <c r="AH306" s="26"/>
      <c r="AI306" s="26"/>
      <c r="AJ306" s="26"/>
      <c r="AK306" s="26"/>
      <c r="AL306" s="26"/>
      <c r="AM306" s="26"/>
      <c r="AN306" s="26"/>
      <c r="AO306" s="26"/>
      <c r="AP306" s="26"/>
      <c r="AQ306" s="26"/>
      <c r="AR306" s="26"/>
      <c r="AS306" s="26"/>
      <c r="AT306" s="26"/>
      <c r="AU306" s="26"/>
      <c r="AV306" s="26"/>
      <c r="AW306" s="26"/>
      <c r="AX306" s="26"/>
      <c r="AY306" s="26"/>
      <c r="AZ306" s="26"/>
      <c r="BA306" s="26"/>
      <c r="BB306" s="26"/>
      <c r="BC306" s="26"/>
    </row>
    <row r="307" spans="1:55" x14ac:dyDescent="0.3">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c r="AA307" s="26"/>
      <c r="AB307" s="26"/>
      <c r="AC307" s="26"/>
      <c r="AD307" s="26"/>
      <c r="AE307" s="26"/>
      <c r="AF307" s="26"/>
      <c r="AG307" s="26"/>
      <c r="AH307" s="26"/>
      <c r="AI307" s="26"/>
      <c r="AJ307" s="26"/>
      <c r="AK307" s="26"/>
      <c r="AL307" s="26"/>
      <c r="AM307" s="26"/>
      <c r="AN307" s="26"/>
      <c r="AO307" s="26"/>
      <c r="AP307" s="26"/>
      <c r="AQ307" s="26"/>
      <c r="AR307" s="26"/>
      <c r="AS307" s="26"/>
      <c r="AT307" s="26"/>
      <c r="AU307" s="26"/>
      <c r="AV307" s="26"/>
      <c r="AW307" s="26"/>
      <c r="AX307" s="26"/>
      <c r="AY307" s="26"/>
      <c r="AZ307" s="26"/>
      <c r="BA307" s="26"/>
      <c r="BB307" s="26"/>
      <c r="BC307" s="26"/>
    </row>
    <row r="308" spans="1:55" x14ac:dyDescent="0.3">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c r="AA308" s="26"/>
      <c r="AB308" s="26"/>
      <c r="AC308" s="26"/>
      <c r="AD308" s="26"/>
      <c r="AE308" s="26"/>
      <c r="AF308" s="26"/>
      <c r="AG308" s="26"/>
      <c r="AH308" s="26"/>
      <c r="AI308" s="26"/>
      <c r="AJ308" s="26"/>
      <c r="AK308" s="26"/>
      <c r="AL308" s="26"/>
      <c r="AM308" s="26"/>
      <c r="AN308" s="26"/>
      <c r="AO308" s="26"/>
      <c r="AP308" s="26"/>
      <c r="AQ308" s="26"/>
      <c r="AR308" s="26"/>
      <c r="AS308" s="26"/>
      <c r="AT308" s="26"/>
      <c r="AU308" s="26"/>
      <c r="AV308" s="26"/>
      <c r="AW308" s="26"/>
      <c r="AX308" s="26"/>
      <c r="AY308" s="26"/>
      <c r="AZ308" s="26"/>
      <c r="BA308" s="26"/>
      <c r="BB308" s="26"/>
      <c r="BC308" s="26"/>
    </row>
    <row r="309" spans="1:55" x14ac:dyDescent="0.3">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c r="AA309" s="26"/>
      <c r="AB309" s="26"/>
      <c r="AC309" s="26"/>
      <c r="AD309" s="26"/>
      <c r="AE309" s="26"/>
      <c r="AF309" s="26"/>
      <c r="AG309" s="26"/>
      <c r="AH309" s="26"/>
      <c r="AI309" s="26"/>
      <c r="AJ309" s="26"/>
      <c r="AK309" s="26"/>
      <c r="AL309" s="26"/>
      <c r="AM309" s="26"/>
      <c r="AN309" s="26"/>
      <c r="AO309" s="26"/>
      <c r="AP309" s="26"/>
      <c r="AQ309" s="26"/>
      <c r="AR309" s="26"/>
      <c r="AS309" s="26"/>
      <c r="AT309" s="26"/>
      <c r="AU309" s="26"/>
      <c r="AV309" s="26"/>
      <c r="AW309" s="26"/>
      <c r="AX309" s="26"/>
      <c r="AY309" s="26"/>
      <c r="AZ309" s="26"/>
      <c r="BA309" s="26"/>
      <c r="BB309" s="26"/>
      <c r="BC309" s="26"/>
    </row>
    <row r="310" spans="1:55" x14ac:dyDescent="0.3">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c r="AA310" s="26"/>
      <c r="AB310" s="26"/>
      <c r="AC310" s="26"/>
      <c r="AD310" s="26"/>
      <c r="AE310" s="26"/>
      <c r="AF310" s="26"/>
      <c r="AG310" s="26"/>
      <c r="AH310" s="26"/>
      <c r="AI310" s="26"/>
      <c r="AJ310" s="26"/>
      <c r="AK310" s="26"/>
      <c r="AL310" s="26"/>
      <c r="AM310" s="26"/>
      <c r="AN310" s="26"/>
      <c r="AO310" s="26"/>
      <c r="AP310" s="26"/>
      <c r="AQ310" s="26"/>
      <c r="AR310" s="26"/>
      <c r="AS310" s="26"/>
      <c r="AT310" s="26"/>
      <c r="AU310" s="26"/>
      <c r="AV310" s="26"/>
      <c r="AW310" s="26"/>
      <c r="AX310" s="26"/>
      <c r="AY310" s="26"/>
      <c r="AZ310" s="26"/>
      <c r="BA310" s="26"/>
      <c r="BB310" s="26"/>
      <c r="BC310" s="26"/>
    </row>
    <row r="311" spans="1:55" x14ac:dyDescent="0.3">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c r="AA311" s="26"/>
      <c r="AB311" s="26"/>
      <c r="AC311" s="26"/>
      <c r="AD311" s="26"/>
      <c r="AE311" s="26"/>
      <c r="AF311" s="26"/>
      <c r="AG311" s="26"/>
      <c r="AH311" s="26"/>
      <c r="AI311" s="26"/>
      <c r="AJ311" s="26"/>
      <c r="AK311" s="26"/>
      <c r="AL311" s="26"/>
      <c r="AM311" s="26"/>
      <c r="AN311" s="26"/>
      <c r="AO311" s="26"/>
      <c r="AP311" s="26"/>
      <c r="AQ311" s="26"/>
      <c r="AR311" s="26"/>
      <c r="AS311" s="26"/>
      <c r="AT311" s="26"/>
      <c r="AU311" s="26"/>
      <c r="AV311" s="26"/>
      <c r="AW311" s="26"/>
      <c r="AX311" s="26"/>
      <c r="AY311" s="26"/>
      <c r="AZ311" s="26"/>
      <c r="BA311" s="26"/>
      <c r="BB311" s="26"/>
      <c r="BC311" s="26"/>
    </row>
    <row r="312" spans="1:55" x14ac:dyDescent="0.3">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c r="AA312" s="26"/>
      <c r="AB312" s="26"/>
      <c r="AC312" s="26"/>
      <c r="AD312" s="26"/>
      <c r="AE312" s="26"/>
      <c r="AF312" s="26"/>
      <c r="AG312" s="26"/>
      <c r="AH312" s="26"/>
      <c r="AI312" s="26"/>
      <c r="AJ312" s="26"/>
      <c r="AK312" s="26"/>
      <c r="AL312" s="26"/>
      <c r="AM312" s="26"/>
      <c r="AN312" s="26"/>
      <c r="AO312" s="26"/>
      <c r="AP312" s="26"/>
      <c r="AQ312" s="26"/>
      <c r="AR312" s="26"/>
      <c r="AS312" s="26"/>
      <c r="AT312" s="26"/>
      <c r="AU312" s="26"/>
      <c r="AV312" s="26"/>
      <c r="AW312" s="26"/>
      <c r="AX312" s="26"/>
      <c r="AY312" s="26"/>
      <c r="AZ312" s="26"/>
      <c r="BA312" s="26"/>
      <c r="BB312" s="26"/>
      <c r="BC312" s="26"/>
    </row>
    <row r="313" spans="1:55" x14ac:dyDescent="0.3">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c r="AA313" s="26"/>
      <c r="AB313" s="26"/>
      <c r="AC313" s="26"/>
      <c r="AD313" s="26"/>
      <c r="AE313" s="26"/>
      <c r="AF313" s="26"/>
      <c r="AG313" s="26"/>
      <c r="AH313" s="26"/>
      <c r="AI313" s="26"/>
      <c r="AJ313" s="26"/>
      <c r="AK313" s="26"/>
      <c r="AL313" s="26"/>
      <c r="AM313" s="26"/>
      <c r="AN313" s="26"/>
      <c r="AO313" s="26"/>
      <c r="AP313" s="26"/>
      <c r="AQ313" s="26"/>
      <c r="AR313" s="26"/>
      <c r="AS313" s="26"/>
      <c r="AT313" s="26"/>
      <c r="AU313" s="26"/>
      <c r="AV313" s="26"/>
      <c r="AW313" s="26"/>
      <c r="AX313" s="26"/>
      <c r="AY313" s="26"/>
      <c r="AZ313" s="26"/>
      <c r="BA313" s="26"/>
      <c r="BB313" s="26"/>
      <c r="BC313" s="26"/>
    </row>
    <row r="314" spans="1:55" x14ac:dyDescent="0.3">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c r="AA314" s="26"/>
      <c r="AB314" s="26"/>
      <c r="AC314" s="26"/>
      <c r="AD314" s="26"/>
      <c r="AE314" s="26"/>
      <c r="AF314" s="26"/>
      <c r="AG314" s="26"/>
      <c r="AH314" s="26"/>
      <c r="AI314" s="26"/>
      <c r="AJ314" s="26"/>
      <c r="AK314" s="26"/>
      <c r="AL314" s="26"/>
      <c r="AM314" s="26"/>
      <c r="AN314" s="26"/>
      <c r="AO314" s="26"/>
      <c r="AP314" s="26"/>
      <c r="AQ314" s="26"/>
      <c r="AR314" s="26"/>
      <c r="AS314" s="26"/>
      <c r="AT314" s="26"/>
      <c r="AU314" s="26"/>
      <c r="AV314" s="26"/>
      <c r="AW314" s="26"/>
      <c r="AX314" s="26"/>
      <c r="AY314" s="26"/>
      <c r="AZ314" s="26"/>
      <c r="BA314" s="26"/>
      <c r="BB314" s="26"/>
      <c r="BC314" s="26"/>
    </row>
    <row r="315" spans="1:55" x14ac:dyDescent="0.3">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c r="AA315" s="26"/>
      <c r="AB315" s="26"/>
      <c r="AC315" s="26"/>
      <c r="AD315" s="26"/>
      <c r="AE315" s="26"/>
      <c r="AF315" s="26"/>
      <c r="AG315" s="26"/>
      <c r="AH315" s="26"/>
      <c r="AI315" s="26"/>
      <c r="AJ315" s="26"/>
      <c r="AK315" s="26"/>
      <c r="AL315" s="26"/>
      <c r="AM315" s="26"/>
      <c r="AN315" s="26"/>
      <c r="AO315" s="26"/>
      <c r="AP315" s="26"/>
      <c r="AQ315" s="26"/>
      <c r="AR315" s="26"/>
      <c r="AS315" s="26"/>
      <c r="AT315" s="26"/>
      <c r="AU315" s="26"/>
      <c r="AV315" s="26"/>
      <c r="AW315" s="26"/>
      <c r="AX315" s="26"/>
      <c r="AY315" s="26"/>
      <c r="AZ315" s="26"/>
      <c r="BA315" s="26"/>
      <c r="BB315" s="26"/>
      <c r="BC315" s="26"/>
    </row>
    <row r="316" spans="1:55" x14ac:dyDescent="0.3">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c r="AA316" s="26"/>
      <c r="AB316" s="26"/>
      <c r="AC316" s="26"/>
      <c r="AD316" s="26"/>
      <c r="AE316" s="26"/>
      <c r="AF316" s="26"/>
      <c r="AG316" s="26"/>
      <c r="AH316" s="26"/>
      <c r="AI316" s="26"/>
      <c r="AJ316" s="26"/>
      <c r="AK316" s="26"/>
      <c r="AL316" s="26"/>
      <c r="AM316" s="26"/>
      <c r="AN316" s="26"/>
      <c r="AO316" s="26"/>
      <c r="AP316" s="26"/>
      <c r="AQ316" s="26"/>
      <c r="AR316" s="26"/>
      <c r="AS316" s="26"/>
      <c r="AT316" s="26"/>
      <c r="AU316" s="26"/>
      <c r="AV316" s="26"/>
      <c r="AW316" s="26"/>
      <c r="AX316" s="26"/>
      <c r="AY316" s="26"/>
      <c r="AZ316" s="26"/>
      <c r="BA316" s="26"/>
      <c r="BB316" s="26"/>
      <c r="BC316" s="26"/>
    </row>
    <row r="317" spans="1:55" x14ac:dyDescent="0.3">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c r="AA317" s="26"/>
      <c r="AB317" s="26"/>
      <c r="AC317" s="26"/>
      <c r="AD317" s="26"/>
      <c r="AE317" s="26"/>
      <c r="AF317" s="26"/>
      <c r="AG317" s="26"/>
      <c r="AH317" s="26"/>
      <c r="AI317" s="26"/>
      <c r="AJ317" s="26"/>
      <c r="AK317" s="26"/>
      <c r="AL317" s="26"/>
      <c r="AM317" s="26"/>
      <c r="AN317" s="26"/>
      <c r="AO317" s="26"/>
      <c r="AP317" s="26"/>
      <c r="AQ317" s="26"/>
      <c r="AR317" s="26"/>
      <c r="AS317" s="26"/>
      <c r="AT317" s="26"/>
      <c r="AU317" s="26"/>
      <c r="AV317" s="26"/>
      <c r="AW317" s="26"/>
      <c r="AX317" s="26"/>
      <c r="AY317" s="26"/>
      <c r="AZ317" s="26"/>
      <c r="BA317" s="26"/>
      <c r="BB317" s="26"/>
      <c r="BC317" s="26"/>
    </row>
    <row r="318" spans="1:55" x14ac:dyDescent="0.3">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c r="AA318" s="26"/>
      <c r="AB318" s="26"/>
      <c r="AC318" s="26"/>
      <c r="AD318" s="26"/>
      <c r="AE318" s="26"/>
      <c r="AF318" s="26"/>
      <c r="AG318" s="26"/>
      <c r="AH318" s="26"/>
      <c r="AI318" s="26"/>
      <c r="AJ318" s="26"/>
      <c r="AK318" s="26"/>
      <c r="AL318" s="26"/>
      <c r="AM318" s="26"/>
      <c r="AN318" s="26"/>
      <c r="AO318" s="26"/>
      <c r="AP318" s="26"/>
      <c r="AQ318" s="26"/>
      <c r="AR318" s="26"/>
      <c r="AS318" s="26"/>
      <c r="AT318" s="26"/>
      <c r="AU318" s="26"/>
      <c r="AV318" s="26"/>
      <c r="AW318" s="26"/>
      <c r="AX318" s="26"/>
      <c r="AY318" s="26"/>
      <c r="AZ318" s="26"/>
      <c r="BA318" s="26"/>
      <c r="BB318" s="26"/>
      <c r="BC318" s="26"/>
    </row>
    <row r="319" spans="1:55" x14ac:dyDescent="0.3">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c r="AA319" s="26"/>
      <c r="AB319" s="26"/>
      <c r="AC319" s="26"/>
      <c r="AD319" s="26"/>
      <c r="AE319" s="26"/>
      <c r="AF319" s="26"/>
      <c r="AG319" s="26"/>
      <c r="AH319" s="26"/>
      <c r="AI319" s="26"/>
      <c r="AJ319" s="26"/>
      <c r="AK319" s="26"/>
      <c r="AL319" s="26"/>
      <c r="AM319" s="26"/>
      <c r="AN319" s="26"/>
      <c r="AO319" s="26"/>
      <c r="AP319" s="26"/>
      <c r="AQ319" s="26"/>
      <c r="AR319" s="26"/>
      <c r="AS319" s="26"/>
      <c r="AT319" s="26"/>
      <c r="AU319" s="26"/>
      <c r="AV319" s="26"/>
      <c r="AW319" s="26"/>
      <c r="AX319" s="26"/>
      <c r="AY319" s="26"/>
      <c r="AZ319" s="26"/>
      <c r="BA319" s="26"/>
      <c r="BB319" s="26"/>
      <c r="BC319" s="26"/>
    </row>
    <row r="320" spans="1:55" x14ac:dyDescent="0.3">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c r="AA320" s="26"/>
      <c r="AB320" s="26"/>
      <c r="AC320" s="26"/>
      <c r="AD320" s="26"/>
      <c r="AE320" s="26"/>
      <c r="AF320" s="26"/>
      <c r="AG320" s="26"/>
      <c r="AH320" s="26"/>
      <c r="AI320" s="26"/>
      <c r="AJ320" s="26"/>
      <c r="AK320" s="26"/>
      <c r="AL320" s="26"/>
      <c r="AM320" s="26"/>
      <c r="AN320" s="26"/>
      <c r="AO320" s="26"/>
      <c r="AP320" s="26"/>
      <c r="AQ320" s="26"/>
      <c r="AR320" s="26"/>
      <c r="AS320" s="26"/>
      <c r="AT320" s="26"/>
      <c r="AU320" s="26"/>
      <c r="AV320" s="26"/>
      <c r="AW320" s="26"/>
      <c r="AX320" s="26"/>
      <c r="AY320" s="26"/>
      <c r="AZ320" s="26"/>
      <c r="BA320" s="26"/>
      <c r="BB320" s="26"/>
      <c r="BC320" s="26"/>
    </row>
    <row r="321" spans="1:55" x14ac:dyDescent="0.3">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c r="AA321" s="26"/>
      <c r="AB321" s="26"/>
      <c r="AC321" s="26"/>
      <c r="AD321" s="26"/>
      <c r="AE321" s="26"/>
      <c r="AF321" s="26"/>
      <c r="AG321" s="26"/>
      <c r="AH321" s="26"/>
      <c r="AI321" s="26"/>
      <c r="AJ321" s="26"/>
      <c r="AK321" s="26"/>
      <c r="AL321" s="26"/>
      <c r="AM321" s="26"/>
      <c r="AN321" s="26"/>
      <c r="AO321" s="26"/>
      <c r="AP321" s="26"/>
      <c r="AQ321" s="26"/>
      <c r="AR321" s="26"/>
      <c r="AS321" s="26"/>
      <c r="AT321" s="26"/>
      <c r="AU321" s="26"/>
      <c r="AV321" s="26"/>
      <c r="AW321" s="26"/>
      <c r="AX321" s="26"/>
      <c r="AY321" s="26"/>
      <c r="AZ321" s="26"/>
      <c r="BA321" s="26"/>
      <c r="BB321" s="26"/>
      <c r="BC321" s="26"/>
    </row>
    <row r="322" spans="1:55" x14ac:dyDescent="0.3">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c r="AA322" s="26"/>
      <c r="AB322" s="26"/>
      <c r="AC322" s="26"/>
      <c r="AD322" s="26"/>
      <c r="AE322" s="26"/>
      <c r="AF322" s="26"/>
      <c r="AG322" s="26"/>
      <c r="AH322" s="26"/>
      <c r="AI322" s="26"/>
      <c r="AJ322" s="26"/>
      <c r="AK322" s="26"/>
      <c r="AL322" s="26"/>
      <c r="AM322" s="26"/>
      <c r="AN322" s="26"/>
      <c r="AO322" s="26"/>
      <c r="AP322" s="26"/>
      <c r="AQ322" s="26"/>
      <c r="AR322" s="26"/>
      <c r="AS322" s="26"/>
      <c r="AT322" s="26"/>
      <c r="AU322" s="26"/>
      <c r="AV322" s="26"/>
      <c r="AW322" s="26"/>
      <c r="AX322" s="26"/>
      <c r="AY322" s="26"/>
      <c r="AZ322" s="26"/>
      <c r="BA322" s="26"/>
      <c r="BB322" s="26"/>
      <c r="BC322" s="26"/>
    </row>
    <row r="323" spans="1:55" x14ac:dyDescent="0.3">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c r="AA323" s="26"/>
      <c r="AB323" s="26"/>
      <c r="AC323" s="26"/>
      <c r="AD323" s="26"/>
      <c r="AE323" s="26"/>
      <c r="AF323" s="26"/>
      <c r="AG323" s="26"/>
      <c r="AH323" s="26"/>
      <c r="AI323" s="26"/>
      <c r="AJ323" s="26"/>
      <c r="AK323" s="26"/>
      <c r="AL323" s="26"/>
      <c r="AM323" s="26"/>
      <c r="AN323" s="26"/>
      <c r="AO323" s="26"/>
      <c r="AP323" s="26"/>
      <c r="AQ323" s="26"/>
      <c r="AR323" s="26"/>
      <c r="AS323" s="26"/>
      <c r="AT323" s="26"/>
      <c r="AU323" s="26"/>
      <c r="AV323" s="26"/>
      <c r="AW323" s="26"/>
      <c r="AX323" s="26"/>
      <c r="AY323" s="26"/>
      <c r="AZ323" s="26"/>
      <c r="BA323" s="26"/>
      <c r="BB323" s="26"/>
      <c r="BC323" s="26"/>
    </row>
    <row r="324" spans="1:55" x14ac:dyDescent="0.3">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c r="AA324" s="26"/>
      <c r="AB324" s="26"/>
      <c r="AC324" s="26"/>
      <c r="AD324" s="26"/>
      <c r="AE324" s="26"/>
      <c r="AF324" s="26"/>
      <c r="AG324" s="26"/>
      <c r="AH324" s="26"/>
      <c r="AI324" s="26"/>
      <c r="AJ324" s="26"/>
      <c r="AK324" s="26"/>
      <c r="AL324" s="26"/>
      <c r="AM324" s="26"/>
      <c r="AN324" s="26"/>
      <c r="AO324" s="26"/>
      <c r="AP324" s="26"/>
      <c r="AQ324" s="26"/>
      <c r="AR324" s="26"/>
      <c r="AS324" s="26"/>
      <c r="AT324" s="26"/>
      <c r="AU324" s="26"/>
      <c r="AV324" s="26"/>
      <c r="AW324" s="26"/>
      <c r="AX324" s="26"/>
      <c r="AY324" s="26"/>
      <c r="AZ324" s="26"/>
      <c r="BA324" s="26"/>
      <c r="BB324" s="26"/>
      <c r="BC324" s="26"/>
    </row>
    <row r="325" spans="1:55" x14ac:dyDescent="0.3">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c r="AA325" s="26"/>
      <c r="AB325" s="26"/>
      <c r="AC325" s="26"/>
      <c r="AD325" s="26"/>
      <c r="AE325" s="26"/>
      <c r="AF325" s="26"/>
      <c r="AG325" s="26"/>
      <c r="AH325" s="26"/>
      <c r="AI325" s="26"/>
      <c r="AJ325" s="26"/>
      <c r="AK325" s="26"/>
      <c r="AL325" s="26"/>
      <c r="AM325" s="26"/>
      <c r="AN325" s="26"/>
      <c r="AO325" s="26"/>
      <c r="AP325" s="26"/>
      <c r="AQ325" s="26"/>
      <c r="AR325" s="26"/>
      <c r="AS325" s="26"/>
      <c r="AT325" s="26"/>
      <c r="AU325" s="26"/>
      <c r="AV325" s="26"/>
      <c r="AW325" s="26"/>
      <c r="AX325" s="26"/>
      <c r="AY325" s="26"/>
      <c r="AZ325" s="26"/>
      <c r="BA325" s="26"/>
      <c r="BB325" s="26"/>
      <c r="BC325" s="26"/>
    </row>
    <row r="326" spans="1:55" x14ac:dyDescent="0.3">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c r="AA326" s="26"/>
      <c r="AB326" s="26"/>
      <c r="AC326" s="26"/>
      <c r="AD326" s="26"/>
      <c r="AE326" s="26"/>
      <c r="AF326" s="26"/>
      <c r="AG326" s="26"/>
      <c r="AH326" s="26"/>
      <c r="AI326" s="26"/>
      <c r="AJ326" s="26"/>
      <c r="AK326" s="26"/>
      <c r="AL326" s="26"/>
      <c r="AM326" s="26"/>
      <c r="AN326" s="26"/>
      <c r="AO326" s="26"/>
      <c r="AP326" s="26"/>
      <c r="AQ326" s="26"/>
      <c r="AR326" s="26"/>
      <c r="AS326" s="26"/>
      <c r="AT326" s="26"/>
      <c r="AU326" s="26"/>
      <c r="AV326" s="26"/>
      <c r="AW326" s="26"/>
      <c r="AX326" s="26"/>
      <c r="AY326" s="26"/>
      <c r="AZ326" s="26"/>
      <c r="BA326" s="26"/>
      <c r="BB326" s="26"/>
      <c r="BC326" s="26"/>
    </row>
    <row r="327" spans="1:55" x14ac:dyDescent="0.3">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c r="AA327" s="26"/>
      <c r="AB327" s="26"/>
      <c r="AC327" s="26"/>
      <c r="AD327" s="26"/>
      <c r="AE327" s="26"/>
      <c r="AF327" s="26"/>
      <c r="AG327" s="26"/>
      <c r="AH327" s="26"/>
      <c r="AI327" s="26"/>
      <c r="AJ327" s="26"/>
      <c r="AK327" s="26"/>
      <c r="AL327" s="26"/>
      <c r="AM327" s="26"/>
      <c r="AN327" s="26"/>
      <c r="AO327" s="26"/>
      <c r="AP327" s="26"/>
      <c r="AQ327" s="26"/>
      <c r="AR327" s="26"/>
      <c r="AS327" s="26"/>
      <c r="AT327" s="26"/>
      <c r="AU327" s="26"/>
      <c r="AV327" s="26"/>
      <c r="AW327" s="26"/>
      <c r="AX327" s="26"/>
      <c r="AY327" s="26"/>
      <c r="AZ327" s="26"/>
      <c r="BA327" s="26"/>
      <c r="BB327" s="26"/>
      <c r="BC327" s="26"/>
    </row>
    <row r="328" spans="1:55" x14ac:dyDescent="0.3">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c r="AA328" s="26"/>
      <c r="AB328" s="26"/>
      <c r="AC328" s="26"/>
      <c r="AD328" s="26"/>
      <c r="AE328" s="26"/>
      <c r="AF328" s="26"/>
      <c r="AG328" s="26"/>
      <c r="AH328" s="26"/>
      <c r="AI328" s="26"/>
      <c r="AJ328" s="26"/>
      <c r="AK328" s="26"/>
      <c r="AL328" s="26"/>
      <c r="AM328" s="26"/>
      <c r="AN328" s="26"/>
      <c r="AO328" s="26"/>
      <c r="AP328" s="26"/>
      <c r="AQ328" s="26"/>
      <c r="AR328" s="26"/>
      <c r="AS328" s="26"/>
      <c r="AT328" s="26"/>
      <c r="AU328" s="26"/>
      <c r="AV328" s="26"/>
      <c r="AW328" s="26"/>
      <c r="AX328" s="26"/>
      <c r="AY328" s="26"/>
      <c r="AZ328" s="26"/>
      <c r="BA328" s="26"/>
      <c r="BB328" s="26"/>
      <c r="BC328" s="26"/>
    </row>
    <row r="329" spans="1:55" x14ac:dyDescent="0.3">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c r="AA329" s="26"/>
      <c r="AB329" s="26"/>
      <c r="AC329" s="26"/>
      <c r="AD329" s="26"/>
      <c r="AE329" s="26"/>
      <c r="AF329" s="26"/>
      <c r="AG329" s="26"/>
      <c r="AH329" s="26"/>
      <c r="AI329" s="26"/>
      <c r="AJ329" s="26"/>
      <c r="AK329" s="26"/>
      <c r="AL329" s="26"/>
      <c r="AM329" s="26"/>
      <c r="AN329" s="26"/>
      <c r="AO329" s="26"/>
      <c r="AP329" s="26"/>
      <c r="AQ329" s="26"/>
      <c r="AR329" s="26"/>
      <c r="AS329" s="26"/>
      <c r="AT329" s="26"/>
      <c r="AU329" s="26"/>
      <c r="AV329" s="26"/>
      <c r="AW329" s="26"/>
      <c r="AX329" s="26"/>
      <c r="AY329" s="26"/>
      <c r="AZ329" s="26"/>
      <c r="BA329" s="26"/>
      <c r="BB329" s="26"/>
      <c r="BC329" s="26"/>
    </row>
    <row r="330" spans="1:55" x14ac:dyDescent="0.3">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c r="AA330" s="26"/>
      <c r="AB330" s="26"/>
      <c r="AC330" s="26"/>
      <c r="AD330" s="26"/>
      <c r="AE330" s="26"/>
      <c r="AF330" s="26"/>
      <c r="AG330" s="26"/>
      <c r="AH330" s="26"/>
      <c r="AI330" s="26"/>
      <c r="AJ330" s="26"/>
      <c r="AK330" s="26"/>
      <c r="AL330" s="26"/>
      <c r="AM330" s="26"/>
      <c r="AN330" s="26"/>
      <c r="AO330" s="26"/>
      <c r="AP330" s="26"/>
      <c r="AQ330" s="26"/>
      <c r="AR330" s="26"/>
      <c r="AS330" s="26"/>
      <c r="AT330" s="26"/>
      <c r="AU330" s="26"/>
      <c r="AV330" s="26"/>
      <c r="AW330" s="26"/>
      <c r="AX330" s="26"/>
      <c r="AY330" s="26"/>
      <c r="AZ330" s="26"/>
      <c r="BA330" s="26"/>
      <c r="BB330" s="26"/>
      <c r="BC330" s="26"/>
    </row>
    <row r="331" spans="1:55" x14ac:dyDescent="0.3">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c r="AA331" s="26"/>
      <c r="AB331" s="26"/>
      <c r="AC331" s="26"/>
      <c r="AD331" s="26"/>
      <c r="AE331" s="26"/>
      <c r="AF331" s="26"/>
      <c r="AG331" s="26"/>
      <c r="AH331" s="26"/>
      <c r="AI331" s="26"/>
      <c r="AJ331" s="26"/>
      <c r="AK331" s="26"/>
      <c r="AL331" s="26"/>
      <c r="AM331" s="26"/>
      <c r="AN331" s="26"/>
      <c r="AO331" s="26"/>
      <c r="AP331" s="26"/>
      <c r="AQ331" s="26"/>
      <c r="AR331" s="26"/>
      <c r="AS331" s="26"/>
      <c r="AT331" s="26"/>
      <c r="AU331" s="26"/>
      <c r="AV331" s="26"/>
      <c r="AW331" s="26"/>
      <c r="AX331" s="26"/>
      <c r="AY331" s="26"/>
      <c r="AZ331" s="26"/>
      <c r="BA331" s="26"/>
      <c r="BB331" s="26"/>
      <c r="BC331" s="26"/>
    </row>
    <row r="332" spans="1:55" x14ac:dyDescent="0.3">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c r="AA332" s="26"/>
      <c r="AB332" s="26"/>
      <c r="AC332" s="26"/>
      <c r="AD332" s="26"/>
      <c r="AE332" s="26"/>
      <c r="AF332" s="26"/>
      <c r="AG332" s="26"/>
      <c r="AH332" s="26"/>
      <c r="AI332" s="26"/>
      <c r="AJ332" s="26"/>
      <c r="AK332" s="26"/>
      <c r="AL332" s="26"/>
      <c r="AM332" s="26"/>
      <c r="AN332" s="26"/>
      <c r="AO332" s="26"/>
      <c r="AP332" s="26"/>
      <c r="AQ332" s="26"/>
      <c r="AR332" s="26"/>
      <c r="AS332" s="26"/>
      <c r="AT332" s="26"/>
      <c r="AU332" s="26"/>
      <c r="AV332" s="26"/>
      <c r="AW332" s="26"/>
      <c r="AX332" s="26"/>
      <c r="AY332" s="26"/>
      <c r="AZ332" s="26"/>
      <c r="BA332" s="26"/>
      <c r="BB332" s="26"/>
      <c r="BC332" s="26"/>
    </row>
    <row r="333" spans="1:55" x14ac:dyDescent="0.3">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c r="AA333" s="26"/>
      <c r="AB333" s="26"/>
      <c r="AC333" s="26"/>
      <c r="AD333" s="26"/>
      <c r="AE333" s="26"/>
      <c r="AF333" s="26"/>
      <c r="AG333" s="26"/>
      <c r="AH333" s="26"/>
      <c r="AI333" s="26"/>
      <c r="AJ333" s="26"/>
      <c r="AK333" s="26"/>
      <c r="AL333" s="26"/>
      <c r="AM333" s="26"/>
      <c r="AN333" s="26"/>
      <c r="AO333" s="26"/>
      <c r="AP333" s="26"/>
      <c r="AQ333" s="26"/>
      <c r="AR333" s="26"/>
      <c r="AS333" s="26"/>
      <c r="AT333" s="26"/>
      <c r="AU333" s="26"/>
      <c r="AV333" s="26"/>
      <c r="AW333" s="26"/>
      <c r="AX333" s="26"/>
      <c r="AY333" s="26"/>
      <c r="AZ333" s="26"/>
      <c r="BA333" s="26"/>
      <c r="BB333" s="26"/>
      <c r="BC333" s="26"/>
    </row>
    <row r="334" spans="1:55" x14ac:dyDescent="0.3">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c r="AA334" s="26"/>
      <c r="AB334" s="26"/>
      <c r="AC334" s="26"/>
      <c r="AD334" s="26"/>
      <c r="AE334" s="26"/>
      <c r="AF334" s="26"/>
      <c r="AG334" s="26"/>
      <c r="AH334" s="26"/>
      <c r="AI334" s="26"/>
      <c r="AJ334" s="26"/>
      <c r="AK334" s="26"/>
      <c r="AL334" s="26"/>
      <c r="AM334" s="26"/>
      <c r="AN334" s="26"/>
      <c r="AO334" s="26"/>
      <c r="AP334" s="26"/>
      <c r="AQ334" s="26"/>
      <c r="AR334" s="26"/>
      <c r="AS334" s="26"/>
      <c r="AT334" s="26"/>
      <c r="AU334" s="26"/>
      <c r="AV334" s="26"/>
      <c r="AW334" s="26"/>
      <c r="AX334" s="26"/>
      <c r="AY334" s="26"/>
      <c r="AZ334" s="26"/>
      <c r="BA334" s="26"/>
      <c r="BB334" s="26"/>
      <c r="BC334" s="26"/>
    </row>
    <row r="335" spans="1:55" x14ac:dyDescent="0.3">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c r="AA335" s="26"/>
      <c r="AB335" s="26"/>
      <c r="AC335" s="26"/>
      <c r="AD335" s="26"/>
      <c r="AE335" s="26"/>
      <c r="AF335" s="26"/>
      <c r="AG335" s="26"/>
      <c r="AH335" s="26"/>
      <c r="AI335" s="26"/>
      <c r="AJ335" s="26"/>
      <c r="AK335" s="26"/>
      <c r="AL335" s="26"/>
      <c r="AM335" s="26"/>
      <c r="AN335" s="26"/>
      <c r="AO335" s="26"/>
      <c r="AP335" s="26"/>
      <c r="AQ335" s="26"/>
      <c r="AR335" s="26"/>
      <c r="AS335" s="26"/>
      <c r="AT335" s="26"/>
      <c r="AU335" s="26"/>
      <c r="AV335" s="26"/>
      <c r="AW335" s="26"/>
      <c r="AX335" s="26"/>
      <c r="AY335" s="26"/>
      <c r="AZ335" s="26"/>
      <c r="BA335" s="26"/>
      <c r="BB335" s="26"/>
      <c r="BC335" s="26"/>
    </row>
    <row r="336" spans="1:55" x14ac:dyDescent="0.3">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c r="AA336" s="26"/>
      <c r="AB336" s="26"/>
      <c r="AC336" s="26"/>
      <c r="AD336" s="26"/>
      <c r="AE336" s="26"/>
      <c r="AF336" s="26"/>
      <c r="AG336" s="26"/>
      <c r="AH336" s="26"/>
      <c r="AI336" s="26"/>
      <c r="AJ336" s="26"/>
      <c r="AK336" s="26"/>
      <c r="AL336" s="26"/>
      <c r="AM336" s="26"/>
      <c r="AN336" s="26"/>
      <c r="AO336" s="26"/>
      <c r="AP336" s="26"/>
      <c r="AQ336" s="26"/>
      <c r="AR336" s="26"/>
      <c r="AS336" s="26"/>
      <c r="AT336" s="26"/>
      <c r="AU336" s="26"/>
      <c r="AV336" s="26"/>
      <c r="AW336" s="26"/>
      <c r="AX336" s="26"/>
      <c r="AY336" s="26"/>
      <c r="AZ336" s="26"/>
      <c r="BA336" s="26"/>
      <c r="BB336" s="26"/>
      <c r="BC336" s="26"/>
    </row>
    <row r="337" spans="1:55" x14ac:dyDescent="0.3">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c r="AA337" s="26"/>
      <c r="AB337" s="26"/>
      <c r="AC337" s="26"/>
      <c r="AD337" s="26"/>
      <c r="AE337" s="26"/>
      <c r="AF337" s="26"/>
      <c r="AG337" s="26"/>
      <c r="AH337" s="26"/>
      <c r="AI337" s="26"/>
      <c r="AJ337" s="26"/>
      <c r="AK337" s="26"/>
      <c r="AL337" s="26"/>
      <c r="AM337" s="26"/>
      <c r="AN337" s="26"/>
      <c r="AO337" s="26"/>
      <c r="AP337" s="26"/>
      <c r="AQ337" s="26"/>
      <c r="AR337" s="26"/>
      <c r="AS337" s="26"/>
      <c r="AT337" s="26"/>
      <c r="AU337" s="26"/>
      <c r="AV337" s="26"/>
      <c r="AW337" s="26"/>
      <c r="AX337" s="26"/>
      <c r="AY337" s="26"/>
      <c r="AZ337" s="26"/>
      <c r="BA337" s="26"/>
      <c r="BB337" s="26"/>
      <c r="BC337" s="26"/>
    </row>
    <row r="338" spans="1:55" x14ac:dyDescent="0.3">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c r="AA338" s="26"/>
      <c r="AB338" s="26"/>
      <c r="AC338" s="26"/>
      <c r="AD338" s="26"/>
      <c r="AE338" s="26"/>
      <c r="AF338" s="26"/>
      <c r="AG338" s="26"/>
      <c r="AH338" s="26"/>
      <c r="AI338" s="26"/>
      <c r="AJ338" s="26"/>
      <c r="AK338" s="26"/>
      <c r="AL338" s="26"/>
      <c r="AM338" s="26"/>
      <c r="AN338" s="26"/>
      <c r="AO338" s="26"/>
      <c r="AP338" s="26"/>
      <c r="AQ338" s="26"/>
      <c r="AR338" s="26"/>
      <c r="AS338" s="26"/>
      <c r="AT338" s="26"/>
      <c r="AU338" s="26"/>
      <c r="AV338" s="26"/>
      <c r="AW338" s="26"/>
      <c r="AX338" s="26"/>
      <c r="AY338" s="26"/>
      <c r="AZ338" s="26"/>
      <c r="BA338" s="26"/>
      <c r="BB338" s="26"/>
      <c r="BC338" s="26"/>
    </row>
    <row r="339" spans="1:55" x14ac:dyDescent="0.3">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c r="AA339" s="26"/>
      <c r="AB339" s="26"/>
      <c r="AC339" s="26"/>
      <c r="AD339" s="26"/>
      <c r="AE339" s="26"/>
      <c r="AF339" s="26"/>
      <c r="AG339" s="26"/>
      <c r="AH339" s="26"/>
      <c r="AI339" s="26"/>
      <c r="AJ339" s="26"/>
      <c r="AK339" s="26"/>
      <c r="AL339" s="26"/>
      <c r="AM339" s="26"/>
      <c r="AN339" s="26"/>
      <c r="AO339" s="26"/>
      <c r="AP339" s="26"/>
      <c r="AQ339" s="26"/>
      <c r="AR339" s="26"/>
      <c r="AS339" s="26"/>
      <c r="AT339" s="26"/>
      <c r="AU339" s="26"/>
      <c r="AV339" s="26"/>
      <c r="AW339" s="26"/>
      <c r="AX339" s="26"/>
      <c r="AY339" s="26"/>
      <c r="AZ339" s="26"/>
      <c r="BA339" s="26"/>
      <c r="BB339" s="26"/>
      <c r="BC339" s="26"/>
    </row>
    <row r="340" spans="1:55" x14ac:dyDescent="0.3">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c r="AA340" s="26"/>
      <c r="AB340" s="26"/>
      <c r="AC340" s="26"/>
      <c r="AD340" s="26"/>
      <c r="AE340" s="26"/>
      <c r="AF340" s="26"/>
      <c r="AG340" s="26"/>
      <c r="AH340" s="26"/>
      <c r="AI340" s="26"/>
      <c r="AJ340" s="26"/>
      <c r="AK340" s="26"/>
      <c r="AL340" s="26"/>
      <c r="AM340" s="26"/>
      <c r="AN340" s="26"/>
      <c r="AO340" s="26"/>
      <c r="AP340" s="26"/>
      <c r="AQ340" s="26"/>
      <c r="AR340" s="26"/>
      <c r="AS340" s="26"/>
      <c r="AT340" s="26"/>
      <c r="AU340" s="26"/>
      <c r="AV340" s="26"/>
      <c r="AW340" s="26"/>
      <c r="AX340" s="26"/>
      <c r="AY340" s="26"/>
      <c r="AZ340" s="26"/>
      <c r="BA340" s="26"/>
      <c r="BB340" s="26"/>
      <c r="BC340" s="26"/>
    </row>
    <row r="341" spans="1:55" x14ac:dyDescent="0.3">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c r="AA341" s="26"/>
      <c r="AB341" s="26"/>
      <c r="AC341" s="26"/>
      <c r="AD341" s="26"/>
      <c r="AE341" s="26"/>
      <c r="AF341" s="26"/>
      <c r="AG341" s="26"/>
      <c r="AH341" s="26"/>
      <c r="AI341" s="26"/>
      <c r="AJ341" s="26"/>
      <c r="AK341" s="26"/>
      <c r="AL341" s="26"/>
      <c r="AM341" s="26"/>
      <c r="AN341" s="26"/>
      <c r="AO341" s="26"/>
      <c r="AP341" s="26"/>
      <c r="AQ341" s="26"/>
      <c r="AR341" s="26"/>
      <c r="AS341" s="26"/>
      <c r="AT341" s="26"/>
      <c r="AU341" s="26"/>
      <c r="AV341" s="26"/>
      <c r="AW341" s="26"/>
      <c r="AX341" s="26"/>
      <c r="AY341" s="26"/>
      <c r="AZ341" s="26"/>
      <c r="BA341" s="26"/>
      <c r="BB341" s="26"/>
      <c r="BC341" s="26"/>
    </row>
    <row r="342" spans="1:55" x14ac:dyDescent="0.3">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c r="AA342" s="26"/>
      <c r="AB342" s="26"/>
      <c r="AC342" s="26"/>
      <c r="AD342" s="26"/>
      <c r="AE342" s="26"/>
      <c r="AF342" s="26"/>
      <c r="AG342" s="26"/>
      <c r="AH342" s="26"/>
      <c r="AI342" s="26"/>
      <c r="AJ342" s="26"/>
      <c r="AK342" s="26"/>
      <c r="AL342" s="26"/>
      <c r="AM342" s="26"/>
      <c r="AN342" s="26"/>
      <c r="AO342" s="26"/>
      <c r="AP342" s="26"/>
      <c r="AQ342" s="26"/>
      <c r="AR342" s="26"/>
      <c r="AS342" s="26"/>
      <c r="AT342" s="26"/>
      <c r="AU342" s="26"/>
      <c r="AV342" s="26"/>
      <c r="AW342" s="26"/>
      <c r="AX342" s="26"/>
      <c r="AY342" s="26"/>
      <c r="AZ342" s="26"/>
      <c r="BA342" s="26"/>
      <c r="BB342" s="26"/>
      <c r="BC342" s="26"/>
    </row>
    <row r="343" spans="1:55" x14ac:dyDescent="0.3">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c r="AA343" s="26"/>
      <c r="AB343" s="26"/>
      <c r="AC343" s="26"/>
      <c r="AD343" s="26"/>
      <c r="AE343" s="26"/>
      <c r="AF343" s="26"/>
      <c r="AG343" s="26"/>
      <c r="AH343" s="26"/>
      <c r="AI343" s="26"/>
      <c r="AJ343" s="26"/>
      <c r="AK343" s="26"/>
      <c r="AL343" s="26"/>
      <c r="AM343" s="26"/>
      <c r="AN343" s="26"/>
      <c r="AO343" s="26"/>
      <c r="AP343" s="26"/>
      <c r="AQ343" s="26"/>
      <c r="AR343" s="26"/>
      <c r="AS343" s="26"/>
      <c r="AT343" s="26"/>
      <c r="AU343" s="26"/>
      <c r="AV343" s="26"/>
      <c r="AW343" s="26"/>
      <c r="AX343" s="26"/>
      <c r="AY343" s="26"/>
      <c r="AZ343" s="26"/>
      <c r="BA343" s="26"/>
      <c r="BB343" s="26"/>
      <c r="BC343" s="26"/>
    </row>
    <row r="344" spans="1:55" x14ac:dyDescent="0.3">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c r="AA344" s="26"/>
      <c r="AB344" s="26"/>
      <c r="AC344" s="26"/>
      <c r="AD344" s="26"/>
      <c r="AE344" s="26"/>
      <c r="AF344" s="26"/>
      <c r="AG344" s="26"/>
      <c r="AH344" s="26"/>
      <c r="AI344" s="26"/>
      <c r="AJ344" s="26"/>
      <c r="AK344" s="26"/>
      <c r="AL344" s="26"/>
      <c r="AM344" s="26"/>
      <c r="AN344" s="26"/>
      <c r="AO344" s="26"/>
      <c r="AP344" s="26"/>
      <c r="AQ344" s="26"/>
      <c r="AR344" s="26"/>
      <c r="AS344" s="26"/>
      <c r="AT344" s="26"/>
      <c r="AU344" s="26"/>
      <c r="AV344" s="26"/>
      <c r="AW344" s="26"/>
      <c r="AX344" s="26"/>
      <c r="AY344" s="26"/>
      <c r="AZ344" s="26"/>
      <c r="BA344" s="26"/>
      <c r="BB344" s="26"/>
      <c r="BC344" s="26"/>
    </row>
    <row r="345" spans="1:55" x14ac:dyDescent="0.3">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c r="AA345" s="26"/>
      <c r="AB345" s="26"/>
      <c r="AC345" s="26"/>
      <c r="AD345" s="26"/>
      <c r="AE345" s="26"/>
      <c r="AF345" s="26"/>
      <c r="AG345" s="26"/>
      <c r="AH345" s="26"/>
      <c r="AI345" s="26"/>
      <c r="AJ345" s="26"/>
      <c r="AK345" s="26"/>
      <c r="AL345" s="26"/>
      <c r="AM345" s="26"/>
      <c r="AN345" s="26"/>
      <c r="AO345" s="26"/>
      <c r="AP345" s="26"/>
      <c r="AQ345" s="26"/>
      <c r="AR345" s="26"/>
      <c r="AS345" s="26"/>
      <c r="AT345" s="26"/>
      <c r="AU345" s="26"/>
      <c r="AV345" s="26"/>
      <c r="AW345" s="26"/>
      <c r="AX345" s="26"/>
      <c r="AY345" s="26"/>
      <c r="AZ345" s="26"/>
      <c r="BA345" s="26"/>
      <c r="BB345" s="26"/>
      <c r="BC345" s="26"/>
    </row>
    <row r="346" spans="1:55" x14ac:dyDescent="0.3">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c r="AA346" s="26"/>
      <c r="AB346" s="26"/>
      <c r="AC346" s="26"/>
      <c r="AD346" s="26"/>
      <c r="AE346" s="26"/>
      <c r="AF346" s="26"/>
      <c r="AG346" s="26"/>
      <c r="AH346" s="26"/>
      <c r="AI346" s="26"/>
      <c r="AJ346" s="26"/>
      <c r="AK346" s="26"/>
      <c r="AL346" s="26"/>
      <c r="AM346" s="26"/>
      <c r="AN346" s="26"/>
      <c r="AO346" s="26"/>
      <c r="AP346" s="26"/>
      <c r="AQ346" s="26"/>
      <c r="AR346" s="26"/>
      <c r="AS346" s="26"/>
      <c r="AT346" s="26"/>
      <c r="AU346" s="26"/>
      <c r="AV346" s="26"/>
      <c r="AW346" s="26"/>
      <c r="AX346" s="26"/>
      <c r="AY346" s="26"/>
      <c r="AZ346" s="26"/>
      <c r="BA346" s="26"/>
      <c r="BB346" s="26"/>
      <c r="BC346" s="26"/>
    </row>
    <row r="347" spans="1:55" x14ac:dyDescent="0.3">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c r="AA347" s="26"/>
      <c r="AB347" s="26"/>
      <c r="AC347" s="26"/>
      <c r="AD347" s="26"/>
      <c r="AE347" s="26"/>
      <c r="AF347" s="26"/>
      <c r="AG347" s="26"/>
      <c r="AH347" s="26"/>
      <c r="AI347" s="26"/>
      <c r="AJ347" s="26"/>
      <c r="AK347" s="26"/>
      <c r="AL347" s="26"/>
      <c r="AM347" s="26"/>
      <c r="AN347" s="26"/>
      <c r="AO347" s="26"/>
      <c r="AP347" s="26"/>
      <c r="AQ347" s="26"/>
      <c r="AR347" s="26"/>
      <c r="AS347" s="26"/>
      <c r="AT347" s="26"/>
      <c r="AU347" s="26"/>
      <c r="AV347" s="26"/>
      <c r="AW347" s="26"/>
      <c r="AX347" s="26"/>
      <c r="AY347" s="26"/>
      <c r="AZ347" s="26"/>
      <c r="BA347" s="26"/>
      <c r="BB347" s="26"/>
      <c r="BC347" s="26"/>
    </row>
    <row r="348" spans="1:55" x14ac:dyDescent="0.3">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c r="AA348" s="26"/>
      <c r="AB348" s="26"/>
      <c r="AC348" s="26"/>
      <c r="AD348" s="26"/>
      <c r="AE348" s="26"/>
      <c r="AF348" s="26"/>
      <c r="AG348" s="26"/>
      <c r="AH348" s="26"/>
      <c r="AI348" s="26"/>
      <c r="AJ348" s="26"/>
      <c r="AK348" s="26"/>
      <c r="AL348" s="26"/>
      <c r="AM348" s="26"/>
      <c r="AN348" s="26"/>
      <c r="AO348" s="26"/>
      <c r="AP348" s="26"/>
      <c r="AQ348" s="26"/>
      <c r="AR348" s="26"/>
      <c r="AS348" s="26"/>
      <c r="AT348" s="26"/>
      <c r="AU348" s="26"/>
      <c r="AV348" s="26"/>
      <c r="AW348" s="26"/>
      <c r="AX348" s="26"/>
      <c r="AY348" s="26"/>
      <c r="AZ348" s="26"/>
      <c r="BA348" s="26"/>
      <c r="BB348" s="26"/>
      <c r="BC348" s="26"/>
    </row>
    <row r="349" spans="1:55" x14ac:dyDescent="0.3">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c r="AA349" s="26"/>
      <c r="AB349" s="26"/>
      <c r="AC349" s="26"/>
      <c r="AD349" s="26"/>
      <c r="AE349" s="26"/>
      <c r="AF349" s="26"/>
      <c r="AG349" s="26"/>
      <c r="AH349" s="26"/>
      <c r="AI349" s="26"/>
      <c r="AJ349" s="26"/>
      <c r="AK349" s="26"/>
      <c r="AL349" s="26"/>
      <c r="AM349" s="26"/>
      <c r="AN349" s="26"/>
      <c r="AO349" s="26"/>
      <c r="AP349" s="26"/>
      <c r="AQ349" s="26"/>
      <c r="AR349" s="26"/>
      <c r="AS349" s="26"/>
      <c r="AT349" s="26"/>
      <c r="AU349" s="26"/>
      <c r="AV349" s="26"/>
      <c r="AW349" s="26"/>
      <c r="AX349" s="26"/>
      <c r="AY349" s="26"/>
      <c r="AZ349" s="26"/>
      <c r="BA349" s="26"/>
      <c r="BB349" s="26"/>
      <c r="BC349" s="26"/>
    </row>
    <row r="350" spans="1:55" x14ac:dyDescent="0.3">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c r="AA350" s="26"/>
      <c r="AB350" s="26"/>
      <c r="AC350" s="26"/>
      <c r="AD350" s="26"/>
      <c r="AE350" s="26"/>
      <c r="AF350" s="26"/>
      <c r="AG350" s="26"/>
      <c r="AH350" s="26"/>
      <c r="AI350" s="26"/>
      <c r="AJ350" s="26"/>
      <c r="AK350" s="26"/>
      <c r="AL350" s="26"/>
      <c r="AM350" s="26"/>
      <c r="AN350" s="26"/>
      <c r="AO350" s="26"/>
      <c r="AP350" s="26"/>
      <c r="AQ350" s="26"/>
      <c r="AR350" s="26"/>
      <c r="AS350" s="26"/>
      <c r="AT350" s="26"/>
      <c r="AU350" s="26"/>
      <c r="AV350" s="26"/>
      <c r="AW350" s="26"/>
      <c r="AX350" s="26"/>
      <c r="AY350" s="26"/>
      <c r="AZ350" s="26"/>
      <c r="BA350" s="26"/>
      <c r="BB350" s="26"/>
      <c r="BC350" s="26"/>
    </row>
    <row r="351" spans="1:55" x14ac:dyDescent="0.3">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c r="AA351" s="26"/>
      <c r="AB351" s="26"/>
      <c r="AC351" s="26"/>
      <c r="AD351" s="26"/>
      <c r="AE351" s="26"/>
      <c r="AF351" s="26"/>
      <c r="AG351" s="26"/>
      <c r="AH351" s="26"/>
      <c r="AI351" s="26"/>
      <c r="AJ351" s="26"/>
      <c r="AK351" s="26"/>
      <c r="AL351" s="26"/>
      <c r="AM351" s="26"/>
      <c r="AN351" s="26"/>
      <c r="AO351" s="26"/>
      <c r="AP351" s="26"/>
      <c r="AQ351" s="26"/>
      <c r="AR351" s="26"/>
      <c r="AS351" s="26"/>
      <c r="AT351" s="26"/>
      <c r="AU351" s="26"/>
      <c r="AV351" s="26"/>
      <c r="AW351" s="26"/>
      <c r="AX351" s="26"/>
      <c r="AY351" s="26"/>
      <c r="AZ351" s="26"/>
      <c r="BA351" s="26"/>
      <c r="BB351" s="26"/>
      <c r="BC351" s="26"/>
    </row>
    <row r="352" spans="1:55" x14ac:dyDescent="0.3">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c r="AA352" s="26"/>
      <c r="AB352" s="26"/>
      <c r="AC352" s="26"/>
      <c r="AD352" s="26"/>
      <c r="AE352" s="26"/>
      <c r="AF352" s="26"/>
      <c r="AG352" s="26"/>
      <c r="AH352" s="26"/>
      <c r="AI352" s="26"/>
      <c r="AJ352" s="26"/>
      <c r="AK352" s="26"/>
      <c r="AL352" s="26"/>
      <c r="AM352" s="26"/>
      <c r="AN352" s="26"/>
      <c r="AO352" s="26"/>
      <c r="AP352" s="26"/>
      <c r="AQ352" s="26"/>
      <c r="AR352" s="26"/>
      <c r="AS352" s="26"/>
      <c r="AT352" s="26"/>
      <c r="AU352" s="26"/>
      <c r="AV352" s="26"/>
      <c r="AW352" s="26"/>
      <c r="AX352" s="26"/>
      <c r="AY352" s="26"/>
      <c r="AZ352" s="26"/>
      <c r="BA352" s="26"/>
      <c r="BB352" s="26"/>
      <c r="BC352" s="26"/>
    </row>
    <row r="353" spans="1:55" x14ac:dyDescent="0.3">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c r="AA353" s="26"/>
      <c r="AB353" s="26"/>
      <c r="AC353" s="26"/>
      <c r="AD353" s="26"/>
      <c r="AE353" s="26"/>
      <c r="AF353" s="26"/>
      <c r="AG353" s="26"/>
      <c r="AH353" s="26"/>
      <c r="AI353" s="26"/>
      <c r="AJ353" s="26"/>
      <c r="AK353" s="26"/>
      <c r="AL353" s="26"/>
      <c r="AM353" s="26"/>
      <c r="AN353" s="26"/>
      <c r="AO353" s="26"/>
      <c r="AP353" s="26"/>
      <c r="AQ353" s="26"/>
      <c r="AR353" s="26"/>
      <c r="AS353" s="26"/>
      <c r="AT353" s="26"/>
      <c r="AU353" s="26"/>
      <c r="AV353" s="26"/>
      <c r="AW353" s="26"/>
      <c r="AX353" s="26"/>
      <c r="AY353" s="26"/>
      <c r="AZ353" s="26"/>
      <c r="BA353" s="26"/>
      <c r="BB353" s="26"/>
      <c r="BC353" s="26"/>
    </row>
    <row r="354" spans="1:55" x14ac:dyDescent="0.3">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c r="AA354" s="26"/>
      <c r="AB354" s="26"/>
      <c r="AC354" s="26"/>
      <c r="AD354" s="26"/>
      <c r="AE354" s="26"/>
      <c r="AF354" s="26"/>
      <c r="AG354" s="26"/>
      <c r="AH354" s="26"/>
      <c r="AI354" s="26"/>
      <c r="AJ354" s="26"/>
      <c r="AK354" s="26"/>
      <c r="AL354" s="26"/>
      <c r="AM354" s="26"/>
      <c r="AN354" s="26"/>
      <c r="AO354" s="26"/>
      <c r="AP354" s="26"/>
      <c r="AQ354" s="26"/>
      <c r="AR354" s="26"/>
      <c r="AS354" s="26"/>
      <c r="AT354" s="26"/>
      <c r="AU354" s="26"/>
      <c r="AV354" s="26"/>
      <c r="AW354" s="26"/>
      <c r="AX354" s="26"/>
      <c r="AY354" s="26"/>
      <c r="AZ354" s="26"/>
      <c r="BA354" s="26"/>
      <c r="BB354" s="26"/>
      <c r="BC354" s="26"/>
    </row>
    <row r="355" spans="1:55" x14ac:dyDescent="0.3">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c r="AA355" s="26"/>
      <c r="AB355" s="26"/>
      <c r="AC355" s="26"/>
      <c r="AD355" s="26"/>
      <c r="AE355" s="26"/>
      <c r="AF355" s="26"/>
      <c r="AG355" s="26"/>
      <c r="AH355" s="26"/>
      <c r="AI355" s="26"/>
      <c r="AJ355" s="26"/>
      <c r="AK355" s="26"/>
      <c r="AL355" s="26"/>
      <c r="AM355" s="26"/>
      <c r="AN355" s="26"/>
      <c r="AO355" s="26"/>
      <c r="AP355" s="26"/>
      <c r="AQ355" s="26"/>
      <c r="AR355" s="26"/>
      <c r="AS355" s="26"/>
      <c r="AT355" s="26"/>
      <c r="AU355" s="26"/>
      <c r="AV355" s="26"/>
      <c r="AW355" s="26"/>
      <c r="AX355" s="26"/>
      <c r="AY355" s="26"/>
      <c r="AZ355" s="26"/>
      <c r="BA355" s="26"/>
      <c r="BB355" s="26"/>
      <c r="BC355" s="26"/>
    </row>
    <row r="356" spans="1:55" x14ac:dyDescent="0.3">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c r="AA356" s="26"/>
      <c r="AB356" s="26"/>
      <c r="AC356" s="26"/>
      <c r="AD356" s="26"/>
      <c r="AE356" s="26"/>
      <c r="AF356" s="26"/>
      <c r="AG356" s="26"/>
      <c r="AH356" s="26"/>
      <c r="AI356" s="26"/>
      <c r="AJ356" s="26"/>
      <c r="AK356" s="26"/>
      <c r="AL356" s="26"/>
      <c r="AM356" s="26"/>
      <c r="AN356" s="26"/>
      <c r="AO356" s="26"/>
      <c r="AP356" s="26"/>
      <c r="AQ356" s="26"/>
      <c r="AR356" s="26"/>
      <c r="AS356" s="26"/>
      <c r="AT356" s="26"/>
      <c r="AU356" s="26"/>
      <c r="AV356" s="26"/>
      <c r="AW356" s="26"/>
      <c r="AX356" s="26"/>
      <c r="AY356" s="26"/>
      <c r="AZ356" s="26"/>
      <c r="BA356" s="26"/>
      <c r="BB356" s="26"/>
      <c r="BC356" s="26"/>
    </row>
    <row r="357" spans="1:55" x14ac:dyDescent="0.3">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c r="AA357" s="26"/>
      <c r="AB357" s="26"/>
      <c r="AC357" s="26"/>
      <c r="AD357" s="26"/>
      <c r="AE357" s="26"/>
      <c r="AF357" s="26"/>
      <c r="AG357" s="26"/>
      <c r="AH357" s="26"/>
      <c r="AI357" s="26"/>
      <c r="AJ357" s="26"/>
      <c r="AK357" s="26"/>
      <c r="AL357" s="26"/>
      <c r="AM357" s="26"/>
      <c r="AN357" s="26"/>
      <c r="AO357" s="26"/>
      <c r="AP357" s="26"/>
      <c r="AQ357" s="26"/>
      <c r="AR357" s="26"/>
      <c r="AS357" s="26"/>
      <c r="AT357" s="26"/>
      <c r="AU357" s="26"/>
      <c r="AV357" s="26"/>
      <c r="AW357" s="26"/>
      <c r="AX357" s="26"/>
      <c r="AY357" s="26"/>
      <c r="AZ357" s="26"/>
      <c r="BA357" s="26"/>
      <c r="BB357" s="26"/>
      <c r="BC357" s="26"/>
    </row>
    <row r="358" spans="1:55" x14ac:dyDescent="0.3">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c r="AA358" s="26"/>
      <c r="AB358" s="26"/>
      <c r="AC358" s="26"/>
      <c r="AD358" s="26"/>
      <c r="AE358" s="26"/>
      <c r="AF358" s="26"/>
      <c r="AG358" s="26"/>
      <c r="AH358" s="26"/>
      <c r="AI358" s="26"/>
      <c r="AJ358" s="26"/>
      <c r="AK358" s="26"/>
      <c r="AL358" s="26"/>
      <c r="AM358" s="26"/>
      <c r="AN358" s="26"/>
      <c r="AO358" s="26"/>
      <c r="AP358" s="26"/>
      <c r="AQ358" s="26"/>
      <c r="AR358" s="26"/>
      <c r="AS358" s="26"/>
      <c r="AT358" s="26"/>
      <c r="AU358" s="26"/>
      <c r="AV358" s="26"/>
      <c r="AW358" s="26"/>
      <c r="AX358" s="26"/>
      <c r="AY358" s="26"/>
      <c r="AZ358" s="26"/>
      <c r="BA358" s="26"/>
      <c r="BB358" s="26"/>
      <c r="BC358" s="26"/>
    </row>
    <row r="359" spans="1:55" x14ac:dyDescent="0.3">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c r="AA359" s="26"/>
      <c r="AB359" s="26"/>
      <c r="AC359" s="26"/>
      <c r="AD359" s="26"/>
      <c r="AE359" s="26"/>
      <c r="AF359" s="26"/>
      <c r="AG359" s="26"/>
      <c r="AH359" s="26"/>
      <c r="AI359" s="26"/>
      <c r="AJ359" s="26"/>
      <c r="AK359" s="26"/>
      <c r="AL359" s="26"/>
      <c r="AM359" s="26"/>
      <c r="AN359" s="26"/>
      <c r="AO359" s="26"/>
      <c r="AP359" s="26"/>
      <c r="AQ359" s="26"/>
      <c r="AR359" s="26"/>
      <c r="AS359" s="26"/>
      <c r="AT359" s="26"/>
      <c r="AU359" s="26"/>
      <c r="AV359" s="26"/>
      <c r="AW359" s="26"/>
      <c r="AX359" s="26"/>
      <c r="AY359" s="26"/>
      <c r="AZ359" s="26"/>
      <c r="BA359" s="26"/>
      <c r="BB359" s="26"/>
      <c r="BC359" s="26"/>
    </row>
    <row r="360" spans="1:55" x14ac:dyDescent="0.3">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c r="AA360" s="26"/>
      <c r="AB360" s="26"/>
      <c r="AC360" s="26"/>
      <c r="AD360" s="26"/>
      <c r="AE360" s="26"/>
      <c r="AF360" s="26"/>
      <c r="AG360" s="26"/>
      <c r="AH360" s="26"/>
      <c r="AI360" s="26"/>
      <c r="AJ360" s="26"/>
      <c r="AK360" s="26"/>
      <c r="AL360" s="26"/>
      <c r="AM360" s="26"/>
      <c r="AN360" s="26"/>
      <c r="AO360" s="26"/>
      <c r="AP360" s="26"/>
      <c r="AQ360" s="26"/>
      <c r="AR360" s="26"/>
      <c r="AS360" s="26"/>
      <c r="AT360" s="26"/>
      <c r="AU360" s="26"/>
      <c r="AV360" s="26"/>
      <c r="AW360" s="26"/>
      <c r="AX360" s="26"/>
      <c r="AY360" s="26"/>
      <c r="AZ360" s="26"/>
      <c r="BA360" s="26"/>
      <c r="BB360" s="26"/>
      <c r="BC360" s="26"/>
    </row>
    <row r="361" spans="1:55" x14ac:dyDescent="0.3">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c r="AA361" s="26"/>
      <c r="AB361" s="26"/>
      <c r="AC361" s="26"/>
      <c r="AD361" s="26"/>
      <c r="AE361" s="26"/>
      <c r="AF361" s="26"/>
      <c r="AG361" s="26"/>
      <c r="AH361" s="26"/>
      <c r="AI361" s="26"/>
      <c r="AJ361" s="26"/>
      <c r="AK361" s="26"/>
      <c r="AL361" s="26"/>
      <c r="AM361" s="26"/>
      <c r="AN361" s="26"/>
      <c r="AO361" s="26"/>
      <c r="AP361" s="26"/>
      <c r="AQ361" s="26"/>
      <c r="AR361" s="26"/>
      <c r="AS361" s="26"/>
      <c r="AT361" s="26"/>
      <c r="AU361" s="26"/>
      <c r="AV361" s="26"/>
      <c r="AW361" s="26"/>
      <c r="AX361" s="26"/>
      <c r="AY361" s="26"/>
      <c r="AZ361" s="26"/>
      <c r="BA361" s="26"/>
      <c r="BB361" s="26"/>
      <c r="BC361" s="26"/>
    </row>
    <row r="362" spans="1:55" x14ac:dyDescent="0.3">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c r="AA362" s="26"/>
      <c r="AB362" s="26"/>
      <c r="AC362" s="26"/>
      <c r="AD362" s="26"/>
      <c r="AE362" s="26"/>
      <c r="AF362" s="26"/>
      <c r="AG362" s="26"/>
      <c r="AH362" s="26"/>
      <c r="AI362" s="26"/>
      <c r="AJ362" s="26"/>
      <c r="AK362" s="26"/>
      <c r="AL362" s="26"/>
      <c r="AM362" s="26"/>
      <c r="AN362" s="26"/>
      <c r="AO362" s="26"/>
      <c r="AP362" s="26"/>
      <c r="AQ362" s="26"/>
      <c r="AR362" s="26"/>
      <c r="AS362" s="26"/>
      <c r="AT362" s="26"/>
      <c r="AU362" s="26"/>
      <c r="AV362" s="26"/>
      <c r="AW362" s="26"/>
      <c r="AX362" s="26"/>
      <c r="AY362" s="26"/>
      <c r="AZ362" s="26"/>
      <c r="BA362" s="26"/>
      <c r="BB362" s="26"/>
      <c r="BC362" s="26"/>
    </row>
    <row r="363" spans="1:55" x14ac:dyDescent="0.3">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c r="AA363" s="26"/>
      <c r="AB363" s="26"/>
      <c r="AC363" s="26"/>
      <c r="AD363" s="26"/>
      <c r="AE363" s="26"/>
      <c r="AF363" s="26"/>
      <c r="AG363" s="26"/>
      <c r="AH363" s="26"/>
      <c r="AI363" s="26"/>
      <c r="AJ363" s="26"/>
      <c r="AK363" s="26"/>
      <c r="AL363" s="26"/>
      <c r="AM363" s="26"/>
      <c r="AN363" s="26"/>
      <c r="AO363" s="26"/>
      <c r="AP363" s="26"/>
      <c r="AQ363" s="26"/>
      <c r="AR363" s="26"/>
      <c r="AS363" s="26"/>
      <c r="AT363" s="26"/>
      <c r="AU363" s="26"/>
      <c r="AV363" s="26"/>
      <c r="AW363" s="26"/>
      <c r="AX363" s="26"/>
      <c r="AY363" s="26"/>
      <c r="AZ363" s="26"/>
      <c r="BA363" s="26"/>
      <c r="BB363" s="26"/>
      <c r="BC363" s="26"/>
    </row>
    <row r="364" spans="1:55" x14ac:dyDescent="0.3">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c r="AA364" s="26"/>
      <c r="AB364" s="26"/>
      <c r="AC364" s="26"/>
      <c r="AD364" s="26"/>
      <c r="AE364" s="26"/>
      <c r="AF364" s="26"/>
      <c r="AG364" s="26"/>
      <c r="AH364" s="26"/>
      <c r="AI364" s="26"/>
      <c r="AJ364" s="26"/>
      <c r="AK364" s="26"/>
      <c r="AL364" s="26"/>
      <c r="AM364" s="26"/>
      <c r="AN364" s="26"/>
      <c r="AO364" s="26"/>
      <c r="AP364" s="26"/>
      <c r="AQ364" s="26"/>
      <c r="AR364" s="26"/>
      <c r="AS364" s="26"/>
      <c r="AT364" s="26"/>
      <c r="AU364" s="26"/>
      <c r="AV364" s="26"/>
      <c r="AW364" s="26"/>
      <c r="AX364" s="26"/>
      <c r="AY364" s="26"/>
      <c r="AZ364" s="26"/>
      <c r="BA364" s="26"/>
      <c r="BB364" s="26"/>
      <c r="BC364" s="26"/>
    </row>
    <row r="365" spans="1:55" x14ac:dyDescent="0.3">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c r="AA365" s="26"/>
      <c r="AB365" s="26"/>
      <c r="AC365" s="26"/>
      <c r="AD365" s="26"/>
      <c r="AE365" s="26"/>
      <c r="AF365" s="26"/>
      <c r="AG365" s="26"/>
      <c r="AH365" s="26"/>
      <c r="AI365" s="26"/>
      <c r="AJ365" s="26"/>
      <c r="AK365" s="26"/>
      <c r="AL365" s="26"/>
      <c r="AM365" s="26"/>
      <c r="AN365" s="26"/>
      <c r="AO365" s="26"/>
      <c r="AP365" s="26"/>
      <c r="AQ365" s="26"/>
      <c r="AR365" s="26"/>
      <c r="AS365" s="26"/>
      <c r="AT365" s="26"/>
      <c r="AU365" s="26"/>
      <c r="AV365" s="26"/>
      <c r="AW365" s="26"/>
      <c r="AX365" s="26"/>
      <c r="AY365" s="26"/>
      <c r="AZ365" s="26"/>
      <c r="BA365" s="26"/>
      <c r="BB365" s="26"/>
      <c r="BC365" s="26"/>
    </row>
    <row r="366" spans="1:55" x14ac:dyDescent="0.3">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c r="AA366" s="26"/>
      <c r="AB366" s="26"/>
      <c r="AC366" s="26"/>
      <c r="AD366" s="26"/>
      <c r="AE366" s="26"/>
      <c r="AF366" s="26"/>
      <c r="AG366" s="26"/>
      <c r="AH366" s="26"/>
      <c r="AI366" s="26"/>
      <c r="AJ366" s="26"/>
      <c r="AK366" s="26"/>
      <c r="AL366" s="26"/>
      <c r="AM366" s="26"/>
      <c r="AN366" s="26"/>
      <c r="AO366" s="26"/>
      <c r="AP366" s="26"/>
      <c r="AQ366" s="26"/>
      <c r="AR366" s="26"/>
      <c r="AS366" s="26"/>
      <c r="AT366" s="26"/>
      <c r="AU366" s="26"/>
      <c r="AV366" s="26"/>
      <c r="AW366" s="26"/>
      <c r="AX366" s="26"/>
      <c r="AY366" s="26"/>
      <c r="AZ366" s="26"/>
      <c r="BA366" s="26"/>
      <c r="BB366" s="26"/>
      <c r="BC366" s="26"/>
    </row>
    <row r="367" spans="1:55" x14ac:dyDescent="0.3">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c r="AA367" s="26"/>
      <c r="AB367" s="26"/>
      <c r="AC367" s="26"/>
      <c r="AD367" s="26"/>
      <c r="AE367" s="26"/>
      <c r="AF367" s="26"/>
      <c r="AG367" s="26"/>
      <c r="AH367" s="26"/>
      <c r="AI367" s="26"/>
      <c r="AJ367" s="26"/>
      <c r="AK367" s="26"/>
      <c r="AL367" s="26"/>
      <c r="AM367" s="26"/>
      <c r="AN367" s="26"/>
      <c r="AO367" s="26"/>
      <c r="AP367" s="26"/>
      <c r="AQ367" s="26"/>
      <c r="AR367" s="26"/>
      <c r="AS367" s="26"/>
      <c r="AT367" s="26"/>
      <c r="AU367" s="26"/>
      <c r="AV367" s="26"/>
      <c r="AW367" s="26"/>
      <c r="AX367" s="26"/>
      <c r="AY367" s="26"/>
      <c r="AZ367" s="26"/>
      <c r="BA367" s="26"/>
      <c r="BB367" s="26"/>
      <c r="BC367" s="26"/>
    </row>
    <row r="368" spans="1:55" x14ac:dyDescent="0.3">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c r="AA368" s="26"/>
      <c r="AB368" s="26"/>
      <c r="AC368" s="26"/>
      <c r="AD368" s="26"/>
      <c r="AE368" s="26"/>
      <c r="AF368" s="26"/>
      <c r="AG368" s="26"/>
      <c r="AH368" s="26"/>
      <c r="AI368" s="26"/>
      <c r="AJ368" s="26"/>
      <c r="AK368" s="26"/>
      <c r="AL368" s="26"/>
      <c r="AM368" s="26"/>
      <c r="AN368" s="26"/>
      <c r="AO368" s="26"/>
      <c r="AP368" s="26"/>
      <c r="AQ368" s="26"/>
      <c r="AR368" s="26"/>
      <c r="AS368" s="26"/>
      <c r="AT368" s="26"/>
      <c r="AU368" s="26"/>
      <c r="AV368" s="26"/>
      <c r="AW368" s="26"/>
      <c r="AX368" s="26"/>
      <c r="AY368" s="26"/>
      <c r="AZ368" s="26"/>
      <c r="BA368" s="26"/>
      <c r="BB368" s="26"/>
      <c r="BC368" s="26"/>
    </row>
    <row r="369" spans="1:55" x14ac:dyDescent="0.3">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c r="AA369" s="26"/>
      <c r="AB369" s="26"/>
      <c r="AC369" s="26"/>
      <c r="AD369" s="26"/>
      <c r="AE369" s="26"/>
      <c r="AF369" s="26"/>
      <c r="AG369" s="26"/>
      <c r="AH369" s="26"/>
      <c r="AI369" s="26"/>
      <c r="AJ369" s="26"/>
      <c r="AK369" s="26"/>
      <c r="AL369" s="26"/>
      <c r="AM369" s="26"/>
      <c r="AN369" s="26"/>
      <c r="AO369" s="26"/>
      <c r="AP369" s="26"/>
      <c r="AQ369" s="26"/>
      <c r="AR369" s="26"/>
      <c r="AS369" s="26"/>
      <c r="AT369" s="26"/>
      <c r="AU369" s="26"/>
      <c r="AV369" s="26"/>
      <c r="AW369" s="26"/>
      <c r="AX369" s="26"/>
      <c r="AY369" s="26"/>
      <c r="AZ369" s="26"/>
      <c r="BA369" s="26"/>
      <c r="BB369" s="26"/>
      <c r="BC369" s="26"/>
    </row>
    <row r="370" spans="1:55" x14ac:dyDescent="0.3">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c r="AA370" s="26"/>
      <c r="AB370" s="26"/>
      <c r="AC370" s="26"/>
      <c r="AD370" s="26"/>
      <c r="AE370" s="26"/>
      <c r="AF370" s="26"/>
      <c r="AG370" s="26"/>
      <c r="AH370" s="26"/>
      <c r="AI370" s="26"/>
      <c r="AJ370" s="26"/>
      <c r="AK370" s="26"/>
      <c r="AL370" s="26"/>
      <c r="AM370" s="26"/>
      <c r="AN370" s="26"/>
      <c r="AO370" s="26"/>
      <c r="AP370" s="26"/>
      <c r="AQ370" s="26"/>
      <c r="AR370" s="26"/>
      <c r="AS370" s="26"/>
      <c r="AT370" s="26"/>
      <c r="AU370" s="26"/>
      <c r="AV370" s="26"/>
      <c r="AW370" s="26"/>
      <c r="AX370" s="26"/>
      <c r="AY370" s="26"/>
      <c r="AZ370" s="26"/>
      <c r="BA370" s="26"/>
      <c r="BB370" s="26"/>
      <c r="BC370" s="26"/>
    </row>
    <row r="371" spans="1:55" x14ac:dyDescent="0.3">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c r="AA371" s="26"/>
      <c r="AB371" s="26"/>
      <c r="AC371" s="26"/>
      <c r="AD371" s="26"/>
      <c r="AE371" s="26"/>
      <c r="AF371" s="26"/>
      <c r="AG371" s="26"/>
      <c r="AH371" s="26"/>
      <c r="AI371" s="26"/>
      <c r="AJ371" s="26"/>
      <c r="AK371" s="26"/>
      <c r="AL371" s="26"/>
      <c r="AM371" s="26"/>
      <c r="AN371" s="26"/>
      <c r="AO371" s="26"/>
      <c r="AP371" s="26"/>
      <c r="AQ371" s="26"/>
      <c r="AR371" s="26"/>
      <c r="AS371" s="26"/>
      <c r="AT371" s="26"/>
      <c r="AU371" s="26"/>
      <c r="AV371" s="26"/>
      <c r="AW371" s="26"/>
      <c r="AX371" s="26"/>
      <c r="AY371" s="26"/>
      <c r="AZ371" s="26"/>
      <c r="BA371" s="26"/>
      <c r="BB371" s="26"/>
      <c r="BC371" s="26"/>
    </row>
    <row r="372" spans="1:55" x14ac:dyDescent="0.3">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c r="AA372" s="26"/>
      <c r="AB372" s="26"/>
      <c r="AC372" s="26"/>
      <c r="AD372" s="26"/>
      <c r="AE372" s="26"/>
      <c r="AF372" s="26"/>
      <c r="AG372" s="26"/>
      <c r="AH372" s="26"/>
      <c r="AI372" s="26"/>
      <c r="AJ372" s="26"/>
      <c r="AK372" s="26"/>
      <c r="AL372" s="26"/>
      <c r="AM372" s="26"/>
      <c r="AN372" s="26"/>
      <c r="AO372" s="26"/>
      <c r="AP372" s="26"/>
      <c r="AQ372" s="26"/>
      <c r="AR372" s="26"/>
      <c r="AS372" s="26"/>
      <c r="AT372" s="26"/>
      <c r="AU372" s="26"/>
      <c r="AV372" s="26"/>
      <c r="AW372" s="26"/>
      <c r="AX372" s="26"/>
      <c r="AY372" s="26"/>
      <c r="AZ372" s="26"/>
      <c r="BA372" s="26"/>
      <c r="BB372" s="26"/>
      <c r="BC372" s="26"/>
    </row>
    <row r="373" spans="1:55" x14ac:dyDescent="0.3">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c r="AA373" s="26"/>
      <c r="AB373" s="26"/>
      <c r="AC373" s="26"/>
      <c r="AD373" s="26"/>
      <c r="AE373" s="26"/>
      <c r="AF373" s="26"/>
      <c r="AG373" s="26"/>
      <c r="AH373" s="26"/>
      <c r="AI373" s="26"/>
      <c r="AJ373" s="26"/>
      <c r="AK373" s="26"/>
      <c r="AL373" s="26"/>
      <c r="AM373" s="26"/>
      <c r="AN373" s="26"/>
      <c r="AO373" s="26"/>
      <c r="AP373" s="26"/>
      <c r="AQ373" s="26"/>
      <c r="AR373" s="26"/>
      <c r="AS373" s="26"/>
      <c r="AT373" s="26"/>
      <c r="AU373" s="26"/>
      <c r="AV373" s="26"/>
      <c r="AW373" s="26"/>
      <c r="AX373" s="26"/>
      <c r="AY373" s="26"/>
      <c r="AZ373" s="26"/>
      <c r="BA373" s="26"/>
      <c r="BB373" s="26"/>
      <c r="BC373" s="26"/>
    </row>
    <row r="374" spans="1:55" x14ac:dyDescent="0.3">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c r="AA374" s="26"/>
      <c r="AB374" s="26"/>
      <c r="AC374" s="26"/>
      <c r="AD374" s="26"/>
      <c r="AE374" s="26"/>
      <c r="AF374" s="26"/>
      <c r="AG374" s="26"/>
      <c r="AH374" s="26"/>
      <c r="AI374" s="26"/>
      <c r="AJ374" s="26"/>
      <c r="AK374" s="26"/>
      <c r="AL374" s="26"/>
      <c r="AM374" s="26"/>
      <c r="AN374" s="26"/>
      <c r="AO374" s="26"/>
      <c r="AP374" s="26"/>
      <c r="AQ374" s="26"/>
      <c r="AR374" s="26"/>
      <c r="AS374" s="26"/>
      <c r="AT374" s="26"/>
      <c r="AU374" s="26"/>
      <c r="AV374" s="26"/>
      <c r="AW374" s="26"/>
      <c r="AX374" s="26"/>
      <c r="AY374" s="26"/>
      <c r="AZ374" s="26"/>
      <c r="BA374" s="26"/>
      <c r="BB374" s="26"/>
      <c r="BC374" s="26"/>
    </row>
    <row r="375" spans="1:55" x14ac:dyDescent="0.3">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c r="AA375" s="26"/>
      <c r="AB375" s="26"/>
      <c r="AC375" s="26"/>
      <c r="AD375" s="26"/>
      <c r="AE375" s="26"/>
      <c r="AF375" s="26"/>
      <c r="AG375" s="26"/>
      <c r="AH375" s="26"/>
      <c r="AI375" s="26"/>
      <c r="AJ375" s="26"/>
      <c r="AK375" s="26"/>
      <c r="AL375" s="26"/>
      <c r="AM375" s="26"/>
      <c r="AN375" s="26"/>
      <c r="AO375" s="26"/>
      <c r="AP375" s="26"/>
      <c r="AQ375" s="26"/>
      <c r="AR375" s="26"/>
      <c r="AS375" s="26"/>
      <c r="AT375" s="26"/>
      <c r="AU375" s="26"/>
      <c r="AV375" s="26"/>
      <c r="AW375" s="26"/>
      <c r="AX375" s="26"/>
      <c r="AY375" s="26"/>
      <c r="AZ375" s="26"/>
      <c r="BA375" s="26"/>
      <c r="BB375" s="26"/>
      <c r="BC375" s="26"/>
    </row>
    <row r="376" spans="1:55" x14ac:dyDescent="0.3">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c r="AA376" s="26"/>
      <c r="AB376" s="26"/>
      <c r="AC376" s="26"/>
      <c r="AD376" s="26"/>
      <c r="AE376" s="26"/>
      <c r="AF376" s="26"/>
      <c r="AG376" s="26"/>
      <c r="AH376" s="26"/>
      <c r="AI376" s="26"/>
      <c r="AJ376" s="26"/>
      <c r="AK376" s="26"/>
      <c r="AL376" s="26"/>
      <c r="AM376" s="26"/>
      <c r="AN376" s="26"/>
      <c r="AO376" s="26"/>
      <c r="AP376" s="26"/>
      <c r="AQ376" s="26"/>
      <c r="AR376" s="26"/>
      <c r="AS376" s="26"/>
      <c r="AT376" s="26"/>
      <c r="AU376" s="26"/>
      <c r="AV376" s="26"/>
      <c r="AW376" s="26"/>
      <c r="AX376" s="26"/>
      <c r="AY376" s="26"/>
      <c r="AZ376" s="26"/>
      <c r="BA376" s="26"/>
      <c r="BB376" s="26"/>
      <c r="BC376" s="26"/>
    </row>
    <row r="377" spans="1:55" x14ac:dyDescent="0.3">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c r="AA377" s="26"/>
      <c r="AB377" s="26"/>
      <c r="AC377" s="26"/>
      <c r="AD377" s="26"/>
      <c r="AE377" s="26"/>
      <c r="AF377" s="26"/>
      <c r="AG377" s="26"/>
      <c r="AH377" s="26"/>
      <c r="AI377" s="26"/>
      <c r="AJ377" s="26"/>
      <c r="AK377" s="26"/>
      <c r="AL377" s="26"/>
      <c r="AM377" s="26"/>
      <c r="AN377" s="26"/>
      <c r="AO377" s="26"/>
      <c r="AP377" s="26"/>
      <c r="AQ377" s="26"/>
      <c r="AR377" s="26"/>
      <c r="AS377" s="26"/>
      <c r="AT377" s="26"/>
      <c r="AU377" s="26"/>
      <c r="AV377" s="26"/>
      <c r="AW377" s="26"/>
      <c r="AX377" s="26"/>
      <c r="AY377" s="26"/>
      <c r="AZ377" s="26"/>
      <c r="BA377" s="26"/>
      <c r="BB377" s="26"/>
      <c r="BC377" s="26"/>
    </row>
    <row r="378" spans="1:55" x14ac:dyDescent="0.3">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c r="AA378" s="26"/>
      <c r="AB378" s="26"/>
      <c r="AC378" s="26"/>
      <c r="AD378" s="26"/>
      <c r="AE378" s="26"/>
      <c r="AF378" s="26"/>
      <c r="AG378" s="26"/>
      <c r="AH378" s="26"/>
      <c r="AI378" s="26"/>
      <c r="AJ378" s="26"/>
      <c r="AK378" s="26"/>
      <c r="AL378" s="26"/>
      <c r="AM378" s="26"/>
      <c r="AN378" s="26"/>
      <c r="AO378" s="26"/>
      <c r="AP378" s="26"/>
      <c r="AQ378" s="26"/>
      <c r="AR378" s="26"/>
      <c r="AS378" s="26"/>
      <c r="AT378" s="26"/>
      <c r="AU378" s="26"/>
      <c r="AV378" s="26"/>
      <c r="AW378" s="26"/>
      <c r="AX378" s="26"/>
      <c r="AY378" s="26"/>
      <c r="AZ378" s="26"/>
      <c r="BA378" s="26"/>
      <c r="BB378" s="26"/>
      <c r="BC378" s="26"/>
    </row>
    <row r="379" spans="1:55" x14ac:dyDescent="0.3">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c r="AA379" s="26"/>
      <c r="AB379" s="26"/>
      <c r="AC379" s="26"/>
      <c r="AD379" s="26"/>
      <c r="AE379" s="26"/>
      <c r="AF379" s="26"/>
      <c r="AG379" s="26"/>
      <c r="AH379" s="26"/>
      <c r="AI379" s="26"/>
      <c r="AJ379" s="26"/>
      <c r="AK379" s="26"/>
      <c r="AL379" s="26"/>
      <c r="AM379" s="26"/>
      <c r="AN379" s="26"/>
      <c r="AO379" s="26"/>
      <c r="AP379" s="26"/>
      <c r="AQ379" s="26"/>
      <c r="AR379" s="26"/>
      <c r="AS379" s="26"/>
      <c r="AT379" s="26"/>
      <c r="AU379" s="26"/>
      <c r="AV379" s="26"/>
      <c r="AW379" s="26"/>
      <c r="AX379" s="26"/>
      <c r="AY379" s="26"/>
      <c r="AZ379" s="26"/>
      <c r="BA379" s="26"/>
      <c r="BB379" s="26"/>
      <c r="BC379" s="26"/>
    </row>
    <row r="380" spans="1:55" x14ac:dyDescent="0.3">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c r="AA380" s="26"/>
      <c r="AB380" s="26"/>
      <c r="AC380" s="26"/>
      <c r="AD380" s="26"/>
      <c r="AE380" s="26"/>
      <c r="AF380" s="26"/>
      <c r="AG380" s="26"/>
      <c r="AH380" s="26"/>
      <c r="AI380" s="26"/>
      <c r="AJ380" s="26"/>
      <c r="AK380" s="26"/>
      <c r="AL380" s="26"/>
      <c r="AM380" s="26"/>
      <c r="AN380" s="26"/>
      <c r="AO380" s="26"/>
      <c r="AP380" s="26"/>
      <c r="AQ380" s="26"/>
      <c r="AR380" s="26"/>
      <c r="AS380" s="26"/>
      <c r="AT380" s="26"/>
      <c r="AU380" s="26"/>
      <c r="AV380" s="26"/>
      <c r="AW380" s="26"/>
      <c r="AX380" s="26"/>
      <c r="AY380" s="26"/>
      <c r="AZ380" s="26"/>
      <c r="BA380" s="26"/>
      <c r="BB380" s="26"/>
      <c r="BC380" s="26"/>
    </row>
    <row r="381" spans="1:55" x14ac:dyDescent="0.3">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c r="AA381" s="26"/>
      <c r="AB381" s="26"/>
      <c r="AC381" s="26"/>
      <c r="AD381" s="26"/>
      <c r="AE381" s="26"/>
      <c r="AF381" s="26"/>
      <c r="AG381" s="26"/>
      <c r="AH381" s="26"/>
      <c r="AI381" s="26"/>
      <c r="AJ381" s="26"/>
      <c r="AK381" s="26"/>
      <c r="AL381" s="26"/>
      <c r="AM381" s="26"/>
      <c r="AN381" s="26"/>
      <c r="AO381" s="26"/>
      <c r="AP381" s="26"/>
      <c r="AQ381" s="26"/>
      <c r="AR381" s="26"/>
      <c r="AS381" s="26"/>
      <c r="AT381" s="26"/>
      <c r="AU381" s="26"/>
      <c r="AV381" s="26"/>
      <c r="AW381" s="26"/>
      <c r="AX381" s="26"/>
      <c r="AY381" s="26"/>
      <c r="AZ381" s="26"/>
      <c r="BA381" s="26"/>
      <c r="BB381" s="26"/>
      <c r="BC381" s="26"/>
    </row>
    <row r="382" spans="1:55" x14ac:dyDescent="0.3">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c r="AA382" s="26"/>
      <c r="AB382" s="26"/>
      <c r="AC382" s="26"/>
      <c r="AD382" s="26"/>
      <c r="AE382" s="26"/>
      <c r="AF382" s="26"/>
      <c r="AG382" s="26"/>
      <c r="AH382" s="26"/>
      <c r="AI382" s="26"/>
      <c r="AJ382" s="26"/>
      <c r="AK382" s="26"/>
      <c r="AL382" s="26"/>
      <c r="AM382" s="26"/>
      <c r="AN382" s="26"/>
      <c r="AO382" s="26"/>
      <c r="AP382" s="26"/>
      <c r="AQ382" s="26"/>
      <c r="AR382" s="26"/>
      <c r="AS382" s="26"/>
      <c r="AT382" s="26"/>
      <c r="AU382" s="26"/>
      <c r="AV382" s="26"/>
      <c r="AW382" s="26"/>
      <c r="AX382" s="26"/>
      <c r="AY382" s="26"/>
      <c r="AZ382" s="26"/>
      <c r="BA382" s="26"/>
      <c r="BB382" s="26"/>
      <c r="BC382" s="26"/>
    </row>
    <row r="383" spans="1:55" x14ac:dyDescent="0.3">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c r="AA383" s="26"/>
      <c r="AB383" s="26"/>
      <c r="AC383" s="26"/>
      <c r="AD383" s="26"/>
      <c r="AE383" s="26"/>
      <c r="AF383" s="26"/>
      <c r="AG383" s="26"/>
      <c r="AH383" s="26"/>
      <c r="AI383" s="26"/>
      <c r="AJ383" s="26"/>
      <c r="AK383" s="26"/>
      <c r="AL383" s="26"/>
      <c r="AM383" s="26"/>
      <c r="AN383" s="26"/>
      <c r="AO383" s="26"/>
      <c r="AP383" s="26"/>
      <c r="AQ383" s="26"/>
      <c r="AR383" s="26"/>
      <c r="AS383" s="26"/>
      <c r="AT383" s="26"/>
      <c r="AU383" s="26"/>
      <c r="AV383" s="26"/>
      <c r="AW383" s="26"/>
      <c r="AX383" s="26"/>
      <c r="AY383" s="26"/>
      <c r="AZ383" s="26"/>
      <c r="BA383" s="26"/>
      <c r="BB383" s="26"/>
      <c r="BC383" s="26"/>
    </row>
    <row r="384" spans="1:55" x14ac:dyDescent="0.3">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c r="AA384" s="26"/>
      <c r="AB384" s="26"/>
      <c r="AC384" s="26"/>
      <c r="AD384" s="26"/>
      <c r="AE384" s="26"/>
      <c r="AF384" s="26"/>
      <c r="AG384" s="26"/>
      <c r="AH384" s="26"/>
      <c r="AI384" s="26"/>
      <c r="AJ384" s="26"/>
      <c r="AK384" s="26"/>
      <c r="AL384" s="26"/>
      <c r="AM384" s="26"/>
      <c r="AN384" s="26"/>
      <c r="AO384" s="26"/>
      <c r="AP384" s="26"/>
      <c r="AQ384" s="26"/>
      <c r="AR384" s="26"/>
      <c r="AS384" s="26"/>
      <c r="AT384" s="26"/>
      <c r="AU384" s="26"/>
      <c r="AV384" s="26"/>
      <c r="AW384" s="26"/>
      <c r="AX384" s="26"/>
      <c r="AY384" s="26"/>
      <c r="AZ384" s="26"/>
      <c r="BA384" s="26"/>
      <c r="BB384" s="26"/>
      <c r="BC384" s="26"/>
    </row>
    <row r="385" spans="1:55" x14ac:dyDescent="0.3">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c r="AA385" s="26"/>
      <c r="AB385" s="26"/>
      <c r="AC385" s="26"/>
      <c r="AD385" s="26"/>
      <c r="AE385" s="26"/>
      <c r="AF385" s="26"/>
      <c r="AG385" s="26"/>
      <c r="AH385" s="26"/>
      <c r="AI385" s="26"/>
      <c r="AJ385" s="26"/>
      <c r="AK385" s="26"/>
      <c r="AL385" s="26"/>
      <c r="AM385" s="26"/>
      <c r="AN385" s="26"/>
      <c r="AO385" s="26"/>
      <c r="AP385" s="26"/>
      <c r="AQ385" s="26"/>
      <c r="AR385" s="26"/>
      <c r="AS385" s="26"/>
      <c r="AT385" s="26"/>
      <c r="AU385" s="26"/>
      <c r="AV385" s="26"/>
      <c r="AW385" s="26"/>
      <c r="AX385" s="26"/>
      <c r="AY385" s="26"/>
      <c r="AZ385" s="26"/>
      <c r="BA385" s="26"/>
      <c r="BB385" s="26"/>
      <c r="BC385" s="26"/>
    </row>
    <row r="386" spans="1:55" x14ac:dyDescent="0.3">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c r="AA386" s="26"/>
      <c r="AB386" s="26"/>
      <c r="AC386" s="26"/>
      <c r="AD386" s="26"/>
      <c r="AE386" s="26"/>
      <c r="AF386" s="26"/>
      <c r="AG386" s="26"/>
      <c r="AH386" s="26"/>
      <c r="AI386" s="26"/>
      <c r="AJ386" s="26"/>
      <c r="AK386" s="26"/>
      <c r="AL386" s="26"/>
      <c r="AM386" s="26"/>
      <c r="AN386" s="26"/>
      <c r="AO386" s="26"/>
      <c r="AP386" s="26"/>
      <c r="AQ386" s="26"/>
      <c r="AR386" s="26"/>
      <c r="AS386" s="26"/>
      <c r="AT386" s="26"/>
      <c r="AU386" s="26"/>
      <c r="AV386" s="26"/>
      <c r="AW386" s="26"/>
      <c r="AX386" s="26"/>
      <c r="AY386" s="26"/>
      <c r="AZ386" s="26"/>
      <c r="BA386" s="26"/>
      <c r="BB386" s="26"/>
      <c r="BC386" s="26"/>
    </row>
    <row r="387" spans="1:55" x14ac:dyDescent="0.3">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c r="AA387" s="26"/>
      <c r="AB387" s="26"/>
      <c r="AC387" s="26"/>
      <c r="AD387" s="26"/>
      <c r="AE387" s="26"/>
      <c r="AF387" s="26"/>
      <c r="AG387" s="26"/>
      <c r="AH387" s="26"/>
      <c r="AI387" s="26"/>
      <c r="AJ387" s="26"/>
      <c r="AK387" s="26"/>
      <c r="AL387" s="26"/>
      <c r="AM387" s="26"/>
      <c r="AN387" s="26"/>
      <c r="AO387" s="26"/>
      <c r="AP387" s="26"/>
      <c r="AQ387" s="26"/>
      <c r="AR387" s="26"/>
      <c r="AS387" s="26"/>
      <c r="AT387" s="26"/>
      <c r="AU387" s="26"/>
      <c r="AV387" s="26"/>
      <c r="AW387" s="26"/>
      <c r="AX387" s="26"/>
      <c r="AY387" s="26"/>
      <c r="AZ387" s="26"/>
      <c r="BA387" s="26"/>
      <c r="BB387" s="26"/>
      <c r="BC387" s="26"/>
    </row>
    <row r="388" spans="1:55" x14ac:dyDescent="0.3">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c r="AA388" s="26"/>
      <c r="AB388" s="26"/>
      <c r="AC388" s="26"/>
      <c r="AD388" s="26"/>
      <c r="AE388" s="26"/>
      <c r="AF388" s="26"/>
      <c r="AG388" s="26"/>
      <c r="AH388" s="26"/>
      <c r="AI388" s="26"/>
      <c r="AJ388" s="26"/>
      <c r="AK388" s="26"/>
      <c r="AL388" s="26"/>
      <c r="AM388" s="26"/>
      <c r="AN388" s="26"/>
      <c r="AO388" s="26"/>
      <c r="AP388" s="26"/>
      <c r="AQ388" s="26"/>
      <c r="AR388" s="26"/>
      <c r="AS388" s="26"/>
      <c r="AT388" s="26"/>
      <c r="AU388" s="26"/>
      <c r="AV388" s="26"/>
      <c r="AW388" s="26"/>
      <c r="AX388" s="26"/>
      <c r="AY388" s="26"/>
      <c r="AZ388" s="26"/>
      <c r="BA388" s="26"/>
      <c r="BB388" s="26"/>
      <c r="BC388" s="26"/>
    </row>
    <row r="389" spans="1:55" x14ac:dyDescent="0.3">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c r="AA389" s="26"/>
      <c r="AB389" s="26"/>
      <c r="AC389" s="26"/>
      <c r="AD389" s="26"/>
      <c r="AE389" s="26"/>
      <c r="AF389" s="26"/>
      <c r="AG389" s="26"/>
      <c r="AH389" s="26"/>
      <c r="AI389" s="26"/>
      <c r="AJ389" s="26"/>
      <c r="AK389" s="26"/>
      <c r="AL389" s="26"/>
      <c r="AM389" s="26"/>
      <c r="AN389" s="26"/>
      <c r="AO389" s="26"/>
      <c r="AP389" s="26"/>
      <c r="AQ389" s="26"/>
      <c r="AR389" s="26"/>
      <c r="AS389" s="26"/>
      <c r="AT389" s="26"/>
      <c r="AU389" s="26"/>
      <c r="AV389" s="26"/>
      <c r="AW389" s="26"/>
      <c r="AX389" s="26"/>
      <c r="AY389" s="26"/>
      <c r="AZ389" s="26"/>
      <c r="BA389" s="26"/>
      <c r="BB389" s="26"/>
      <c r="BC389" s="26"/>
    </row>
    <row r="390" spans="1:55" x14ac:dyDescent="0.3">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c r="AA390" s="26"/>
      <c r="AB390" s="26"/>
      <c r="AC390" s="26"/>
      <c r="AD390" s="26"/>
      <c r="AE390" s="26"/>
      <c r="AF390" s="26"/>
      <c r="AG390" s="26"/>
      <c r="AH390" s="26"/>
      <c r="AI390" s="26"/>
      <c r="AJ390" s="26"/>
      <c r="AK390" s="26"/>
      <c r="AL390" s="26"/>
      <c r="AM390" s="26"/>
      <c r="AN390" s="26"/>
      <c r="AO390" s="26"/>
      <c r="AP390" s="26"/>
      <c r="AQ390" s="26"/>
      <c r="AR390" s="26"/>
      <c r="AS390" s="26"/>
      <c r="AT390" s="26"/>
      <c r="AU390" s="26"/>
      <c r="AV390" s="26"/>
      <c r="AW390" s="26"/>
      <c r="AX390" s="26"/>
      <c r="AY390" s="26"/>
      <c r="AZ390" s="26"/>
      <c r="BA390" s="26"/>
      <c r="BB390" s="26"/>
      <c r="BC390" s="26"/>
    </row>
    <row r="391" spans="1:55" x14ac:dyDescent="0.3">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c r="AA391" s="26"/>
      <c r="AB391" s="26"/>
      <c r="AC391" s="26"/>
      <c r="AD391" s="26"/>
      <c r="AE391" s="26"/>
      <c r="AF391" s="26"/>
      <c r="AG391" s="26"/>
      <c r="AH391" s="26"/>
      <c r="AI391" s="26"/>
      <c r="AJ391" s="26"/>
      <c r="AK391" s="26"/>
      <c r="AL391" s="26"/>
      <c r="AM391" s="26"/>
      <c r="AN391" s="26"/>
      <c r="AO391" s="26"/>
      <c r="AP391" s="26"/>
      <c r="AQ391" s="26"/>
      <c r="AR391" s="26"/>
      <c r="AS391" s="26"/>
      <c r="AT391" s="26"/>
      <c r="AU391" s="26"/>
      <c r="AV391" s="26"/>
      <c r="AW391" s="26"/>
      <c r="AX391" s="26"/>
      <c r="AY391" s="26"/>
      <c r="AZ391" s="26"/>
      <c r="BA391" s="26"/>
      <c r="BB391" s="26"/>
      <c r="BC391" s="26"/>
    </row>
    <row r="392" spans="1:55" x14ac:dyDescent="0.3">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c r="AA392" s="26"/>
      <c r="AB392" s="26"/>
      <c r="AC392" s="26"/>
      <c r="AD392" s="26"/>
      <c r="AE392" s="26"/>
      <c r="AF392" s="26"/>
      <c r="AG392" s="26"/>
      <c r="AH392" s="26"/>
      <c r="AI392" s="26"/>
      <c r="AJ392" s="26"/>
      <c r="AK392" s="26"/>
      <c r="AL392" s="26"/>
      <c r="AM392" s="26"/>
      <c r="AN392" s="26"/>
      <c r="AO392" s="26"/>
      <c r="AP392" s="26"/>
      <c r="AQ392" s="26"/>
      <c r="AR392" s="26"/>
      <c r="AS392" s="26"/>
      <c r="AT392" s="26"/>
      <c r="AU392" s="26"/>
      <c r="AV392" s="26"/>
      <c r="AW392" s="26"/>
      <c r="AX392" s="26"/>
      <c r="AY392" s="26"/>
      <c r="AZ392" s="26"/>
      <c r="BA392" s="26"/>
      <c r="BB392" s="26"/>
      <c r="BC392" s="26"/>
    </row>
    <row r="393" spans="1:55" x14ac:dyDescent="0.3">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c r="AA393" s="26"/>
      <c r="AB393" s="26"/>
      <c r="AC393" s="26"/>
      <c r="AD393" s="26"/>
      <c r="AE393" s="26"/>
      <c r="AF393" s="26"/>
      <c r="AG393" s="26"/>
      <c r="AH393" s="26"/>
      <c r="AI393" s="26"/>
      <c r="AJ393" s="26"/>
      <c r="AK393" s="26"/>
      <c r="AL393" s="26"/>
      <c r="AM393" s="26"/>
      <c r="AN393" s="26"/>
      <c r="AO393" s="26"/>
      <c r="AP393" s="26"/>
      <c r="AQ393" s="26"/>
      <c r="AR393" s="26"/>
      <c r="AS393" s="26"/>
      <c r="AT393" s="26"/>
      <c r="AU393" s="26"/>
      <c r="AV393" s="26"/>
      <c r="AW393" s="26"/>
      <c r="AX393" s="26"/>
      <c r="AY393" s="26"/>
      <c r="AZ393" s="26"/>
      <c r="BA393" s="26"/>
      <c r="BB393" s="26"/>
      <c r="BC393" s="26"/>
    </row>
    <row r="394" spans="1:55" x14ac:dyDescent="0.3">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c r="AA394" s="26"/>
      <c r="AB394" s="26"/>
      <c r="AC394" s="26"/>
      <c r="AD394" s="26"/>
      <c r="AE394" s="26"/>
      <c r="AF394" s="26"/>
      <c r="AG394" s="26"/>
      <c r="AH394" s="26"/>
      <c r="AI394" s="26"/>
      <c r="AJ394" s="26"/>
      <c r="AK394" s="26"/>
      <c r="AL394" s="26"/>
      <c r="AM394" s="26"/>
      <c r="AN394" s="26"/>
      <c r="AO394" s="26"/>
      <c r="AP394" s="26"/>
      <c r="AQ394" s="26"/>
      <c r="AR394" s="26"/>
      <c r="AS394" s="26"/>
      <c r="AT394" s="26"/>
      <c r="AU394" s="26"/>
      <c r="AV394" s="26"/>
      <c r="AW394" s="26"/>
      <c r="AX394" s="26"/>
      <c r="AY394" s="26"/>
      <c r="AZ394" s="26"/>
      <c r="BA394" s="26"/>
      <c r="BB394" s="26"/>
      <c r="BC394" s="26"/>
    </row>
    <row r="395" spans="1:55" x14ac:dyDescent="0.3">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c r="AA395" s="26"/>
      <c r="AB395" s="26"/>
      <c r="AC395" s="26"/>
      <c r="AD395" s="26"/>
      <c r="AE395" s="26"/>
      <c r="AF395" s="26"/>
      <c r="AG395" s="26"/>
      <c r="AH395" s="26"/>
      <c r="AI395" s="26"/>
      <c r="AJ395" s="26"/>
      <c r="AK395" s="26"/>
      <c r="AL395" s="26"/>
      <c r="AM395" s="26"/>
      <c r="AN395" s="26"/>
      <c r="AO395" s="26"/>
      <c r="AP395" s="26"/>
      <c r="AQ395" s="26"/>
      <c r="AR395" s="26"/>
      <c r="AS395" s="26"/>
      <c r="AT395" s="26"/>
      <c r="AU395" s="26"/>
      <c r="AV395" s="26"/>
      <c r="AW395" s="26"/>
      <c r="AX395" s="26"/>
      <c r="AY395" s="26"/>
      <c r="AZ395" s="26"/>
      <c r="BA395" s="26"/>
      <c r="BB395" s="26"/>
      <c r="BC395" s="26"/>
    </row>
    <row r="396" spans="1:55" x14ac:dyDescent="0.3">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c r="AA396" s="26"/>
      <c r="AB396" s="26"/>
      <c r="AC396" s="26"/>
      <c r="AD396" s="26"/>
      <c r="AE396" s="26"/>
      <c r="AF396" s="26"/>
      <c r="AG396" s="26"/>
      <c r="AH396" s="26"/>
      <c r="AI396" s="26"/>
      <c r="AJ396" s="26"/>
      <c r="AK396" s="26"/>
      <c r="AL396" s="26"/>
      <c r="AM396" s="26"/>
      <c r="AN396" s="26"/>
      <c r="AO396" s="26"/>
      <c r="AP396" s="26"/>
      <c r="AQ396" s="26"/>
      <c r="AR396" s="26"/>
      <c r="AS396" s="26"/>
      <c r="AT396" s="26"/>
      <c r="AU396" s="26"/>
      <c r="AV396" s="26"/>
      <c r="AW396" s="26"/>
      <c r="AX396" s="26"/>
      <c r="AY396" s="26"/>
      <c r="AZ396" s="26"/>
      <c r="BA396" s="26"/>
      <c r="BB396" s="26"/>
      <c r="BC396" s="26"/>
    </row>
    <row r="397" spans="1:55" x14ac:dyDescent="0.3">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c r="AA397" s="26"/>
      <c r="AB397" s="26"/>
      <c r="AC397" s="26"/>
      <c r="AD397" s="26"/>
      <c r="AE397" s="26"/>
      <c r="AF397" s="26"/>
      <c r="AG397" s="26"/>
      <c r="AH397" s="26"/>
      <c r="AI397" s="26"/>
      <c r="AJ397" s="26"/>
      <c r="AK397" s="26"/>
      <c r="AL397" s="26"/>
      <c r="AM397" s="26"/>
      <c r="AN397" s="26"/>
      <c r="AO397" s="26"/>
      <c r="AP397" s="26"/>
      <c r="AQ397" s="26"/>
      <c r="AR397" s="26"/>
      <c r="AS397" s="26"/>
      <c r="AT397" s="26"/>
      <c r="AU397" s="26"/>
      <c r="AV397" s="26"/>
      <c r="AW397" s="26"/>
      <c r="AX397" s="26"/>
      <c r="AY397" s="26"/>
      <c r="AZ397" s="26"/>
      <c r="BA397" s="26"/>
      <c r="BB397" s="26"/>
      <c r="BC397" s="26"/>
    </row>
    <row r="398" spans="1:55" x14ac:dyDescent="0.3">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c r="AA398" s="26"/>
      <c r="AB398" s="26"/>
      <c r="AC398" s="26"/>
      <c r="AD398" s="26"/>
      <c r="AE398" s="26"/>
      <c r="AF398" s="26"/>
      <c r="AG398" s="26"/>
      <c r="AH398" s="26"/>
      <c r="AI398" s="26"/>
      <c r="AJ398" s="26"/>
      <c r="AK398" s="26"/>
      <c r="AL398" s="26"/>
      <c r="AM398" s="26"/>
      <c r="AN398" s="26"/>
      <c r="AO398" s="26"/>
      <c r="AP398" s="26"/>
      <c r="AQ398" s="26"/>
      <c r="AR398" s="26"/>
      <c r="AS398" s="26"/>
      <c r="AT398" s="26"/>
      <c r="AU398" s="26"/>
      <c r="AV398" s="26"/>
      <c r="AW398" s="26"/>
      <c r="AX398" s="26"/>
      <c r="AY398" s="26"/>
      <c r="AZ398" s="26"/>
      <c r="BA398" s="26"/>
      <c r="BB398" s="26"/>
      <c r="BC398" s="26"/>
    </row>
    <row r="399" spans="1:55" x14ac:dyDescent="0.3">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c r="AA399" s="26"/>
      <c r="AB399" s="26"/>
      <c r="AC399" s="26"/>
      <c r="AD399" s="26"/>
      <c r="AE399" s="26"/>
      <c r="AF399" s="26"/>
      <c r="AG399" s="26"/>
      <c r="AH399" s="26"/>
      <c r="AI399" s="26"/>
      <c r="AJ399" s="26"/>
      <c r="AK399" s="26"/>
      <c r="AL399" s="26"/>
      <c r="AM399" s="26"/>
      <c r="AN399" s="26"/>
      <c r="AO399" s="26"/>
      <c r="AP399" s="26"/>
      <c r="AQ399" s="26"/>
      <c r="AR399" s="26"/>
      <c r="AS399" s="26"/>
      <c r="AT399" s="26"/>
      <c r="AU399" s="26"/>
      <c r="AV399" s="26"/>
      <c r="AW399" s="26"/>
      <c r="AX399" s="26"/>
      <c r="AY399" s="26"/>
      <c r="AZ399" s="26"/>
      <c r="BA399" s="26"/>
      <c r="BB399" s="26"/>
      <c r="BC399" s="26"/>
    </row>
    <row r="400" spans="1:55" x14ac:dyDescent="0.3">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c r="AA400" s="26"/>
      <c r="AB400" s="26"/>
      <c r="AC400" s="26"/>
      <c r="AD400" s="26"/>
      <c r="AE400" s="26"/>
      <c r="AF400" s="26"/>
      <c r="AG400" s="26"/>
      <c r="AH400" s="26"/>
      <c r="AI400" s="26"/>
      <c r="AJ400" s="26"/>
      <c r="AK400" s="26"/>
      <c r="AL400" s="26"/>
      <c r="AM400" s="26"/>
      <c r="AN400" s="26"/>
      <c r="AO400" s="26"/>
      <c r="AP400" s="26"/>
      <c r="AQ400" s="26"/>
      <c r="AR400" s="26"/>
      <c r="AS400" s="26"/>
      <c r="AT400" s="26"/>
      <c r="AU400" s="26"/>
      <c r="AV400" s="26"/>
      <c r="AW400" s="26"/>
      <c r="AX400" s="26"/>
      <c r="AY400" s="26"/>
      <c r="AZ400" s="26"/>
      <c r="BA400" s="26"/>
      <c r="BB400" s="26"/>
      <c r="BC400" s="26"/>
    </row>
    <row r="401" spans="1:55" x14ac:dyDescent="0.3">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c r="AA401" s="26"/>
      <c r="AB401" s="26"/>
      <c r="AC401" s="26"/>
      <c r="AD401" s="26"/>
      <c r="AE401" s="26"/>
      <c r="AF401" s="26"/>
      <c r="AG401" s="26"/>
      <c r="AH401" s="26"/>
      <c r="AI401" s="26"/>
      <c r="AJ401" s="26"/>
      <c r="AK401" s="26"/>
      <c r="AL401" s="26"/>
      <c r="AM401" s="26"/>
      <c r="AN401" s="26"/>
      <c r="AO401" s="26"/>
      <c r="AP401" s="26"/>
      <c r="AQ401" s="26"/>
      <c r="AR401" s="26"/>
      <c r="AS401" s="26"/>
      <c r="AT401" s="26"/>
      <c r="AU401" s="26"/>
      <c r="AV401" s="26"/>
      <c r="AW401" s="26"/>
      <c r="AX401" s="26"/>
      <c r="AY401" s="26"/>
      <c r="AZ401" s="26"/>
      <c r="BA401" s="26"/>
      <c r="BB401" s="26"/>
      <c r="BC401" s="26"/>
    </row>
    <row r="402" spans="1:55" x14ac:dyDescent="0.3">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c r="AA402" s="26"/>
      <c r="AB402" s="26"/>
      <c r="AC402" s="26"/>
      <c r="AD402" s="26"/>
      <c r="AE402" s="26"/>
      <c r="AF402" s="26"/>
      <c r="AG402" s="26"/>
      <c r="AH402" s="26"/>
      <c r="AI402" s="26"/>
      <c r="AJ402" s="26"/>
      <c r="AK402" s="26"/>
      <c r="AL402" s="26"/>
      <c r="AM402" s="26"/>
      <c r="AN402" s="26"/>
      <c r="AO402" s="26"/>
      <c r="AP402" s="26"/>
      <c r="AQ402" s="26"/>
      <c r="AR402" s="26"/>
      <c r="AS402" s="26"/>
      <c r="AT402" s="26"/>
      <c r="AU402" s="26"/>
      <c r="AV402" s="26"/>
      <c r="AW402" s="26"/>
      <c r="AX402" s="26"/>
      <c r="AY402" s="26"/>
      <c r="AZ402" s="26"/>
      <c r="BA402" s="26"/>
      <c r="BB402" s="26"/>
      <c r="BC402" s="26"/>
    </row>
    <row r="403" spans="1:55" x14ac:dyDescent="0.3">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c r="AA403" s="26"/>
      <c r="AB403" s="26"/>
      <c r="AC403" s="26"/>
      <c r="AD403" s="26"/>
      <c r="AE403" s="26"/>
      <c r="AF403" s="26"/>
      <c r="AG403" s="26"/>
      <c r="AH403" s="26"/>
      <c r="AI403" s="26"/>
      <c r="AJ403" s="26"/>
      <c r="AK403" s="26"/>
      <c r="AL403" s="26"/>
      <c r="AM403" s="26"/>
      <c r="AN403" s="26"/>
      <c r="AO403" s="26"/>
      <c r="AP403" s="26"/>
      <c r="AQ403" s="26"/>
      <c r="AR403" s="26"/>
      <c r="AS403" s="26"/>
      <c r="AT403" s="26"/>
      <c r="AU403" s="26"/>
      <c r="AV403" s="26"/>
      <c r="AW403" s="26"/>
      <c r="AX403" s="26"/>
      <c r="AY403" s="26"/>
      <c r="AZ403" s="26"/>
      <c r="BA403" s="26"/>
      <c r="BB403" s="26"/>
      <c r="BC403" s="26"/>
    </row>
    <row r="404" spans="1:55" x14ac:dyDescent="0.3">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c r="AA404" s="26"/>
      <c r="AB404" s="26"/>
      <c r="AC404" s="26"/>
      <c r="AD404" s="26"/>
      <c r="AE404" s="26"/>
      <c r="AF404" s="26"/>
      <c r="AG404" s="26"/>
      <c r="AH404" s="26"/>
      <c r="AI404" s="26"/>
      <c r="AJ404" s="26"/>
      <c r="AK404" s="26"/>
      <c r="AL404" s="26"/>
      <c r="AM404" s="26"/>
      <c r="AN404" s="26"/>
      <c r="AO404" s="26"/>
      <c r="AP404" s="26"/>
      <c r="AQ404" s="26"/>
      <c r="AR404" s="26"/>
      <c r="AS404" s="26"/>
      <c r="AT404" s="26"/>
      <c r="AU404" s="26"/>
      <c r="AV404" s="26"/>
      <c r="AW404" s="26"/>
      <c r="AX404" s="26"/>
      <c r="AY404" s="26"/>
      <c r="AZ404" s="26"/>
      <c r="BA404" s="26"/>
      <c r="BB404" s="26"/>
      <c r="BC404" s="26"/>
    </row>
    <row r="405" spans="1:55" x14ac:dyDescent="0.3">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c r="AA405" s="26"/>
      <c r="AB405" s="26"/>
      <c r="AC405" s="26"/>
      <c r="AD405" s="26"/>
      <c r="AE405" s="26"/>
      <c r="AF405" s="26"/>
      <c r="AG405" s="26"/>
      <c r="AH405" s="26"/>
      <c r="AI405" s="26"/>
      <c r="AJ405" s="26"/>
      <c r="AK405" s="26"/>
      <c r="AL405" s="26"/>
      <c r="AM405" s="26"/>
      <c r="AN405" s="26"/>
      <c r="AO405" s="26"/>
      <c r="AP405" s="26"/>
      <c r="AQ405" s="26"/>
      <c r="AR405" s="26"/>
      <c r="AS405" s="26"/>
      <c r="AT405" s="26"/>
      <c r="AU405" s="26"/>
      <c r="AV405" s="26"/>
      <c r="AW405" s="26"/>
      <c r="AX405" s="26"/>
      <c r="AY405" s="26"/>
      <c r="AZ405" s="26"/>
      <c r="BA405" s="26"/>
      <c r="BB405" s="26"/>
      <c r="BC405" s="26"/>
    </row>
    <row r="406" spans="1:55" x14ac:dyDescent="0.3">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c r="AA406" s="26"/>
      <c r="AB406" s="26"/>
      <c r="AC406" s="26"/>
      <c r="AD406" s="26"/>
      <c r="AE406" s="26"/>
      <c r="AF406" s="26"/>
      <c r="AG406" s="26"/>
      <c r="AH406" s="26"/>
      <c r="AI406" s="26"/>
      <c r="AJ406" s="26"/>
      <c r="AK406" s="26"/>
      <c r="AL406" s="26"/>
      <c r="AM406" s="26"/>
      <c r="AN406" s="26"/>
      <c r="AO406" s="26"/>
      <c r="AP406" s="26"/>
      <c r="AQ406" s="26"/>
      <c r="AR406" s="26"/>
      <c r="AS406" s="26"/>
      <c r="AT406" s="26"/>
      <c r="AU406" s="26"/>
      <c r="AV406" s="26"/>
      <c r="AW406" s="26"/>
      <c r="AX406" s="26"/>
      <c r="AY406" s="26"/>
      <c r="AZ406" s="26"/>
      <c r="BA406" s="26"/>
      <c r="BB406" s="26"/>
      <c r="BC406" s="26"/>
    </row>
    <row r="407" spans="1:55" x14ac:dyDescent="0.3">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c r="AA407" s="26"/>
      <c r="AB407" s="26"/>
      <c r="AC407" s="26"/>
      <c r="AD407" s="26"/>
      <c r="AE407" s="26"/>
      <c r="AF407" s="26"/>
      <c r="AG407" s="26"/>
      <c r="AH407" s="26"/>
      <c r="AI407" s="26"/>
      <c r="AJ407" s="26"/>
      <c r="AK407" s="26"/>
      <c r="AL407" s="26"/>
      <c r="AM407" s="26"/>
      <c r="AN407" s="26"/>
      <c r="AO407" s="26"/>
      <c r="AP407" s="26"/>
      <c r="AQ407" s="26"/>
      <c r="AR407" s="26"/>
      <c r="AS407" s="26"/>
      <c r="AT407" s="26"/>
      <c r="AU407" s="26"/>
      <c r="AV407" s="26"/>
      <c r="AW407" s="26"/>
      <c r="AX407" s="26"/>
      <c r="AY407" s="26"/>
      <c r="AZ407" s="26"/>
      <c r="BA407" s="26"/>
      <c r="BB407" s="26"/>
      <c r="BC407" s="26"/>
    </row>
    <row r="408" spans="1:55" x14ac:dyDescent="0.3">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c r="AA408" s="26"/>
      <c r="AB408" s="26"/>
      <c r="AC408" s="26"/>
      <c r="AD408" s="26"/>
      <c r="AE408" s="26"/>
      <c r="AF408" s="26"/>
      <c r="AG408" s="26"/>
      <c r="AH408" s="26"/>
      <c r="AI408" s="26"/>
      <c r="AJ408" s="26"/>
      <c r="AK408" s="26"/>
      <c r="AL408" s="26"/>
      <c r="AM408" s="26"/>
      <c r="AN408" s="26"/>
      <c r="AO408" s="26"/>
      <c r="AP408" s="26"/>
      <c r="AQ408" s="26"/>
      <c r="AR408" s="26"/>
      <c r="AS408" s="26"/>
      <c r="AT408" s="26"/>
      <c r="AU408" s="26"/>
      <c r="AV408" s="26"/>
      <c r="AW408" s="26"/>
      <c r="AX408" s="26"/>
      <c r="AY408" s="26"/>
      <c r="AZ408" s="26"/>
      <c r="BA408" s="26"/>
      <c r="BB408" s="26"/>
      <c r="BC408" s="26"/>
    </row>
    <row r="409" spans="1:55" x14ac:dyDescent="0.3">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c r="AA409" s="26"/>
      <c r="AB409" s="26"/>
      <c r="AC409" s="26"/>
      <c r="AD409" s="26"/>
      <c r="AE409" s="26"/>
      <c r="AF409" s="26"/>
      <c r="AG409" s="26"/>
      <c r="AH409" s="26"/>
      <c r="AI409" s="26"/>
      <c r="AJ409" s="26"/>
      <c r="AK409" s="26"/>
      <c r="AL409" s="26"/>
      <c r="AM409" s="26"/>
      <c r="AN409" s="26"/>
      <c r="AO409" s="26"/>
      <c r="AP409" s="26"/>
      <c r="AQ409" s="26"/>
      <c r="AR409" s="26"/>
      <c r="AS409" s="26"/>
      <c r="AT409" s="26"/>
      <c r="AU409" s="26"/>
      <c r="AV409" s="26"/>
      <c r="AW409" s="26"/>
      <c r="AX409" s="26"/>
      <c r="AY409" s="26"/>
      <c r="AZ409" s="26"/>
      <c r="BA409" s="26"/>
      <c r="BB409" s="26"/>
      <c r="BC409" s="26"/>
    </row>
    <row r="410" spans="1:55" x14ac:dyDescent="0.3">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c r="AA410" s="26"/>
      <c r="AB410" s="26"/>
      <c r="AC410" s="26"/>
      <c r="AD410" s="26"/>
      <c r="AE410" s="26"/>
      <c r="AF410" s="26"/>
      <c r="AG410" s="26"/>
      <c r="AH410" s="26"/>
      <c r="AI410" s="26"/>
      <c r="AJ410" s="26"/>
      <c r="AK410" s="26"/>
      <c r="AL410" s="26"/>
      <c r="AM410" s="26"/>
      <c r="AN410" s="26"/>
      <c r="AO410" s="26"/>
      <c r="AP410" s="26"/>
      <c r="AQ410" s="26"/>
      <c r="AR410" s="26"/>
      <c r="AS410" s="26"/>
      <c r="AT410" s="26"/>
      <c r="AU410" s="26"/>
      <c r="AV410" s="26"/>
      <c r="AW410" s="26"/>
      <c r="AX410" s="26"/>
      <c r="AY410" s="26"/>
      <c r="AZ410" s="26"/>
      <c r="BA410" s="26"/>
      <c r="BB410" s="26"/>
      <c r="BC410" s="26"/>
    </row>
    <row r="411" spans="1:55" x14ac:dyDescent="0.3">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c r="AA411" s="26"/>
      <c r="AB411" s="26"/>
      <c r="AC411" s="26"/>
      <c r="AD411" s="26"/>
      <c r="AE411" s="26"/>
      <c r="AF411" s="26"/>
      <c r="AG411" s="26"/>
      <c r="AH411" s="26"/>
      <c r="AI411" s="26"/>
      <c r="AJ411" s="26"/>
      <c r="AK411" s="26"/>
      <c r="AL411" s="26"/>
      <c r="AM411" s="26"/>
      <c r="AN411" s="26"/>
      <c r="AO411" s="26"/>
      <c r="AP411" s="26"/>
      <c r="AQ411" s="26"/>
      <c r="AR411" s="26"/>
      <c r="AS411" s="26"/>
      <c r="AT411" s="26"/>
      <c r="AU411" s="26"/>
      <c r="AV411" s="26"/>
      <c r="AW411" s="26"/>
      <c r="AX411" s="26"/>
      <c r="AY411" s="26"/>
      <c r="AZ411" s="26"/>
      <c r="BA411" s="26"/>
      <c r="BB411" s="26"/>
      <c r="BC411" s="26"/>
    </row>
    <row r="412" spans="1:55" x14ac:dyDescent="0.3">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c r="AA412" s="26"/>
      <c r="AB412" s="26"/>
      <c r="AC412" s="26"/>
      <c r="AD412" s="26"/>
      <c r="AE412" s="26"/>
      <c r="AF412" s="26"/>
      <c r="AG412" s="26"/>
      <c r="AH412" s="26"/>
      <c r="AI412" s="26"/>
      <c r="AJ412" s="26"/>
      <c r="AK412" s="26"/>
      <c r="AL412" s="26"/>
      <c r="AM412" s="26"/>
      <c r="AN412" s="26"/>
      <c r="AO412" s="26"/>
      <c r="AP412" s="26"/>
      <c r="AQ412" s="26"/>
      <c r="AR412" s="26"/>
      <c r="AS412" s="26"/>
      <c r="AT412" s="26"/>
      <c r="AU412" s="26"/>
      <c r="AV412" s="26"/>
      <c r="AW412" s="26"/>
      <c r="AX412" s="26"/>
      <c r="AY412" s="26"/>
      <c r="AZ412" s="26"/>
      <c r="BA412" s="26"/>
      <c r="BB412" s="26"/>
      <c r="BC412" s="26"/>
    </row>
    <row r="413" spans="1:55" x14ac:dyDescent="0.3">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c r="AA413" s="26"/>
      <c r="AB413" s="26"/>
      <c r="AC413" s="26"/>
      <c r="AD413" s="26"/>
      <c r="AE413" s="26"/>
      <c r="AF413" s="26"/>
      <c r="AG413" s="26"/>
      <c r="AH413" s="26"/>
      <c r="AI413" s="26"/>
      <c r="AJ413" s="26"/>
      <c r="AK413" s="26"/>
      <c r="AL413" s="26"/>
      <c r="AM413" s="26"/>
      <c r="AN413" s="26"/>
      <c r="AO413" s="26"/>
      <c r="AP413" s="26"/>
      <c r="AQ413" s="26"/>
      <c r="AR413" s="26"/>
      <c r="AS413" s="26"/>
      <c r="AT413" s="26"/>
      <c r="AU413" s="26"/>
      <c r="AV413" s="26"/>
      <c r="AW413" s="26"/>
      <c r="AX413" s="26"/>
      <c r="AY413" s="26"/>
      <c r="AZ413" s="26"/>
      <c r="BA413" s="26"/>
      <c r="BB413" s="26"/>
      <c r="BC413" s="26"/>
    </row>
    <row r="414" spans="1:55" x14ac:dyDescent="0.3">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c r="AA414" s="26"/>
      <c r="AB414" s="26"/>
      <c r="AC414" s="26"/>
      <c r="AD414" s="26"/>
      <c r="AE414" s="26"/>
      <c r="AF414" s="26"/>
      <c r="AG414" s="26"/>
      <c r="AH414" s="26"/>
      <c r="AI414" s="26"/>
      <c r="AJ414" s="26"/>
      <c r="AK414" s="26"/>
      <c r="AL414" s="26"/>
      <c r="AM414" s="26"/>
      <c r="AN414" s="26"/>
      <c r="AO414" s="26"/>
      <c r="AP414" s="26"/>
      <c r="AQ414" s="26"/>
      <c r="AR414" s="26"/>
      <c r="AS414" s="26"/>
      <c r="AT414" s="26"/>
      <c r="AU414" s="26"/>
      <c r="AV414" s="26"/>
      <c r="AW414" s="26"/>
      <c r="AX414" s="26"/>
      <c r="AY414" s="26"/>
      <c r="AZ414" s="26"/>
      <c r="BA414" s="26"/>
      <c r="BB414" s="26"/>
      <c r="BC414" s="2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total sale </vt:lpstr>
      <vt:lpstr>sales by month </vt:lpstr>
      <vt:lpstr>sales by weekday </vt:lpstr>
      <vt:lpstr>cash VS card</vt:lpstr>
      <vt:lpstr>sum of hours &amp; money</vt:lpstr>
      <vt:lpstr>cofee sales </vt:lpstr>
      <vt:lpstr>KPI</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ranjityadavshiva@gmail.com</dc:creator>
  <cp:lastModifiedBy>ranjityadavshiva@gmail.com</cp:lastModifiedBy>
  <dcterms:created xsi:type="dcterms:W3CDTF">2025-08-06T08:25:24Z</dcterms:created>
  <dcterms:modified xsi:type="dcterms:W3CDTF">2025-11-25T07:46:55Z</dcterms:modified>
</cp:coreProperties>
</file>